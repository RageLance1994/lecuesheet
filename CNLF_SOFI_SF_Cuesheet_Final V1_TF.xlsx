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ulioferro/Library/CloudStorage/GoogleDrive-tulio@weareliveengine.com/.shortcut-targets-by-id/1QucaYldtwCwstVZ5pjtfXFHdK-rmZuy8/Live Engine /Projects/2_OPS_GREEN LIT PROJECTS - Info to be shared outside Live Engine/* WIP_OPS/2503_OPS_CNL Finals  2025/CUE SHEET /FINALS Mar 23rd/"/>
    </mc:Choice>
  </mc:AlternateContent>
  <xr:revisionPtr revIDLastSave="0" documentId="13_ncr:1_{A5B4128C-9046-6B43-9FE3-8D9EA6C63720}" xr6:coauthVersionLast="47" xr6:coauthVersionMax="47" xr10:uidLastSave="{00000000-0000-0000-0000-000000000000}"/>
  <bookViews>
    <workbookView xWindow="0" yWindow="0" windowWidth="28800" windowHeight="18000" xr2:uid="{00000000-000D-0000-FFFF-FFFF00000000}"/>
  </bookViews>
  <sheets>
    <sheet name="Cuesheet" sheetId="1" r:id="rId1"/>
    <sheet name="In Match Script" sheetId="5" r:id="rId2"/>
    <sheet name="Sponsors" sheetId="2" r:id="rId3"/>
    <sheet name="Digital Content" sheetId="3" r:id="rId4"/>
    <sheet name="Full Script" sheetId="4" r:id="rId5"/>
    <sheet name="Match Database " sheetId="6" r:id="rId6"/>
    <sheet name="VAR CODE" sheetId="7" r:id="rId7"/>
    <sheet name="National Anthems" sheetId="8" r:id="rId8"/>
  </sheets>
  <definedNames>
    <definedName name="_xlnm._FilterDatabase" localSheetId="3" hidden="1">'Digital Content'!$A$1:$I$226</definedName>
    <definedName name="_xlnm._FilterDatabase" localSheetId="5" hidden="1">'Match Database '!$A$1:$I$938</definedName>
    <definedName name="_xlnm._FilterDatabase" localSheetId="7" hidden="1">'National Anthems'!$A$1:$I$12</definedName>
    <definedName name="_xlnm._FilterDatabase" localSheetId="2" hidden="1">Sponsors!$A$3:$P$3</definedName>
    <definedName name="Activity" localSheetId="0">Cuesheet!$G$16:$G$233</definedName>
    <definedName name="Activity">#REF!</definedName>
    <definedName name="Content">'Digital Content'!$B$1:$H$50</definedName>
    <definedName name="_xlnm.Print_Area" localSheetId="4">'Full Script'!$A$1:$D$135</definedName>
    <definedName name="TYPE" localSheetId="0">Cuesheet!#REF!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QB/K6H8l7gVOWvpObThIBTFOAGfoOdeTvxLPyhYO9LU="/>
    </ext>
  </extLst>
</workbook>
</file>

<file path=xl/calcChain.xml><?xml version="1.0" encoding="utf-8"?>
<calcChain xmlns="http://schemas.openxmlformats.org/spreadsheetml/2006/main">
  <c r="A194" i="1" l="1"/>
  <c r="B194" i="1"/>
  <c r="C194" i="1"/>
  <c r="A195" i="1"/>
  <c r="A196" i="1" s="1"/>
  <c r="A197" i="1" s="1"/>
  <c r="A198" i="1" s="1"/>
  <c r="A199" i="1" s="1"/>
  <c r="A200" i="1" s="1"/>
  <c r="A201" i="1" s="1"/>
  <c r="A202" i="1" s="1"/>
  <c r="F4" i="8"/>
  <c r="F3" i="8"/>
  <c r="F2" i="8"/>
  <c r="AH9" i="3"/>
  <c r="AF9" i="3"/>
  <c r="F265" i="1"/>
  <c r="J264" i="1"/>
  <c r="I264" i="1"/>
  <c r="H264" i="1"/>
  <c r="F264" i="1"/>
  <c r="J263" i="1"/>
  <c r="I263" i="1"/>
  <c r="H263" i="1"/>
  <c r="F263" i="1"/>
  <c r="F262" i="1"/>
  <c r="F261" i="1"/>
  <c r="I260" i="1"/>
  <c r="H260" i="1"/>
  <c r="F260" i="1"/>
  <c r="F259" i="1"/>
  <c r="H258" i="1"/>
  <c r="F258" i="1"/>
  <c r="F257" i="1"/>
  <c r="F256" i="1"/>
  <c r="F255" i="1"/>
  <c r="F254" i="1"/>
  <c r="F253" i="1"/>
  <c r="F252" i="1"/>
  <c r="F251" i="1"/>
  <c r="F250" i="1"/>
  <c r="F249" i="1"/>
  <c r="F248" i="1"/>
  <c r="F242" i="1"/>
  <c r="F241" i="1"/>
  <c r="F247" i="1"/>
  <c r="F245" i="1"/>
  <c r="F244" i="1"/>
  <c r="F243" i="1"/>
  <c r="F240" i="1"/>
  <c r="F239" i="1"/>
  <c r="F238" i="1"/>
  <c r="F237" i="1"/>
  <c r="F236" i="1"/>
  <c r="F235" i="1"/>
  <c r="F234" i="1"/>
  <c r="F233" i="1"/>
  <c r="F232" i="1"/>
  <c r="J231" i="1"/>
  <c r="I231" i="1"/>
  <c r="H231" i="1"/>
  <c r="F231" i="1"/>
  <c r="F230" i="1"/>
  <c r="J229" i="1"/>
  <c r="I229" i="1"/>
  <c r="H229" i="1"/>
  <c r="F229" i="1"/>
  <c r="F228" i="1"/>
  <c r="J227" i="1"/>
  <c r="I227" i="1"/>
  <c r="H227" i="1"/>
  <c r="F227" i="1"/>
  <c r="J226" i="1"/>
  <c r="I226" i="1"/>
  <c r="H226" i="1"/>
  <c r="F226" i="1"/>
  <c r="F225" i="1"/>
  <c r="F224" i="1"/>
  <c r="I223" i="1"/>
  <c r="F223" i="1"/>
  <c r="J222" i="1"/>
  <c r="I222" i="1"/>
  <c r="H222" i="1"/>
  <c r="F222" i="1"/>
  <c r="F221" i="1"/>
  <c r="F220" i="1"/>
  <c r="J219" i="1"/>
  <c r="I219" i="1"/>
  <c r="H219" i="1"/>
  <c r="F219" i="1"/>
  <c r="F218" i="1"/>
  <c r="H217" i="1"/>
  <c r="F217" i="1"/>
  <c r="H216" i="1"/>
  <c r="F216" i="1"/>
  <c r="J215" i="1"/>
  <c r="I215" i="1"/>
  <c r="H215" i="1"/>
  <c r="F215" i="1"/>
  <c r="F214" i="1"/>
  <c r="F213" i="1"/>
  <c r="F212" i="1"/>
  <c r="F211" i="1"/>
  <c r="F210" i="1"/>
  <c r="C211" i="1" s="1"/>
  <c r="C212" i="1" s="1"/>
  <c r="C213" i="1" s="1"/>
  <c r="F209" i="1"/>
  <c r="F208" i="1"/>
  <c r="F207" i="1"/>
  <c r="F206" i="1"/>
  <c r="F205" i="1"/>
  <c r="F204" i="1"/>
  <c r="F203" i="1"/>
  <c r="F202" i="1"/>
  <c r="F201" i="1"/>
  <c r="F200" i="1"/>
  <c r="F199" i="1"/>
  <c r="F198" i="1"/>
  <c r="F196" i="1"/>
  <c r="F197" i="1"/>
  <c r="F195" i="1"/>
  <c r="F194" i="1"/>
  <c r="B195" i="1" s="1"/>
  <c r="B196" i="1" s="1"/>
  <c r="B197" i="1" s="1"/>
  <c r="B198" i="1" s="1"/>
  <c r="F193" i="1"/>
  <c r="F192" i="1"/>
  <c r="F191" i="1"/>
  <c r="F190" i="1"/>
  <c r="F189" i="1"/>
  <c r="F188" i="1"/>
  <c r="F187" i="1"/>
  <c r="F186" i="1"/>
  <c r="J185" i="1"/>
  <c r="I185" i="1"/>
  <c r="H185" i="1"/>
  <c r="F185" i="1"/>
  <c r="J184" i="1"/>
  <c r="I184" i="1"/>
  <c r="H184" i="1"/>
  <c r="F184" i="1"/>
  <c r="F183" i="1"/>
  <c r="I181" i="1"/>
  <c r="F181" i="1"/>
  <c r="F180" i="1"/>
  <c r="F179" i="1"/>
  <c r="F178" i="1"/>
  <c r="F177" i="1"/>
  <c r="F176" i="1"/>
  <c r="J175" i="1"/>
  <c r="I175" i="1"/>
  <c r="H175" i="1"/>
  <c r="F175" i="1"/>
  <c r="F174" i="1"/>
  <c r="H173" i="1"/>
  <c r="H172" i="1"/>
  <c r="F172" i="1"/>
  <c r="F171" i="1"/>
  <c r="F170"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H139" i="1"/>
  <c r="F139" i="1"/>
  <c r="J138" i="1"/>
  <c r="I138" i="1"/>
  <c r="H138" i="1"/>
  <c r="F138" i="1"/>
  <c r="J137" i="1"/>
  <c r="I137" i="1"/>
  <c r="H137" i="1"/>
  <c r="F137" i="1"/>
  <c r="F136" i="1"/>
  <c r="F135" i="1"/>
  <c r="F134" i="1"/>
  <c r="F133" i="1"/>
  <c r="J132" i="1"/>
  <c r="I132" i="1"/>
  <c r="H132" i="1"/>
  <c r="F132" i="1"/>
  <c r="J131" i="1"/>
  <c r="I131" i="1"/>
  <c r="H131" i="1"/>
  <c r="F131" i="1"/>
  <c r="F130" i="1"/>
  <c r="H129" i="1"/>
  <c r="F129" i="1"/>
  <c r="H128" i="1"/>
  <c r="F128" i="1"/>
  <c r="H127" i="1"/>
  <c r="F126" i="1"/>
  <c r="F125" i="1"/>
  <c r="F124" i="1"/>
  <c r="F123" i="1"/>
  <c r="H120" i="1"/>
  <c r="F120" i="1"/>
  <c r="F115" i="1"/>
  <c r="J114" i="1"/>
  <c r="I114" i="1"/>
  <c r="H114" i="1"/>
  <c r="F114" i="1"/>
  <c r="J113" i="1"/>
  <c r="I113" i="1"/>
  <c r="H113" i="1"/>
  <c r="F113" i="1"/>
  <c r="F112" i="1"/>
  <c r="F111" i="1"/>
  <c r="I110" i="1"/>
  <c r="H110" i="1"/>
  <c r="F110" i="1"/>
  <c r="F109" i="1"/>
  <c r="H108" i="1"/>
  <c r="F108" i="1"/>
  <c r="F107" i="1"/>
  <c r="F106" i="1"/>
  <c r="F105" i="1"/>
  <c r="F104" i="1"/>
  <c r="F103" i="1"/>
  <c r="F102" i="1"/>
  <c r="F101" i="1"/>
  <c r="F100" i="1"/>
  <c r="F99" i="1"/>
  <c r="F98" i="1"/>
  <c r="F97" i="1"/>
  <c r="J96" i="1"/>
  <c r="I96" i="1"/>
  <c r="F96" i="1"/>
  <c r="F95" i="1"/>
  <c r="F94" i="1"/>
  <c r="J93" i="1"/>
  <c r="I93" i="1"/>
  <c r="H93" i="1"/>
  <c r="F93" i="1"/>
  <c r="F92" i="1"/>
  <c r="J91" i="1"/>
  <c r="I91" i="1"/>
  <c r="H91" i="1"/>
  <c r="F91" i="1"/>
  <c r="J90" i="1"/>
  <c r="I90" i="1"/>
  <c r="H90" i="1"/>
  <c r="F90" i="1"/>
  <c r="F89" i="1"/>
  <c r="F88" i="1"/>
  <c r="F87" i="1"/>
  <c r="J86" i="1"/>
  <c r="I86" i="1"/>
  <c r="F86" i="1"/>
  <c r="F85" i="1"/>
  <c r="F84" i="1"/>
  <c r="J83" i="1"/>
  <c r="I83" i="1"/>
  <c r="H83" i="1"/>
  <c r="F83" i="1"/>
  <c r="F82" i="1"/>
  <c r="H81" i="1"/>
  <c r="F81" i="1"/>
  <c r="H80" i="1"/>
  <c r="F80" i="1"/>
  <c r="F79" i="1"/>
  <c r="F78" i="1"/>
  <c r="F77" i="1"/>
  <c r="F76" i="1"/>
  <c r="F75" i="1"/>
  <c r="C76" i="1" s="1"/>
  <c r="F74" i="1"/>
  <c r="F73" i="1"/>
  <c r="F72" i="1"/>
  <c r="F71" i="1"/>
  <c r="F70" i="1"/>
  <c r="F69" i="1"/>
  <c r="F68" i="1"/>
  <c r="F67" i="1"/>
  <c r="F66" i="1"/>
  <c r="F65" i="1"/>
  <c r="F64" i="1"/>
  <c r="F62" i="1"/>
  <c r="F61" i="1"/>
  <c r="F60" i="1"/>
  <c r="F59" i="1"/>
  <c r="F58" i="1"/>
  <c r="F57" i="1"/>
  <c r="J56" i="1"/>
  <c r="I56" i="1"/>
  <c r="H56" i="1"/>
  <c r="F56" i="1"/>
  <c r="J55" i="1"/>
  <c r="I55" i="1"/>
  <c r="H55" i="1"/>
  <c r="F55" i="1"/>
  <c r="F54" i="1"/>
  <c r="F53" i="1"/>
  <c r="I52" i="1"/>
  <c r="F52" i="1"/>
  <c r="J51" i="1"/>
  <c r="I51" i="1"/>
  <c r="H51" i="1"/>
  <c r="F51" i="1"/>
  <c r="F50" i="1"/>
  <c r="H49" i="1"/>
  <c r="F49" i="1"/>
  <c r="F48" i="1"/>
  <c r="F47" i="1"/>
  <c r="F46" i="1"/>
  <c r="F45" i="1"/>
  <c r="F44" i="1"/>
  <c r="F43" i="1"/>
  <c r="J42" i="1"/>
  <c r="I42" i="1"/>
  <c r="H42" i="1"/>
  <c r="F42" i="1"/>
  <c r="J41" i="1"/>
  <c r="I41" i="1"/>
  <c r="H41" i="1"/>
  <c r="F41" i="1"/>
  <c r="F40" i="1"/>
  <c r="F39" i="1"/>
  <c r="F38" i="1"/>
  <c r="F37" i="1"/>
  <c r="F36" i="1"/>
  <c r="F35" i="1"/>
  <c r="F34" i="1"/>
  <c r="F33" i="1"/>
  <c r="H32" i="1"/>
  <c r="F32" i="1"/>
  <c r="J31" i="1"/>
  <c r="I31" i="1"/>
  <c r="H31" i="1"/>
  <c r="F31" i="1"/>
  <c r="J30" i="1"/>
  <c r="I30" i="1"/>
  <c r="H30" i="1"/>
  <c r="F30" i="1"/>
  <c r="F29" i="1"/>
  <c r="H28" i="1"/>
  <c r="F28" i="1"/>
  <c r="H27" i="1"/>
  <c r="H26" i="1"/>
  <c r="J25" i="1"/>
  <c r="I25" i="1"/>
  <c r="H25" i="1"/>
  <c r="F25" i="1"/>
  <c r="H24" i="1"/>
  <c r="F24" i="1"/>
  <c r="F23" i="1"/>
  <c r="F22" i="1"/>
  <c r="F21" i="1"/>
  <c r="F20" i="1"/>
  <c r="F19" i="1"/>
  <c r="F18" i="1"/>
  <c r="F17" i="1"/>
  <c r="A17" i="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D14" i="1"/>
  <c r="K13" i="1"/>
  <c r="J13" i="1"/>
  <c r="I13" i="1"/>
  <c r="H13" i="1"/>
  <c r="C13" i="1"/>
  <c r="L12" i="1"/>
  <c r="K12" i="1"/>
  <c r="J12" i="1"/>
  <c r="I12" i="1"/>
  <c r="H12" i="1"/>
  <c r="D12" i="1"/>
  <c r="L203" i="1" s="1"/>
  <c r="C12" i="1"/>
  <c r="G202" i="1" s="1"/>
  <c r="H5" i="1"/>
  <c r="B16" i="1" s="1"/>
  <c r="B17" i="1" s="1"/>
  <c r="F5" i="1"/>
  <c r="H4" i="1"/>
  <c r="G4" i="1"/>
  <c r="K68" i="1" s="1"/>
  <c r="F4" i="1"/>
  <c r="G67" i="1" s="1"/>
  <c r="H1" i="1"/>
  <c r="C195" i="1" l="1"/>
  <c r="C196" i="1" s="1"/>
  <c r="C197" i="1" s="1"/>
  <c r="C198" i="1" s="1"/>
  <c r="C199" i="1"/>
  <c r="C200" i="1" s="1"/>
  <c r="C201" i="1" s="1"/>
  <c r="C202" i="1" s="1"/>
  <c r="B199" i="1"/>
  <c r="B200" i="1" s="1"/>
  <c r="B201" i="1" s="1"/>
  <c r="B202" i="1" s="1"/>
  <c r="A203" i="1"/>
  <c r="A204" i="1" s="1"/>
  <c r="A205" i="1" s="1"/>
  <c r="A206" i="1" s="1"/>
  <c r="K66" i="1"/>
  <c r="C77" i="1"/>
  <c r="C78" i="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214" i="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G203" i="1"/>
  <c r="B18" i="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23" i="1" s="1"/>
  <c r="B124" i="1" s="1"/>
  <c r="B125" i="1" s="1"/>
  <c r="G66" i="1"/>
  <c r="K203" i="1"/>
  <c r="L200" i="1"/>
  <c r="G204" i="1"/>
  <c r="L65" i="1"/>
  <c r="A207" i="1"/>
  <c r="A208" i="1" s="1"/>
  <c r="A209" i="1" s="1"/>
  <c r="A210" i="1" s="1"/>
  <c r="A211" i="1" s="1"/>
  <c r="A212" i="1" s="1"/>
  <c r="A213" i="1" s="1"/>
  <c r="A214" i="1" s="1"/>
  <c r="A215" i="1" s="1"/>
  <c r="A216" i="1" s="1"/>
  <c r="A217" i="1" s="1"/>
  <c r="A218" i="1" s="1"/>
  <c r="A219" i="1" s="1"/>
  <c r="A220" i="1" s="1"/>
  <c r="A221" i="1" s="1"/>
  <c r="A222" i="1" s="1"/>
  <c r="A223" i="1" s="1"/>
  <c r="A224" i="1" s="1"/>
  <c r="G68" i="1"/>
  <c r="G69" i="1"/>
  <c r="K201" i="1"/>
  <c r="L156" i="1"/>
  <c r="G201" i="1"/>
  <c r="K156" i="1"/>
  <c r="K200" i="1"/>
  <c r="L201" i="1"/>
  <c r="K65" i="1"/>
  <c r="C16" i="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D5" i="1" l="1"/>
  <c r="D10" i="1"/>
  <c r="A225" i="1"/>
  <c r="A226" i="1" s="1"/>
  <c r="A227" i="1" s="1"/>
  <c r="A228" i="1" s="1"/>
  <c r="A229" i="1" s="1"/>
  <c r="A230" i="1" s="1"/>
  <c r="A231" i="1" s="1"/>
  <c r="A232" i="1" s="1"/>
  <c r="A233" i="1" s="1"/>
  <c r="A234" i="1" s="1"/>
  <c r="A235" i="1" s="1"/>
  <c r="A236" i="1" s="1"/>
  <c r="A237" i="1" s="1"/>
  <c r="A238" i="1" s="1"/>
  <c r="A239" i="1" s="1"/>
  <c r="B126" i="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203" i="1" s="1"/>
  <c r="B204" i="1" s="1"/>
  <c r="B205" i="1" s="1"/>
  <c r="B206" i="1" s="1"/>
  <c r="B207" i="1" s="1"/>
  <c r="C123" i="1"/>
  <c r="C124" i="1" s="1"/>
  <c r="C125" i="1" s="1"/>
  <c r="A240" i="1" l="1"/>
  <c r="A241" i="1" s="1"/>
  <c r="A242" i="1" s="1"/>
  <c r="A243" i="1" s="1"/>
  <c r="A244" i="1" s="1"/>
  <c r="A245" i="1" s="1"/>
  <c r="A246" i="1" s="1"/>
  <c r="A247" i="1" s="1"/>
  <c r="B208" i="1"/>
  <c r="B209" i="1" s="1"/>
  <c r="B210" i="1" s="1"/>
  <c r="B211" i="1" s="1"/>
  <c r="B212" i="1" s="1"/>
  <c r="B213" i="1" s="1"/>
  <c r="B214" i="1" s="1"/>
  <c r="B215" i="1" s="1"/>
  <c r="B216" i="1" s="1"/>
  <c r="B217" i="1" s="1"/>
  <c r="B218" i="1" s="1"/>
  <c r="B219" i="1" s="1"/>
  <c r="B220" i="1" s="1"/>
  <c r="B221" i="1" s="1"/>
  <c r="B222" i="1" s="1"/>
  <c r="B223" i="1" s="1"/>
  <c r="B224" i="1" s="1"/>
  <c r="C14" i="1"/>
  <c r="D121" i="1"/>
  <c r="C126" i="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203" i="1" s="1"/>
  <c r="C204" i="1" s="1"/>
  <c r="C205" i="1" s="1"/>
  <c r="C206" i="1" s="1"/>
  <c r="C207" i="1" s="1"/>
  <c r="A248" i="1" l="1"/>
  <c r="A249" i="1" s="1"/>
  <c r="A250" i="1" s="1"/>
  <c r="A251" i="1" s="1"/>
  <c r="A252" i="1" s="1"/>
  <c r="A253" i="1" s="1"/>
  <c r="A254" i="1" s="1"/>
  <c r="A255" i="1" s="1"/>
  <c r="A256" i="1" s="1"/>
  <c r="A257" i="1" s="1"/>
  <c r="A258" i="1" s="1"/>
  <c r="A259" i="1" s="1"/>
  <c r="A260" i="1" s="1"/>
  <c r="A261" i="1" s="1"/>
  <c r="A262" i="1" s="1"/>
  <c r="A263" i="1" s="1"/>
  <c r="A264" i="1" s="1"/>
  <c r="A265" i="1" s="1"/>
  <c r="B225" i="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l="1"/>
  <c r="B250" i="1" s="1"/>
  <c r="B252" i="1" s="1"/>
  <c r="B254" i="1" s="1"/>
  <c r="B256" i="1" s="1"/>
  <c r="B258" i="1" s="1"/>
  <c r="B249" i="1"/>
  <c r="B251" i="1" s="1"/>
  <c r="B253" i="1" s="1"/>
  <c r="B255" i="1" s="1"/>
  <c r="B257" i="1" s="1"/>
  <c r="B259" i="1" s="1"/>
  <c r="B260" i="1" s="1"/>
  <c r="B261" i="1" s="1"/>
  <c r="B262" i="1" s="1"/>
  <c r="B263" i="1" s="1"/>
  <c r="B264" i="1" s="1"/>
  <c r="B265" i="1" s="1"/>
</calcChain>
</file>

<file path=xl/sharedStrings.xml><?xml version="1.0" encoding="utf-8"?>
<sst xmlns="http://schemas.openxmlformats.org/spreadsheetml/2006/main" count="2449" uniqueCount="1088">
  <si>
    <t>2025 Concacaf Nations League Finals _ INFT Script</t>
  </si>
  <si>
    <t>Match #</t>
  </si>
  <si>
    <t>1 -Team A</t>
  </si>
  <si>
    <t>1 - Team B</t>
  </si>
  <si>
    <t>Venue</t>
  </si>
  <si>
    <t>THIRD PLACE</t>
  </si>
  <si>
    <t>Warmup</t>
  </si>
  <si>
    <t>KICK OFF:</t>
  </si>
  <si>
    <t>GATES:</t>
  </si>
  <si>
    <t>Wired Camera 1: Presenters</t>
  </si>
  <si>
    <t xml:space="preserve">Wired Camera 2: Grayson - DJ </t>
  </si>
  <si>
    <t>RF Camera 3: Najjah</t>
  </si>
  <si>
    <t>`</t>
  </si>
  <si>
    <t>2nd Match</t>
  </si>
  <si>
    <t>ACTIVITY</t>
  </si>
  <si>
    <t>AUDIO</t>
  </si>
  <si>
    <t>Video Board</t>
  </si>
  <si>
    <t>LED Ribbons</t>
  </si>
  <si>
    <t>Script ENG</t>
  </si>
  <si>
    <t>Script SPANISH</t>
  </si>
  <si>
    <t>FINAL</t>
  </si>
  <si>
    <t>Digital Content</t>
  </si>
  <si>
    <t>CNLF Generic Animation</t>
  </si>
  <si>
    <t>Sponsors:</t>
  </si>
  <si>
    <t>Qatar Airways Still</t>
  </si>
  <si>
    <t>Video board + LED:</t>
  </si>
  <si>
    <t xml:space="preserve">Ann_Starting XI </t>
  </si>
  <si>
    <t>Starting XI LED</t>
  </si>
  <si>
    <t xml:space="preserve"> </t>
  </si>
  <si>
    <t>TIME OF DAY</t>
  </si>
  <si>
    <t>ZERO</t>
  </si>
  <si>
    <t>Minute</t>
  </si>
  <si>
    <t>Second</t>
  </si>
  <si>
    <t>DURATION</t>
  </si>
  <si>
    <t>GATES OPEN</t>
  </si>
  <si>
    <t>BGM</t>
  </si>
  <si>
    <t>CNLF GENERIC</t>
  </si>
  <si>
    <t>Generic LED</t>
  </si>
  <si>
    <t>SOFI protected Time.</t>
  </si>
  <si>
    <t xml:space="preserve">Big Welcome + Band
</t>
  </si>
  <si>
    <t>ANN mics</t>
  </si>
  <si>
    <t>RF Cams</t>
  </si>
  <si>
    <t>Duda: Welcome everyone to the CONCACAF Nations League Finals at Sofi Stadium, intro today's game, THIRD PLACE MATCH… It's gonna be a party and I am not alone. Intro Ili. 
Ili: Bienvenidos a los juegos finales de CONCACAF Nations League en SoFi Stadium! El primer partido para el tercer lugar sera entre Canada y Estados Unidos. Esto va a ser una fiesta y estamos listos para vivirla. 
Duda: That's right Ili, but we need some moves, we need some energy and becaue of that, ladies and gentlemen let me introduce you to the life of the party, the Mister Zoom Zoom! 
Najja: Najja introduces himself and Grayson 
Duda: wraps it up</t>
  </si>
  <si>
    <t>Players' warm-up</t>
  </si>
  <si>
    <t>CF/RF</t>
  </si>
  <si>
    <t>Sponsors: Pre match 1</t>
  </si>
  <si>
    <t>Rexona Still (Unilever)</t>
  </si>
  <si>
    <t xml:space="preserve">Rexona Still </t>
  </si>
  <si>
    <t>Rexona</t>
  </si>
  <si>
    <t>Rexona, the official antiperspirant partner of the 2025 Concacaf Nations League Finals. You Bring The Heat, Rexona Brings the 72 hour Non-stop protection.</t>
  </si>
  <si>
    <t xml:space="preserve">Rexona, el antitranspirante oficial de la Final de la Liga de Naciones de Concacaf 2025. Tú pones la pasión, Rexona la protección. </t>
  </si>
  <si>
    <t>Valvoline Still</t>
  </si>
  <si>
    <t>Valvoline products are a game changer for your vehicle's performance. Pick up your favorite Valvoline product today at your local O'Reilly Auto Parts and score superior engine protection for miles ahead. Valvoline and O'Reilly Auto Parts. Proud sponsors of the CONCACAF Nations League.</t>
  </si>
  <si>
    <t>Aumenta el desempeño de tu vehículo y gana la jugada con Valvoline. Encuentra tu producto favorito Valvoline en tu tienda local O'Reilly Auto Parts y consigue una defensa superior para tu motor. Valvoline y O'Reilly Auto Parts, orgullosos patrocinadores de la CONCACAF Nations League</t>
  </si>
  <si>
    <t xml:space="preserve">Galaxy Still </t>
  </si>
  <si>
    <t>Galaxy Still</t>
  </si>
  <si>
    <t>GALAXY FANS…SECURE YOUR SEATS FOR 20-25'S BIGGEST MATCHES WITH THE “CHAMPIONS PACK"!  CELEBRATE THE GALAXY'S SIXTH STAR WITH A GAME FOR EVERY STAR…ALL AT A DISCOUNTED RATE! TO SECURE YOUR SEATS, VISIT “L-A GALAXY DOT COM SLASH TICKETS”.</t>
  </si>
  <si>
    <t>LA Sports Commision</t>
  </si>
  <si>
    <t>LA Sports Commission Still</t>
  </si>
  <si>
    <t>As we countdown to the 2026 FIFA World Cup, the Los Angeles World Cup Host Committee is proud to unveil the Official Los Angeles poster.
The poster will be prominently featured around the region leading up to the U.S. Men’s National Team Opening Match - right here at SoFi Stadium. 
To learn more about Los Angeles as a FIFA World Cup Host City visit 
Los Angeles FWC 26 Dot Com</t>
  </si>
  <si>
    <t xml:space="preserve">Riyadh Air Still </t>
  </si>
  <si>
    <t>Riyadh Air Still</t>
  </si>
  <si>
    <t>Riyadh Air</t>
  </si>
  <si>
    <t>Riyadh (Ri-ah-de) Air is proud to be the official airline of the 2025 Concacaf Nations League Finals. The partnership brings together two ambitious, like-minded organizations who share a commitment to excellence, whether in the skies or on the pitch</t>
  </si>
  <si>
    <t xml:space="preserve">Shriners Children Still </t>
  </si>
  <si>
    <t>PA+BGM</t>
  </si>
  <si>
    <t xml:space="preserve">Shriners Children  still </t>
  </si>
  <si>
    <t>Shriners Children</t>
  </si>
  <si>
    <t>Shriners Children’s is the official children’s healthcare provider of the Concacaf Nations League Finals and provides life-changing care, regardless of the ability to pay or insurance status. Shriners Children’s — the most amazing care anywhere</t>
  </si>
  <si>
    <t>MOLTEN Still</t>
  </si>
  <si>
    <t>Molten, the official match ball of the 2025 Concacaf Nations League Finals</t>
  </si>
  <si>
    <t>Neau Water Still</t>
  </si>
  <si>
    <t>PIF Still</t>
  </si>
  <si>
    <t>PIF is a proud partner of the 2025 Concacaf Nations League Finals. Committed to elevating youth and unlocking opportunities to grow football at every level of the game in North America, Central America and the Caribbean while focusing on PIF’s four sponsorship pillars – Inclusivity, Sustainability, Youth and Technology.</t>
  </si>
  <si>
    <t xml:space="preserve">Underdog Still </t>
  </si>
  <si>
    <t>Line-Up CANADA: Visual only (Starting XI, head coach, Substitutes)</t>
  </si>
  <si>
    <t>GFX</t>
  </si>
  <si>
    <t>CAN_ALFONSO DAVIES</t>
  </si>
  <si>
    <t>SOT</t>
  </si>
  <si>
    <t>Anti-discrimination VT</t>
  </si>
  <si>
    <t>WWIW</t>
  </si>
  <si>
    <t>Line-Up USA: Visual only (Starting XI, head coach, Substitutes)</t>
  </si>
  <si>
    <t>USA_TYLER ADAMS</t>
  </si>
  <si>
    <t>Rexona VT</t>
  </si>
  <si>
    <t>VT AUDIO</t>
  </si>
  <si>
    <t>Shriners Children VT</t>
  </si>
  <si>
    <t>VT Audio</t>
  </si>
  <si>
    <t>MOLTEN Video</t>
  </si>
  <si>
    <t>Aramco Video</t>
  </si>
  <si>
    <t xml:space="preserve">Macron VT </t>
  </si>
  <si>
    <t>Macron VT</t>
  </si>
  <si>
    <t>Neau Water Video</t>
  </si>
  <si>
    <t>Neau Water</t>
  </si>
  <si>
    <t>Underdog VT</t>
  </si>
  <si>
    <t>Underdog</t>
  </si>
  <si>
    <t>LIVE SEGEMENT WITH BAND</t>
  </si>
  <si>
    <t>Band</t>
  </si>
  <si>
    <t>Sponsors: Pre match 2</t>
  </si>
  <si>
    <t>Riyadh Video</t>
  </si>
  <si>
    <t>PIF Video</t>
  </si>
  <si>
    <t>PIF VT</t>
  </si>
  <si>
    <t>PIF</t>
  </si>
  <si>
    <t>FIFA World Cup 2026</t>
  </si>
  <si>
    <t>FIFA WC 2026</t>
  </si>
  <si>
    <t>FIFA WC</t>
  </si>
  <si>
    <t>FINAL HYPE:All talent _DJ booth
FAN COLOUR</t>
  </si>
  <si>
    <t>Clean Feed</t>
  </si>
  <si>
    <t>Thunderstruck Hype Reel (LE to provide) SF/3RD/FINAL</t>
  </si>
  <si>
    <t>Hype Reel</t>
  </si>
  <si>
    <t>PMC CEREMONY - LIVE TAKE OVER BY LAB2580</t>
  </si>
  <si>
    <t>PMC TAKE OVER</t>
  </si>
  <si>
    <t xml:space="preserve">IFT FEED </t>
  </si>
  <si>
    <t>PMC</t>
  </si>
  <si>
    <t>Cue Heartbeat music (Match Director cue on radio)</t>
  </si>
  <si>
    <t>Heart Beat</t>
  </si>
  <si>
    <t>Cam 1/ Clean Feed</t>
  </si>
  <si>
    <t>Let's Welcome  the teams - until last player in Position (visual cue)</t>
  </si>
  <si>
    <t>CONCACAF anthem</t>
  </si>
  <si>
    <t>Presenters (BGM)</t>
  </si>
  <si>
    <t>Flag LED</t>
  </si>
  <si>
    <t>Canada (CAN)_01:16/01:19</t>
  </si>
  <si>
    <t>United States (USA)_01:13/01:15</t>
  </si>
  <si>
    <t xml:space="preserve">STARTING LINE UP 
CAN followed by USA </t>
  </si>
  <si>
    <t>Sweet Child of Mine</t>
  </si>
  <si>
    <t>Lineup: Starting XI</t>
  </si>
  <si>
    <t>Countdown to KO</t>
  </si>
  <si>
    <t>BGM -Mic</t>
  </si>
  <si>
    <t>Countdown VT</t>
  </si>
  <si>
    <t>Countdown LED</t>
  </si>
  <si>
    <t>Sofi Stadium, let's countdown together : 10.9.8…....</t>
  </si>
  <si>
    <t>KICK OFF</t>
  </si>
  <si>
    <t>1st Half - In match Announcements</t>
  </si>
  <si>
    <t>Goal Stings</t>
  </si>
  <si>
    <t>Match ID LED</t>
  </si>
  <si>
    <t>&lt;use: Script -in Match&gt;</t>
  </si>
  <si>
    <t>LIVE PRESENTER SEGEMENT
Halftime score and recap throw to highlights</t>
  </si>
  <si>
    <t>MIC</t>
  </si>
  <si>
    <t>RF CAM</t>
  </si>
  <si>
    <t xml:space="preserve">The score at the end of the first half  is [Number] [Team A] and [Number] [Team B]
</t>
  </si>
  <si>
    <t>El marcador al final del primer tiempo es ___ Equipo A y ____ Equipo B</t>
  </si>
  <si>
    <t>FIRST HALF HIGHLIGHTS</t>
  </si>
  <si>
    <t>1 Min - Highlights (In House)</t>
  </si>
  <si>
    <t>Sponsors: Half Time</t>
  </si>
  <si>
    <t>Fan Var ENG/SPA</t>
  </si>
  <si>
    <t>Fan Var ENG</t>
  </si>
  <si>
    <t xml:space="preserve">Whats Wrong is Wrong </t>
  </si>
  <si>
    <t>Riyadh Air LED</t>
  </si>
  <si>
    <t>Riyadh Air is proud to be the official airline of the 2025 Concacaf Nations League Finals. The partnership brings together two ambitious, like-minded organizations who share a commitment to excellence, whether in the skies or on the pitch</t>
  </si>
  <si>
    <t>PA+Audio from DJ</t>
  </si>
  <si>
    <t>Valvoline Video</t>
  </si>
  <si>
    <t>Paramount+ (CBS)</t>
  </si>
  <si>
    <t>Paramount+</t>
  </si>
  <si>
    <t>Paranount+</t>
  </si>
  <si>
    <t>Fan VAR SPA</t>
  </si>
  <si>
    <t>Lo que esta Mal esta Mal</t>
  </si>
  <si>
    <t>LIVE SEGMENT WITH BAND AND GRAYSON</t>
  </si>
  <si>
    <t>BGM - MIC - BGM</t>
  </si>
  <si>
    <t>DJ LOOP LED</t>
  </si>
  <si>
    <t>FAN COLOUR WAITING FOR PLAYERS</t>
  </si>
  <si>
    <t>2nd half Kick OFF</t>
  </si>
  <si>
    <t>2nd half - In match Announcements</t>
  </si>
  <si>
    <t>Final Score Line</t>
  </si>
  <si>
    <t>tonight's final score is [_______] [Number] - [______] [Number]</t>
  </si>
  <si>
    <t xml:space="preserve"> El marcador final es [Número] [Equipo A] - [Número] [Equipo B]</t>
  </si>
  <si>
    <t>LIVE PRESENTER SEGEMENT
Full time score and recap throw to highlights</t>
  </si>
  <si>
    <t>FULL TIME HIGHLIGHTS</t>
  </si>
  <si>
    <t>Sponsors: Post Match</t>
  </si>
  <si>
    <t>Molten LED</t>
  </si>
  <si>
    <t>Thank you Sponsors</t>
  </si>
  <si>
    <t>Ann_WGC Generic</t>
  </si>
  <si>
    <t xml:space="preserve">Mexico </t>
  </si>
  <si>
    <t>Panama</t>
  </si>
  <si>
    <t>6:30PM</t>
  </si>
  <si>
    <t>#</t>
  </si>
  <si>
    <t>Match ID</t>
  </si>
  <si>
    <t xml:space="preserve">Shriners Children still </t>
  </si>
  <si>
    <t>Audio Clip in Dropbox</t>
  </si>
  <si>
    <t>Underdog Still</t>
  </si>
  <si>
    <t xml:space="preserve">Welcome
Camera 1: Duda &amp; Iliana 
Duda: Introduce yourself
Iliana: Introduce yourself 
Duda: Overview of past week and social media @
Iliana: Overview of past week &amp; social media @
Duda: Throw to Najjah in the crowd 
RF Camera 3: Najjah 
Out with Fans 
Camera 1: Duda &amp; Iliana 
Walk from postion to DJ booth and introduce Grayson 
Camera 2: Grayson 
DJ Set
</t>
  </si>
  <si>
    <t xml:space="preserve">Welcome - let's get the party started. Track: Let's get started!!
Camera 1: Duda &amp; Iliana 
Duda: Introduce yourself : Welcome to Concacaf Nations League Finals. My name is Duda Pavao and I'm one of your hosts for today's matches.  We have MEXICO against PANAMA at 6:30, fighting for a the Finals. I brought some extra help to get this party going, first,  Iliana Jimenez.
Iliana: Hola y bienvenidos a la final del CONCACAF Nations League. Mi nombre es Iliana Jimenez y soy su otra de sus anfitrionas esta noche. Tenemos a Mexico contra Panama a las 6:30 luchando por el oro! Duda, who else is joining us today?
Duda:  Intro Najjah =&gt; Najjah intro himself. =&gt; Najjah: We will need good music for this party and I brought my favorite DJ in the world: Grayson Repp. Grayson, should we get Started?
Grayson: Drop the beat.
&lt;all dancing on cam for a couple seconds&gt;
Duda: That's right CONCACAF fans, the party is just getting started! We're gonna bring the energy and fun today so LA, we need YOU to be ready for us? Right, Illiana? 
Illiana: That's right, Duda... Fans de CONCACAF, la fiesta apenas esta comenzando y queremos que ustedes nos demuestren la energia y carisma que tiene Los Angeles.
Duda: so stay hyped, and every time you see a camera, bring that energy! Deal? 
</t>
  </si>
  <si>
    <t>Fan Colour</t>
  </si>
  <si>
    <t>Kickoff_Nations League</t>
  </si>
  <si>
    <t>Kickoff Nations League</t>
  </si>
  <si>
    <t>Fan Var SPA</t>
  </si>
  <si>
    <t>3 step ENG - 1:20</t>
  </si>
  <si>
    <t>Fun roll</t>
  </si>
  <si>
    <t>1hr to KO
- Duda: "SOFI Stadium"
- Grayson: "It’s the Nations League Finals"
- Iliana: "Mexico vs Panama"
- Najjah: "We are 1 hr to Kick-off"</t>
  </si>
  <si>
    <t xml:space="preserve">Sofi stadium... it's almost time for the moment that you have been waiting for. Guess what time is it? It's... oh no, I forgot my watch. Illiana, help.
Illiana: SoFi Stadium! Ya casi es la hora que todos estan esperando, pero... no puede ser, Duda yo tambien no olvide mi reloj! Pero ya se! Busquemos a Najjah! 
Duda: Yes! We need to find Najjah! 
Both: Najjah! Najjah!
Najjah arrives saving the day: what's going on girls? 
Duda: help Najjah, it's almost gametime!! What time is it?
Iliana: Si Najjah, que hora es? 
Najjah: ...... It's ONE HOUR 
All: TO KICKOFF. </t>
  </si>
  <si>
    <t xml:space="preserve"> 1hr To KO</t>
  </si>
  <si>
    <t>1 hr to KO</t>
  </si>
  <si>
    <t>Hype LED</t>
  </si>
  <si>
    <t>LIVE SEGMENT +  BAND</t>
  </si>
  <si>
    <t>BGM+ BAND</t>
  </si>
  <si>
    <t>Warmup - Welcome the Teams to the Pitch</t>
  </si>
  <si>
    <t>Player Warm-ups</t>
  </si>
  <si>
    <t>TEAM VIDEO (MEX)</t>
  </si>
  <si>
    <t>Team MEX VT</t>
  </si>
  <si>
    <t>Line-Up MEXICO: Visual only (Starting XI, head coach, Substitutes)</t>
  </si>
  <si>
    <t>MEX_PLAYER WWIW</t>
  </si>
  <si>
    <t>Anti-Discriminatation</t>
  </si>
  <si>
    <t>Clean Feed - buffer</t>
  </si>
  <si>
    <t>TEAM VIDEO (PAN)</t>
  </si>
  <si>
    <t>Team PAN VT</t>
  </si>
  <si>
    <t>Line-Up PANAMA: Visual only (Starting XI, head coach, Substitutes)</t>
  </si>
  <si>
    <t>PAN_ANIBAL GODOY</t>
  </si>
  <si>
    <t>LIVE SEGEMENT:  TBD</t>
  </si>
  <si>
    <t>ANN MIC</t>
  </si>
  <si>
    <t>LIVE</t>
  </si>
  <si>
    <t>Soccer freestyler doing headers with duda// Iliana interviewing a fan in Spanish// duda interviewing a fan in English// Najjah cue song with kid who requests the song to Grayson// cielito lindo Iliana// Najjah x Duda cheer off// follow the leader// the wave// “Flags Cam” get the fans to show their flags</t>
  </si>
  <si>
    <t>3 step SPA - 1:44</t>
  </si>
  <si>
    <t xml:space="preserve">3 steps Spa </t>
  </si>
  <si>
    <t xml:space="preserve">Lo que esta mal esta mal </t>
  </si>
  <si>
    <t>CNLF  Trophy Tour</t>
  </si>
  <si>
    <t>Trophy Tour</t>
  </si>
  <si>
    <t>TROPHY PRESENTATION</t>
  </si>
  <si>
    <t>MIC/BGM</t>
  </si>
  <si>
    <t>Mexico_01:32/01:34</t>
  </si>
  <si>
    <t>Panama_01:25/01:27</t>
  </si>
  <si>
    <t xml:space="preserve">STARTING LINE UP 
MEXICO followed by PANAMA </t>
  </si>
  <si>
    <t xml:space="preserve"> Let's countdown together : 10.9.8…....</t>
  </si>
  <si>
    <t>Vt Audio</t>
  </si>
  <si>
    <t>Fan Colour / Match ID (on Hold for KO)</t>
  </si>
  <si>
    <t>Fan Colour (on Hold for AWARDS CER)</t>
  </si>
  <si>
    <t xml:space="preserve">AWARDS CEREMONY </t>
  </si>
  <si>
    <t>AWARDS CEREMONY COMMENCE</t>
  </si>
  <si>
    <t xml:space="preserve">MIC
FADE DJ MUSIC
CNL Anthem
</t>
  </si>
  <si>
    <t>GFX/ TRUCK FEED</t>
  </si>
  <si>
    <t>AWARDS CEREMONY</t>
  </si>
  <si>
    <t xml:space="preserve">TOP GOAL SCORER 
PRESENTED BY ARAMCO </t>
  </si>
  <si>
    <t>MIC
BGM</t>
  </si>
  <si>
    <t xml:space="preserve">TOP SCORER AWARD </t>
  </si>
  <si>
    <t>YOUNG PLAYER 
PRESENTED BY ARAMCO</t>
  </si>
  <si>
    <t>YOUNG PLAYER AWARD</t>
  </si>
  <si>
    <t>FAIR PLAY 
PRESENTED BY DEGREE</t>
  </si>
  <si>
    <t>FAIR PLAY AWARD</t>
  </si>
  <si>
    <t>BEST GOALKEEPER 
PRESENTED BY REXONA</t>
  </si>
  <si>
    <t>BEST GOALKEEPER AWARD</t>
  </si>
  <si>
    <t>BEST PLAYER 
PRESENTED BY ARAMCO</t>
  </si>
  <si>
    <t xml:space="preserve">BEST PLAYER AWARD </t>
  </si>
  <si>
    <t>REFEREE MEDALS</t>
  </si>
  <si>
    <t xml:space="preserve">COMMEMEMORATIVE REFEREE MEDALS </t>
  </si>
  <si>
    <t xml:space="preserve">CONCACAF WOULD LIKE TO  RECOGNIZE AND HONOR TONIGHT'S MATCH OFFICIALS.
</t>
  </si>
  <si>
    <t>RUNNERS UP</t>
  </si>
  <si>
    <t xml:space="preserve">RUNNERS UP MEDALS </t>
  </si>
  <si>
    <t xml:space="preserve">CHAMPIONS </t>
  </si>
  <si>
    <t xml:space="preserve">CHAMPIONS  </t>
  </si>
  <si>
    <t xml:space="preserve">CAPTAIN'S WALK </t>
  </si>
  <si>
    <t>MIC
TILL I COLLAPSE</t>
  </si>
  <si>
    <t>TRUCK FEED</t>
  </si>
  <si>
    <t xml:space="preserve">TROPHY LIFT </t>
  </si>
  <si>
    <t>CEREMONY END
THANK YOU SPONSORS
THANK YOU FANS</t>
  </si>
  <si>
    <t>MIC
HEAVEN</t>
  </si>
  <si>
    <t>CONCACAF APPRECIATES THE UNCONDITIONAL SUPPORT OF OUR COMPETITION SPONSORS
TO OUR FANS WATCHING FROM HOME, THANK YOU! WE HOPE YOU ENJOYED THE 2025 CONCACAF NATIONS LEAGUE
HAVE A  GOOD NIGHT!</t>
  </si>
  <si>
    <t>ARAMCO LED</t>
  </si>
  <si>
    <t>CONCACAF NATIONS LEAGUE Sponsors Tracker</t>
  </si>
  <si>
    <t>Sponsors Blocks</t>
  </si>
  <si>
    <t>Pre-match 1</t>
  </si>
  <si>
    <t>Pre-match 2</t>
  </si>
  <si>
    <t>half-Time</t>
  </si>
  <si>
    <t>Post Match</t>
  </si>
  <si>
    <t>Check</t>
  </si>
  <si>
    <t xml:space="preserve">Sponsor </t>
  </si>
  <si>
    <t xml:space="preserve">Duration </t>
  </si>
  <si>
    <t>Audio</t>
  </si>
  <si>
    <t xml:space="preserve">LED Ribbons </t>
  </si>
  <si>
    <t xml:space="preserve">Pitchside LED </t>
  </si>
  <si>
    <t>Script</t>
  </si>
  <si>
    <t># per match</t>
  </si>
  <si>
    <t>Notes</t>
  </si>
  <si>
    <t xml:space="preserve">Valvoline Still </t>
  </si>
  <si>
    <t>Valvoline</t>
  </si>
  <si>
    <t>Valvoline knows the best players never stop running. And that’s exactly what Valvoline does– provides maximum protection to keep your vehicle performing at its best. Find Valvoline full synthetic motor oils at your local O’Reilly Auto Parts. Proud partner of the CONCACAF Nations League Finals. 
Valvoline sabe que los mejores jugadores nunca dejan de correr. Y eso es exactamente lo que hace Valvoline Ofrece máxima protección para mantener su vehículo funcionando al máximo rendimiento Encuentra los aceites de motor totalmente sintéticos de Valvoline en su tienda local O’Reilly Auto Parts
.Orgulloso socio de la Copa Oro Femenina</t>
  </si>
  <si>
    <t xml:space="preserve">English and spanish </t>
  </si>
  <si>
    <t>Valvoline - LOCAL MECHANICS RECOGNITION</t>
  </si>
  <si>
    <t>Rexona Still</t>
  </si>
  <si>
    <t>Dove Video (Uniliever)</t>
  </si>
  <si>
    <t>Dove Video</t>
  </si>
  <si>
    <t>Dove</t>
  </si>
  <si>
    <t>Degree Still (Unilever)</t>
  </si>
  <si>
    <t>Degree Still</t>
  </si>
  <si>
    <t>Degree</t>
  </si>
  <si>
    <t>Degree Video (Unilever)</t>
  </si>
  <si>
    <t>Degree Video</t>
  </si>
  <si>
    <t>Molten Still</t>
  </si>
  <si>
    <t xml:space="preserve">Molten </t>
  </si>
  <si>
    <t>Molten, the official match ball of 2024 ConcacafNations League Final</t>
  </si>
  <si>
    <t>Molten Video</t>
  </si>
  <si>
    <t>Aramco Still</t>
  </si>
  <si>
    <t xml:space="preserve">Aramco Still </t>
  </si>
  <si>
    <t>Aramco</t>
  </si>
  <si>
    <t>PA+Audio File from DJ</t>
  </si>
  <si>
    <t>Finally a water that's different. No more aggressive filtration and additives to mask the taste.neaūwater’s proprietary technology (H.A.R.T.) restores water to its natural form, giving you pureH20 with neutral pH and clean, crisp taste. Experience the difference atneauwater.com. Find us atAmazon.com. Welcome back, water!</t>
  </si>
  <si>
    <t>Chilis Fan Cam</t>
  </si>
  <si>
    <t>Chili's Still</t>
  </si>
  <si>
    <t>Chilis</t>
  </si>
  <si>
    <t>Body Armour Video +PA</t>
  </si>
  <si>
    <t>Body Armour Video</t>
  </si>
  <si>
    <t>Body Armour</t>
  </si>
  <si>
    <t>BODYARMOR Sports Drink is your go-to hydration source all season long. With real ingredients,electrolytes, antioxidants and no artificial sweeteners, flavors, or dyes, BODYARMOR Sports Drink willtake yourgame to the next level. Reach for real hydration with BODYARMOR Sports Drink. Nothing is more real</t>
  </si>
  <si>
    <t>video with no audio</t>
  </si>
  <si>
    <t>STA - Visit Saudi Still</t>
  </si>
  <si>
    <t>STA - Visit Saudi</t>
  </si>
  <si>
    <t>STA - Visit Saudi Video</t>
  </si>
  <si>
    <t>El Mayor Tequila Still - TBC</t>
  </si>
  <si>
    <t xml:space="preserve">El Mayor Tequila Video - TBC </t>
  </si>
  <si>
    <t>MAIN VB</t>
  </si>
  <si>
    <t>RIBBON BOARDS</t>
  </si>
  <si>
    <t>EXTRA</t>
  </si>
  <si>
    <t>Fieldboards</t>
  </si>
  <si>
    <t xml:space="preserve">LE </t>
  </si>
  <si>
    <t>CONCACAF NATIONS LEAGUE DIGITAL CONTENT LIST</t>
  </si>
  <si>
    <t>Name</t>
  </si>
  <si>
    <t xml:space="preserve">Diamon-Vision Center Hung </t>
  </si>
  <si>
    <t>Lower Silver Endzone</t>
  </si>
  <si>
    <t>Lower Silver Sideline</t>
  </si>
  <si>
    <t>Vomitory Gaps Boards</t>
  </si>
  <si>
    <t>Upper Sideline</t>
  </si>
  <si>
    <t>Upper End Zone</t>
  </si>
  <si>
    <t>HOF Ribbon North Side</t>
  </si>
  <si>
    <t>HOF Ribbon East EZ</t>
  </si>
  <si>
    <t>HOF Ribbon South Side</t>
  </si>
  <si>
    <t>HOF Ribbon West EZ</t>
  </si>
  <si>
    <t>AT&amp;T Live effects Board</t>
  </si>
  <si>
    <t>PEPSI Board</t>
  </si>
  <si>
    <t>Miller Boards</t>
  </si>
  <si>
    <t>Fieldboard Stage</t>
  </si>
  <si>
    <t xml:space="preserve">LED DJ Booth (LE) </t>
  </si>
  <si>
    <t>TGI Notes</t>
  </si>
  <si>
    <t>Concacaf Notes</t>
  </si>
  <si>
    <t>LE Notes</t>
  </si>
  <si>
    <t>w/o score strip</t>
  </si>
  <si>
    <t>with  score strip</t>
  </si>
  <si>
    <t>Spec</t>
  </si>
  <si>
    <t>1920x1080</t>
  </si>
  <si>
    <t>2496x48</t>
  </si>
  <si>
    <t>832x48</t>
  </si>
  <si>
    <t>11504x40</t>
  </si>
  <si>
    <t>496x104</t>
  </si>
  <si>
    <t>11248x48</t>
  </si>
  <si>
    <t>12000x48</t>
  </si>
  <si>
    <t>3840x48</t>
  </si>
  <si>
    <t>11940x48</t>
  </si>
  <si>
    <t>3900x48</t>
  </si>
  <si>
    <t>3840x384</t>
  </si>
  <si>
    <t>1008x1064</t>
  </si>
  <si>
    <t>2 x 5,700 px (w) x 90 px (h)</t>
  </si>
  <si>
    <t>tbd</t>
  </si>
  <si>
    <t># of files</t>
  </si>
  <si>
    <t>Format</t>
  </si>
  <si>
    <t>will not use</t>
  </si>
  <si>
    <t>black out</t>
  </si>
  <si>
    <t>cannot use - will remain ATT Stadium</t>
  </si>
  <si>
    <t>cannot use</t>
  </si>
  <si>
    <t>or DREAM IS NOW (ENG SPA)</t>
  </si>
  <si>
    <t>Department</t>
  </si>
  <si>
    <t>Campaign Number</t>
  </si>
  <si>
    <t>Campaign List</t>
  </si>
  <si>
    <t>TYPE</t>
  </si>
  <si>
    <t>Type</t>
  </si>
  <si>
    <t xml:space="preserve">Minute </t>
  </si>
  <si>
    <t>Duration</t>
  </si>
  <si>
    <t>01-Brand</t>
  </si>
  <si>
    <t>Animated</t>
  </si>
  <si>
    <t>x</t>
  </si>
  <si>
    <t>VT</t>
  </si>
  <si>
    <t>Audio VT</t>
  </si>
  <si>
    <t>CNLF Titleboard</t>
  </si>
  <si>
    <t>added titleboard 3.5.24</t>
  </si>
  <si>
    <t xml:space="preserve">The Dream is NOW (ENG SPA) </t>
  </si>
  <si>
    <t>X</t>
  </si>
  <si>
    <t>Hashtag Loop</t>
  </si>
  <si>
    <t>Match Up Animation (USA v PAN)</t>
  </si>
  <si>
    <t>Match Up Animation (CAN v MEX)</t>
  </si>
  <si>
    <t>Match Up Animation (Third Place)</t>
  </si>
  <si>
    <t>Match Up Animation (FINAL)</t>
  </si>
  <si>
    <t>Match Up Still (taken from Animation)</t>
  </si>
  <si>
    <t>Static</t>
  </si>
  <si>
    <t>Replay Wipe x 1 (:02)</t>
  </si>
  <si>
    <t>Starting XI  (PAN)</t>
  </si>
  <si>
    <t>Starting XI  (MEX)</t>
  </si>
  <si>
    <t>Starting XI  (USA)</t>
  </si>
  <si>
    <t>Starting XI  (CAN)</t>
  </si>
  <si>
    <t>Subsitutes (PAN)</t>
  </si>
  <si>
    <t>Subsitutes (MEX)</t>
  </si>
  <si>
    <t>Subsitutes (USA)</t>
  </si>
  <si>
    <t>Subsitutes (CAN)</t>
  </si>
  <si>
    <t>Goal Animation (generic)</t>
  </si>
  <si>
    <t>Substitution (generic )</t>
  </si>
  <si>
    <t>Anti Discrimination - What's Wrong is Wrong ENG</t>
  </si>
  <si>
    <t>Anti Discrimination - What's Wrong is Wrong SPA</t>
  </si>
  <si>
    <t>Video</t>
  </si>
  <si>
    <t>LiveEngine to provide</t>
  </si>
  <si>
    <t>DJ loop LED tier (LE to provide)</t>
  </si>
  <si>
    <t>Brand</t>
  </si>
  <si>
    <t>TEAM VIDEO (USA)</t>
  </si>
  <si>
    <t>TEAM VIDEO (CAN)</t>
  </si>
  <si>
    <t>TEAM HEADSHOTS (USA)</t>
  </si>
  <si>
    <t>TEAM HEADSHOTS (CAM)</t>
  </si>
  <si>
    <t>TEAM HEADSHOTS (PAN)</t>
  </si>
  <si>
    <t>TEAM HEADSHOTS (MEX)</t>
  </si>
  <si>
    <t>Countdown to KO (TGI )</t>
  </si>
  <si>
    <t xml:space="preserve">NA </t>
  </si>
  <si>
    <t>LE confirmed for TGI to provide 3.9.24</t>
  </si>
  <si>
    <t>Attendance</t>
  </si>
  <si>
    <t>add space for 3 to be inputed</t>
  </si>
  <si>
    <t>Welcome Fans</t>
  </si>
  <si>
    <t>Full Time</t>
  </si>
  <si>
    <t>Halftime</t>
  </si>
  <si>
    <t>Lower 3rds - 1-2 liner templates</t>
  </si>
  <si>
    <t>Substitutes L3/VB - based on LE needs</t>
  </si>
  <si>
    <t>LE to confirm if we need this asset</t>
  </si>
  <si>
    <t>Substitution VB</t>
  </si>
  <si>
    <t>Additional Time L3/VB</t>
  </si>
  <si>
    <t>Penalty Kick L3 VB</t>
  </si>
  <si>
    <t>video</t>
  </si>
  <si>
    <t>Brand-The Dream is Now 27 sec</t>
  </si>
  <si>
    <t>Brand Manifesto ENG/SPA Subtitles- 2:27</t>
  </si>
  <si>
    <t>Trophy Video - 1:15</t>
  </si>
  <si>
    <t>Blank Template</t>
  </si>
  <si>
    <t>02- Competitions</t>
  </si>
  <si>
    <t>AD Protocol 6 slides</t>
  </si>
  <si>
    <t>GIP</t>
  </si>
  <si>
    <t>Yellow Card</t>
  </si>
  <si>
    <t>Red Card</t>
  </si>
  <si>
    <t>Double Yellow Card</t>
  </si>
  <si>
    <t>Referees</t>
  </si>
  <si>
    <t xml:space="preserve">same as Sub board graphics from WGC to input names </t>
  </si>
  <si>
    <t>Team/Country Flags ( PAN)</t>
  </si>
  <si>
    <t>Team/Country Flags ( MEX)</t>
  </si>
  <si>
    <t>Team/Country Flags ( USA)</t>
  </si>
  <si>
    <t>Team/Country Flags ( CAN)</t>
  </si>
  <si>
    <t>Penalty Kicks</t>
  </si>
  <si>
    <t>Extra Time</t>
  </si>
  <si>
    <t>Water Break</t>
  </si>
  <si>
    <t>confirm with Concacaf if we need this</t>
  </si>
  <si>
    <t>Weather Delay</t>
  </si>
  <si>
    <t>VAR 53 files new (ENG SPA)</t>
  </si>
  <si>
    <t>use preexisting assets</t>
  </si>
  <si>
    <t>03- Commercial</t>
  </si>
  <si>
    <t>Concacaf YouTube (ENG SPA)</t>
  </si>
  <si>
    <t xml:space="preserve">CNLF logo "Watch every highlight @Concacaf" "Lo mejor de cada partido en @concacaf" add YT logo. Similar as CCC </t>
  </si>
  <si>
    <t>Merchandise Promo - Amazon</t>
  </si>
  <si>
    <t>CNLF logo "visit amazon.com/concacaf for official products"</t>
  </si>
  <si>
    <t xml:space="preserve">Concacaf Social Media Promo </t>
  </si>
  <si>
    <t xml:space="preserve">CNLF logo " follow concacaf on social media F IG X @concacafnationsleague" </t>
  </si>
  <si>
    <t xml:space="preserve">Concacaf Website </t>
  </si>
  <si>
    <t>CNLF logo "visit concacaf.com for official scores, schedules and news"</t>
  </si>
  <si>
    <t xml:space="preserve">Tune In (March 23 SOFI Stadium) </t>
  </si>
  <si>
    <t xml:space="preserve">CNLF logo " Tune in March 24 @ ATT Stadium Final Match" </t>
  </si>
  <si>
    <t>Thank you Fans</t>
  </si>
  <si>
    <t xml:space="preserve">TikTok - ENG SPA </t>
  </si>
  <si>
    <t xml:space="preserve">"Join us on tiktok @Concacaf | Unete al Tiktok de @concacaf" add Tiktok logo </t>
  </si>
  <si>
    <t>unilever- Degree :30</t>
  </si>
  <si>
    <t xml:space="preserve">Video </t>
  </si>
  <si>
    <t>unilever- Dove :15</t>
  </si>
  <si>
    <t>Vieo</t>
  </si>
  <si>
    <t>unielver Degree</t>
  </si>
  <si>
    <t xml:space="preserve">unilever- Dove </t>
  </si>
  <si>
    <t>Molten</t>
  </si>
  <si>
    <t>Valvoline ENG/SPA</t>
  </si>
  <si>
    <t xml:space="preserve">Valvoline </t>
  </si>
  <si>
    <t xml:space="preserve">Riyadh Air </t>
  </si>
  <si>
    <t>El Mayor Tequila (Proposal)</t>
  </si>
  <si>
    <t>Awards Ceremony</t>
  </si>
  <si>
    <t xml:space="preserve">CNLF Logo + FINAL </t>
  </si>
  <si>
    <t>Best Goalkeeper presented by Rexona</t>
  </si>
  <si>
    <t>Best Goalkeeper presented by Degree</t>
  </si>
  <si>
    <t xml:space="preserve">Best Player Award </t>
  </si>
  <si>
    <t>Top Goal Scorer presented by Qatar Airways</t>
  </si>
  <si>
    <t xml:space="preserve">Young Player Award presented by Aramco </t>
  </si>
  <si>
    <t>Fair Play Award presented by Degree</t>
  </si>
  <si>
    <t>2025 Champions + Team Logo (both teams)</t>
  </si>
  <si>
    <t>Congratulations + Team Logo  (both teams)</t>
  </si>
  <si>
    <t>Runner Up + Team Logo (2 graphics for ea team)</t>
  </si>
  <si>
    <t>SOFI evacuation video</t>
  </si>
  <si>
    <t>FAN CODE OF CONDUCT</t>
  </si>
  <si>
    <t>Hype_Nations League</t>
  </si>
  <si>
    <t>Fun roll- Youtube, Amazon, Merch…</t>
  </si>
  <si>
    <t># of Files</t>
  </si>
  <si>
    <t>SCRIPT BOOK:  2024 Concacaf W Gold Cup</t>
  </si>
  <si>
    <t>COMPETITION SCRIPT</t>
  </si>
  <si>
    <t>ITEM</t>
  </si>
  <si>
    <t>CODE</t>
  </si>
  <si>
    <t>ENGLISH</t>
  </si>
  <si>
    <t>SPANISH</t>
  </si>
  <si>
    <t>C - 1</t>
  </si>
  <si>
    <t>Welcome</t>
  </si>
  <si>
    <t xml:space="preserve">Ladies and gentlemen, welcome to [Venue] for today's match of the 2024 Concacaf W Gold Cup  [Team A] and [Team B]
</t>
  </si>
  <si>
    <t>Damas y caballeros, bienvenidos a [Sede] para el partido de hoy de la COPA ORO W DE CONCACAF entre [Equipo A] y [Equipo B]</t>
  </si>
  <si>
    <t>C - 2</t>
  </si>
  <si>
    <t>Warm ups</t>
  </si>
  <si>
    <t>LADIES AND GENTLEMEN, PLEASE WELCOME THE NATIONAL TEAM OF TEAM A / TEAM B!</t>
  </si>
  <si>
    <t>DAMAS Y CABALLEROS, ¡DEMOS LA BIENVENIDA AL EQUIPO NACIONAL DE [EQUIPO A] / [EQUIPO B]!</t>
  </si>
  <si>
    <t>C - 3</t>
  </si>
  <si>
    <t>LINE UPS 1</t>
  </si>
  <si>
    <t>C - 4</t>
  </si>
  <si>
    <t>OFFICIALS WELCOME 1</t>
  </si>
  <si>
    <t>C - 5</t>
  </si>
  <si>
    <t>VAR OFFICIALS WELCOME 2</t>
  </si>
  <si>
    <t>C - 6</t>
  </si>
  <si>
    <t>TEAM FOP 1</t>
  </si>
  <si>
    <t>C - 7</t>
  </si>
  <si>
    <t>NATIONAL ANTHEMS</t>
  </si>
  <si>
    <t>LADIES AND GENTLEMEN, PLEASE RISE FOR THE NATIONAL ANTHEM OF TEAM A/TEAM B.</t>
  </si>
  <si>
    <t>DAMAS Y CABALLEROS, POR FAVOR LEVANTARSE POR EL HIMNO NACIONAL DEL EQUIPO A / EQUIPO B.</t>
  </si>
  <si>
    <t>C - 8</t>
  </si>
  <si>
    <t xml:space="preserve">COUNTDOWN TO KICKOFF </t>
  </si>
  <si>
    <t xml:space="preserve">
LET'S COUNTDOWN  TOGETHER…
10…9…8…7…6…5…4…3…2…1!!!!
LET'S GO !!!</t>
  </si>
  <si>
    <t xml:space="preserve">
HAGAMOS LA CUENTA REGRESIVA JUNTOS ...
10… 9… 8… 7… 6… 5… 4… 3… 2… 1 !!!!
VAMOS !!!</t>
  </si>
  <si>
    <t>C - 9</t>
  </si>
  <si>
    <t>CONCACAFPRES</t>
  </si>
  <si>
    <t>Damas y caballeros, den la bienvenida al presidente de CONCACAF…. y [Nombre del segundo dignatario de mayor rango], acompañado por miembros de la Familia del Fútbol de CONCACAF.</t>
  </si>
  <si>
    <t>C - 10</t>
  </si>
  <si>
    <t>CONCACAFPRES SPEECH</t>
  </si>
  <si>
    <t>Ladies and gentlemen, please welcome the CONCACAF President, VICTOR MONTAGLIANI to make a brief speech.</t>
  </si>
  <si>
    <t>Damas y caballeros, den la bienvenida al Presidente de CONCACAF, VICTOR MONTAGLIANI quien dara un breve discurso.</t>
  </si>
  <si>
    <t>C - 11</t>
  </si>
  <si>
    <t>LOC DIGNITARY SPEECH</t>
  </si>
  <si>
    <t>Y ahora, denle la bienvenida a [Nombre del dignatario], quien también hará un breve discurso.</t>
  </si>
  <si>
    <t>C - 12</t>
  </si>
  <si>
    <t xml:space="preserve">GOAL Team </t>
  </si>
  <si>
    <t>GOAL Player</t>
  </si>
  <si>
    <t>C - 13</t>
  </si>
  <si>
    <t>OWN GOAL</t>
  </si>
  <si>
    <t>C - 14</t>
  </si>
  <si>
    <t>SUB 1</t>
  </si>
  <si>
    <t>C - 15</t>
  </si>
  <si>
    <t>SUB 2: concussion</t>
  </si>
  <si>
    <t>C - 16</t>
  </si>
  <si>
    <t>MOMENT OF SILENCE</t>
  </si>
  <si>
    <t>C - 17</t>
  </si>
  <si>
    <t xml:space="preserve">YELLOW CARD </t>
  </si>
  <si>
    <t>C - 18</t>
  </si>
  <si>
    <t xml:space="preserve">DOUBLE YELLOW CARD </t>
  </si>
  <si>
    <t>C - 19</t>
  </si>
  <si>
    <t>RED CARD</t>
  </si>
  <si>
    <t>C - 20</t>
  </si>
  <si>
    <t>YOUTH PROGRAMME</t>
  </si>
  <si>
    <t xml:space="preserve">Ladies and Gentlemen, the children participating in the Youth Programme for the 2024 Concacaf W Gold Cup  have been selected by (Sponsor ?) and the Local Organizing Committee.
</t>
  </si>
  <si>
    <t>Damas y caballeros, los niños que participan en el Programa Juvenil de la COPA ORO 2021 DE CONCACAF han sido seleccionados por (¿sponsor?) Y el Comité Organizador Local.</t>
  </si>
  <si>
    <t>C - 21</t>
  </si>
  <si>
    <t>SCORE 1
HALF TIME</t>
  </si>
  <si>
    <t>C - 22</t>
  </si>
  <si>
    <t>SCORE 2
FULL TIME</t>
  </si>
  <si>
    <t>C - 23</t>
  </si>
  <si>
    <t>ATTENDANCE 1</t>
  </si>
  <si>
    <t>DAMAS Y CABALLEROS, LA ASISTENCIA TOTAL PARA EL PARTIDO DE HOY / ESTA NOCHE ES __________. QUEREMOS DAR LAS GRACIAS A TODOS LOS FANS QUE ASISTIERON A LA FASE DE GRUPO DE LA COPA _____ / CUARTOS DE FINAL / SEMIFINALES / FINAL.</t>
  </si>
  <si>
    <t>C - 24</t>
  </si>
  <si>
    <t>C - 25</t>
  </si>
  <si>
    <t>START OF SECOND HALF</t>
  </si>
  <si>
    <t>Ladies and gentlemen, please welcome back to the field [team] and [team]</t>
  </si>
  <si>
    <t>C - 26</t>
  </si>
  <si>
    <t xml:space="preserve">ADD TIME </t>
  </si>
  <si>
    <t>C - 27</t>
  </si>
  <si>
    <t xml:space="preserve">EXTRA TIME </t>
  </si>
  <si>
    <t>LADIES AND GENTLEMEN, WITH THE MATCH BEING LEVEL AT THE END OF REGULAR TIME, THERE WILL BE TWO EXTRA TIME PERIODS OF 15 MINUTE EACH TO DETERMINE THE WINNER OF TODAY'S/TONIGHT'S MATCH.</t>
  </si>
  <si>
    <t>DAMAS Y CABALLEROS, CON EL PARTIDO EMPATADO AL FINAL DEL TIEMPO REGULAR, HABRÁ DOS PERÍODOS DE TIEMPO EXTRA DE 15 MINUTOS CADA UNO PARA DETERMINAR EL GANADOR DEL PARTIDO DE HOY / ESTA NOCHE.</t>
  </si>
  <si>
    <t>C - 28</t>
  </si>
  <si>
    <t>PENALTY KICKS 1</t>
  </si>
  <si>
    <t>Ladies and gentlemen, since the match is still level at the end of extra time, kicks from the penalty mark will be taken to determine the winner.</t>
  </si>
  <si>
    <t>Damas y caballeros, dado que el partido aún está empatado al final de la prórroga, se ejecutarán tiros desde el punto penal para determinar el ganador.</t>
  </si>
  <si>
    <t>C - 29</t>
  </si>
  <si>
    <t>Ladies and gentlemen, since the match is level at the end of normal playing time, kicks from the penalty mark will be taken to determine the winner.</t>
  </si>
  <si>
    <t>Damas y caballeros, dado que el partido está empatado al final del tiempo regular, se ejecutarán tiros desde el punto penal para determinar el ganador.</t>
  </si>
  <si>
    <t>C - 30</t>
  </si>
  <si>
    <t>GOODBYE</t>
  </si>
  <si>
    <t>LADIES AND GENTLEMEN, CONCACAF GRATEFULLY ACKNOWLEDGES THE OUTSTANDING SUPPORT OF ITS OFFICIAL GOLD CUP PARTNERS (BIMBO, BMO, GATORADE, GRUPO MONGE, MDOELO, PREDATOR, QATAR AIRWAYS, SAL LA FINA, SITE ONE, TOYOTA, UNILEVER, AND VALVOLINE).  THANK YOU FOR COMING TO CONCACAF GOLD CUP HERE IN/AT (VENUE).  
THE NEXT MATCH WILL BE PLAYED HERE IN (VENUE) ON JUNEE/JULY (DATE) AT (TIME).
PLEASE GET HOME SAFELY.</t>
  </si>
  <si>
    <t>C - 31</t>
  </si>
  <si>
    <t>HALFTIME LAST MATCH AT EACH VENUE</t>
  </si>
  <si>
    <t>CONCACAF  would like to acknowledge the effort of our many volunteers who have worked tirelessly to ensure the successful delivery of matches at this venue. We thank them all for their enthusiasm, their passion and their dedication. Please put your hands together for our volunteers!</t>
  </si>
  <si>
    <t>CONCACAF  quisieran reconocer el esfuerzo de nuestros muchos voluntarios que han trabajado incansablemente para asegurar la entrega exitosa de partidos en este lugar. A todos ellos les agradecemos su entusiasmo, su pasión y su dedicación. ¡Por favor demos un fuerte aplauso a nuestros voluntarios!!</t>
  </si>
  <si>
    <t>C - 32</t>
  </si>
  <si>
    <t>FINAL MATCH</t>
  </si>
  <si>
    <t xml:space="preserve">On behalf of CONCACAFand the Local Organising ON BEHALF OF CONCACAF, THE LOCAL ORGANIZING COMMITTEE AND _______STADIUM, WE WOULD LIKE TO EXTEND OUR SINCERE THANKS TO ALL FANS AND ACKNOWLEDGE OUR OUTSTANDING PARTNERS (BIMBO, BMO, GATORADE, GRUPO MONGE, MDOELO, PREDATOR, QATAR AIRWAYS, SAL LA FINA, SITE ONE, TOYOTA, UNILEVER, AND VALVOLINE  
YOU HAVE BEEN GREAT FANS THROUGHOUT OUT THE TOURNAMENT AND WE HOPE YOU HAVE FOND MEMORIES OF The 2024 Concacaf W Gold Cup TOURNAMENT!
THANK YOU AND GET HOME SAFELY!!
</t>
  </si>
  <si>
    <t>En nombre de CONCACAF y la Organización Local EN NOMBRE DE CONCACAF, EL COMITÉ ORGANIZADOR LOCAL Y EL ESTADIO SOFI NOS GUSTARÍA EXTENDER NUESTRO SINCERO AGRADECIMIENTO A TODOS LOS FANS Y RECONOCEMOS A NUESTROS SOCIOS DESTACADOS (BIMBO, BMO, GATORADE, GRUPO MONGE, MDOELO, PREDATOR, QATAR AIRWAYS, SAL LA FINA, SITE ONE, TOYOTA, UNILEVER, AND VALVOLINE
¡HAS SIDO GRANDES FANS DURANTE TODO EL TORNEO Y ESPERAMOS QUE TENGAS FONDOS RECUERDOS DE LA COPA ______!
GRACIAS Y LLEGUE A CASA SEGURO !!</t>
  </si>
  <si>
    <t>HOUSEKEEPING SCRIPT</t>
  </si>
  <si>
    <t>ITEM #</t>
  </si>
  <si>
    <t xml:space="preserve">Spanish </t>
  </si>
  <si>
    <t>H - 1</t>
  </si>
  <si>
    <t>WELCOME 1
MOMENTS AWAY</t>
  </si>
  <si>
    <t>H - 2</t>
  </si>
  <si>
    <t>WELCOME 2
MOMENTS AWAY</t>
  </si>
  <si>
    <t>H - 3</t>
  </si>
  <si>
    <t>SEATING</t>
  </si>
  <si>
    <t>H - 4</t>
  </si>
  <si>
    <t>FOP</t>
  </si>
  <si>
    <t xml:space="preserve">We would like to remind all spectators that access to the pitch is prohibited and will result in prosecution. </t>
  </si>
  <si>
    <t>Nos gustaría recordar a todos los espectadores que el acceso al terreno de juego está prohibido y dará lugar a un proceso judicial.</t>
  </si>
  <si>
    <t>H - 5</t>
  </si>
  <si>
    <t>TOBACCO-FREE EVENT</t>
  </si>
  <si>
    <t>Welcome to a Tobacco-Free2024 Concacaf W Gold Cup. The use of tobacco products and e-cigarettes is NOT permitted in the stadium, except in the designated smoking areas. Please refrain from smoking in all other areas.</t>
  </si>
  <si>
    <t>Bienvenido a la COPA_______  sin tabaco. El uso de productos de tabaco y cigarrillos electrónicos NO está permitido en el estadio, excepto en las áreas designadas para fumar. Abstenerse de fumar en todas las demás áreas.</t>
  </si>
  <si>
    <t>H - 6</t>
  </si>
  <si>
    <t>STANDING</t>
  </si>
  <si>
    <t>All stairways are emergency evacuation routes and MUST be kept clear at all times. Persistent standing during the game is DANGEROUS and spoils the view of the person behind. Please respect fellow spectators.</t>
  </si>
  <si>
    <t>Todas las escaleras son rutas de evacuación de emergencia y DEBEN mantenerse despejadas en todo momento. Permanecer de pie durante el juego es PELIGROSO y estropea la vista de la persona que está detrás. Respete a los demás espectadores.</t>
  </si>
  <si>
    <t>H - 7</t>
  </si>
  <si>
    <t>HAVE YOUR TICKETS</t>
  </si>
  <si>
    <t>Please carry your ticket with you at all times. You will need it to access your assigned seating areas. No pass outs are available at this venue.</t>
  </si>
  <si>
    <t>Por favor lleve su boleto con usted en todo momento. Lo necesitará para acceder a sus áreas de asientos asignadas. No hay pases disponibles en este lugar.</t>
  </si>
  <si>
    <t>H - 8</t>
  </si>
  <si>
    <t>FLASH PHOTOGRAPHY</t>
  </si>
  <si>
    <t>H - 9</t>
  </si>
  <si>
    <t>HOT WEATHER</t>
  </si>
  <si>
    <t>Ladies and gentlemen, please look after yourself in the hot weather by keeping hydrated and using plenty of sunscreen.</t>
  </si>
  <si>
    <t>Damas y caballeros, cuídense en el clima caluroso manteniéndose hidratados y usando abundante protector solar.</t>
  </si>
  <si>
    <t>H - 11</t>
  </si>
  <si>
    <t>LITTERING</t>
  </si>
  <si>
    <t>H - 12</t>
  </si>
  <si>
    <t>VOLUNTEERS</t>
  </si>
  <si>
    <t>CONCACAF and the Local Organising Committee of the 2024 Concacaf W Gold Cup , would like to acknowledge the effort of our many volunteers who have worked tirelessly to ensure the successful delivery of matches at this venue. We thank them all for their enthusiasm, their passion and their dedication. Please put your hands together for our volunteers!</t>
  </si>
  <si>
    <t>CONCACAF y el Comité Organizador Local de la COPA ________, quisieran reconocer el esfuerzo de nuestros muchos voluntarios que han trabajado incansablemente para asegurar la entrega exitosa de partidos en este lugar. A todos ellos les agradecemos su entusiasmo, su pasión y su dedicación. ¡Por favor demos un fuerte aplauso a nuestros voluntarios!</t>
  </si>
  <si>
    <t>H - 13</t>
  </si>
  <si>
    <t>H - 14</t>
  </si>
  <si>
    <t>TICKETING</t>
  </si>
  <si>
    <t>Tickets are still available for the remaining matches of the 2024 Concacaf W Gold Cup
Get your tickets to all events at www.concacaf.com</t>
  </si>
  <si>
    <t>Aún hay boletos disponibles para los partidos restantes de la COPA ______
Consiga sus entradas para todos los eventos en www.concacaf.com</t>
  </si>
  <si>
    <t>H - 15</t>
  </si>
  <si>
    <t>PUBLIC TRANSPORT</t>
  </si>
  <si>
    <t>Attention please. Public transportation is operating as per the schedule.</t>
  </si>
  <si>
    <t>Atención por favor. El transporte público está funcionando según el horario establecido.</t>
  </si>
  <si>
    <t>H - 16</t>
  </si>
  <si>
    <t>PUBLIC TRANSPORT 2</t>
  </si>
  <si>
    <t>H - 17</t>
  </si>
  <si>
    <t>EMERGENCY EXITS</t>
  </si>
  <si>
    <t>Safety First! Do You Know Where Your Nearest Exits are Located? Take a moment to look around and find your nearest exit. 
In the event of an emergency, pay attention to the venue announcements and the instructions from venue staff and volunteers.</t>
  </si>
  <si>
    <t>¡Seguridad primero! ¿Sabe dónde se encuentran las salidas más cercanas? Tómese un momento para mirar a su alrededor y encontrar la salida más cercana.
En caso de una emergencia, preste atención a los anuncios del lugar y las instrucciones del personal y los voluntarios del lugar.</t>
  </si>
  <si>
    <t>H - 18</t>
  </si>
  <si>
    <t>EGRESS 1</t>
  </si>
  <si>
    <t>Ladies and gentlemen, that concludes this match at the [Venue] we hope you have enjoyed your evening. 
Thank you for being part of the 2024 Concacaf W Gold Cup, before you go have a quick look around to make sure you have all your possessions and have a very safe journey.</t>
  </si>
  <si>
    <t>Señoras y señores, que concluye este partido en la [Sede], esperamos que hayan disfrutado de su velada.
Gracias por ser parte de la COPA _____, antes de ir echa un vistazo rápido para asegurarte de que tienes todas tus pertenencias y que tengas un viaje muy seguro.</t>
  </si>
  <si>
    <t>H - 19</t>
  </si>
  <si>
    <t xml:space="preserve">EGRESS 2
</t>
  </si>
  <si>
    <t>CONCACAF wishes to provide all spectators with a clean, environmentally friendly and sustainable World Cup. Please play your part by recycling as much as possible and by placing all relevant waste in the correct bins provided. Thank you.</t>
  </si>
  <si>
    <t>CONCACAF desea brindar a todos los espectadores una Copa del Mundo limpia, ecológica y sostenible. Por favor, haga su parte reciclando tanto como sea posible y colocando todos los residuos relevantes en los contenedores correctos provistos. Gracias.</t>
  </si>
  <si>
    <t>H - 20</t>
  </si>
  <si>
    <t>CONCACAF and the Local Organising Committee of the 2024 Concacaf W Gold Cup would like to acknowledge the effort of our many volunteers who have worked tirelessly to ensure the successful delivery of matches at this venue. We thank them all for their enthusiasm, their passion and their dedication. Please put your hands together for our volunteers!</t>
  </si>
  <si>
    <t>CONCACAF y el Comité Organizador Local de la COPA _____ quisieran reconocer el esfuerzo de nuestros muchos voluntarios que han trabajado incansablemente para asegurar la entrega exitosa de partidos en este lugar. A todos ellos les agradecemos su entusiasmo, su pasión y su dedicación. ¡Por favor junte sus manos por nuestros voluntarios!</t>
  </si>
  <si>
    <t>H - 21</t>
  </si>
  <si>
    <t xml:space="preserve">On behalf of CONCACAFand the Local Organising Committee, we would like to extend our sincere thanks to all the fans in .
You have been great fans throughout the tournament. We hope you will have fond memories of the 2024 Concacaf W Gold Cup !
Thank you and have a safe journey home. GOOD NIGHT!!
</t>
  </si>
  <si>
    <t>En nombre de CONCACAF y del Comité Organizador Local, nos gustaría extender nuestro más sincero agradecimiento a todos los aficionados presentes.
Han sido grandes fans durante todo el torneo. ¡Esperamos que tenga buenos recuerdos de la COPA _____!
Gracias y que tenga un buen viaje a casa. ¡¡BUENAS NOCHES!!</t>
  </si>
  <si>
    <t>H - 22</t>
  </si>
  <si>
    <t>H - 23</t>
  </si>
  <si>
    <t>DELAY 1</t>
  </si>
  <si>
    <t>H - 24</t>
  </si>
  <si>
    <t>DELAY 2</t>
  </si>
  <si>
    <t>H - 25</t>
  </si>
  <si>
    <t>DELAY 3</t>
  </si>
  <si>
    <t>H - 26</t>
  </si>
  <si>
    <t>KICKOFF POSTPONE</t>
  </si>
  <si>
    <t>H - 27</t>
  </si>
  <si>
    <t>MATCH ABANDONMENT</t>
  </si>
  <si>
    <t xml:space="preserve">[If the abandoned match would be followed by another match in the same stadium:]
Attention please. 
Due to [force majeure / reason] the match has been abandoned for today.  
Please follow the instructions of the stewards and make your way to the nearest exit.
Please retain your ticket for re-entry into the stadium for the match. 
Details of the new date and kick-off time will be posted on www.concacaf.com and local radio and notices will be placed around the stadium. 
In accordance with CONCACAF Regulations, the match will start from the same minute as it was interrupted with the same score. 
Please follow the instructions of the stewards and security personnel. The next match today, between TEAM A and TEAM B, will start at XX:XX
[If the abandoned match would be the last match of the match day:]
Attention please. 
Due to [force majeure / reason] the match has been abandoned for today.  
Please follow the instructions of the stewards and make your way to the nearest exit.
Please retain your ticket for re-entry into the stadium for the match. 
Details of the new date and kick-off time will be posted on www.concacaf.com and local radio and notices will be placed around the stadium. 
In accordance with CONCACAF Regulations, the match will start from the same minute as it was interrupted with the same score. 
</t>
  </si>
  <si>
    <t>[Si el partido abandonado fuera seguido por otro partido en el mismo estadio:]
Atención por favor.
Debido a [fuerza mayor / motivo] el partido ha sido abandonado por hoy.
Siga las instrucciones de los comisarios y diríjase a la salida más cercana.
Conserve su boleto para el reingreso al estadio para el partido.
Los detalles de la nueva fecha y hora de inicio se publicarán en www.concacaf.com y la radio local y los avisos se colocarán alrededor del estadio.
De acuerdo con las Regulaciones de CONCACAF, el partido comenzará desde el mismo minuto en que fue interrumpido con la misma puntuación.
Siga las instrucciones de los comisarios y el personal de seguridad. El próximo partido de hoy, entre el EQUIPO A y el EQUIPO B, comenzará a las XX: XX
[Si el partido abandonado fuera el último partido del día del partido:]
Atención por favor.
Debido a [fuerza mayor / motivo] el partido ha sido abandonado por hoy.
Siga las instrucciones de los comisarios y diríjase a la salida más cercana.
Conserve su boleto para el reingreso al estadio para el partido.
Los detalles de la nueva fecha y hora de inicio se publicarán en www.concacaf.com y la radio local y los avisos se colocarán alrededor del estadio.
De acuerdo con las Regulaciones de CONCACAF, el partido comenzará desde el mismo minuto en que fue interrumpido con la misma puntuación.</t>
  </si>
  <si>
    <t>H - 28</t>
  </si>
  <si>
    <t>MATCH RESTART</t>
  </si>
  <si>
    <t>H - 29</t>
  </si>
  <si>
    <t>PYROTECHNICS</t>
  </si>
  <si>
    <t xml:space="preserve">This is an important safety and security announcement. 
Setting off pyrotechnics puts you and those around you in danger. 
The use of flares and pyrotechnics of any kind is strictly prohibited and anyone using them will be ejected from the stadium. 
Thank you for your cooperation.
</t>
  </si>
  <si>
    <t>Este es un anuncio importante de seguridad y protección.
Activar pirotecnia te pone en peligro a ti y a los que te rodean.
El uso de bengalas y pirotecnia de cualquier tipo está estrictamente prohibido y cualquiera que los utilice será expulsado del estadio.
Gracias por su cooperación.</t>
  </si>
  <si>
    <t>SAFETY &amp; SECURITY  SCRIPT</t>
  </si>
  <si>
    <t>Spanish</t>
  </si>
  <si>
    <t>S - 1</t>
  </si>
  <si>
    <t>EXITS</t>
  </si>
  <si>
    <t>Safety First! Do You Know Where Your Nearest Exits are Located? Take a moment to look around and find your nearest exit. 
In the event of an emergency, pay attention to the venue announcements and the instructions from venue staff and volunteers and use your closest exit and move away from the building beyond the Assembly Pionts to a designated safe area. Please remain in your car, do not attempt to drive away as this may impede emergency services entering the site</t>
  </si>
  <si>
    <t>¡Seguridad primero! ¿Sabe dónde se encuentran las salidas más cercanas? Tómese un momento para mirar a su alrededor y encontrar la salida más cercana.
En caso de una emergencia, preste atención a los anuncios del lugar y las instrucciones del personal del lugar y los voluntarios, utilice la salida más cercana y aléjese del edificio hacia un área segura designada. Permanezca en su automóvil, no intente alejarse, ya que esto puede impedir que los servicios de emergencia ingresen al sitio.</t>
  </si>
  <si>
    <t>S - 2</t>
  </si>
  <si>
    <t>FALSE ALARM</t>
  </si>
  <si>
    <t xml:space="preserve">Your attention please.
Please remain in your seats. We are experiencing a false alarm.  
2024 Concacaf W Gold Cup  apologizes for this inconvenience. Thank you for your patience.
Once again, please remain in your seats until further notice. 
</t>
  </si>
  <si>
    <t>Su atención por favor.
Permanezcan en sus asientos. Estamos experimentando una falsa alarma.
COPA ORO DE CONCACAF se disculpa por este inconveniente. Gracias por su paciencia.
Una vez más, permanezcan en sus asientos hasta nuevo aviso.</t>
  </si>
  <si>
    <t>S - 3</t>
  </si>
  <si>
    <t xml:space="preserve">PARTIAL EVACUATION
</t>
  </si>
  <si>
    <t xml:space="preserve">Your attention please.  This is an important announcement. 
Everyone in the [Area / Sector], please gather your belongings, follow directions from uniformed personnel to make your way calmly to the nearest exit.
This is an evacuation of the [Area / Sector] only.
The match has been temporarily delayed. Please retain your ticket for re-entry.
Once again, everyone in the [Area / Sector], please gather your belongings, follow directions from uniformed personnel to make your way  calmly to the nearest exit. 
Spectators in all other areas please remain in your seats until further instructions.
2024 Concacaf W Gold Cup  apologizes for this inconvenience. Thank you for your cooperation.
</t>
  </si>
  <si>
    <t>Su atención por favor. Este es un anuncio importante.
Todos en el [Área / Sector], por favor recojan sus pertenencias, sigan las instrucciones del personal uniformado para dirigirse con calma a la salida más cercana.
Esta es una evacuación del [Área / Sector] únicamente.
El partido se ha retrasado temporalmente. Conserve su boleto para volver a ingresar.
Una vez más, todos en el [Área / Sector], por favor recojan sus pertenencias, sigan las instrucciones del personal uniformado para dirigirse con calma a la salida más cercana.
Los espectadores en todas las demás áreas permanezcan en sus asientos hasta recibir instrucciones.
COPA ORO CONCACAF se disculpa por este inconveniente. Gracias por su cooperación.</t>
  </si>
  <si>
    <t>S - 4</t>
  </si>
  <si>
    <t xml:space="preserve">Your attention please. This is an important announcement. An incident has occurred in the venue and requires evacuation.
Please gather your belongings, follow directions from uniformed personnel and make your way calmly to the nearest exit.
Due to circumstances beyond our control, this match has been postponed and there will be no re-entry to the venue.
Once again, please gather your belongings, follow directions from uniformed personnel to make your way calmly to the nearest exit, and leave the stadium. Please remain in your car, do not attempt to drive away as this may impede emergency services entering the venue.
CONCACAF apologizes for this inconvenience. Thank you for your cooperation.
</t>
  </si>
  <si>
    <t>Su atención por favor. Este es un anuncio importante. Ha ocurrido un incidente en el lugar y requiere evacuación.
Reúna sus pertenencias, siga las instrucciones del personal uniformado y diríjase con calma a la salida más cercana.
Debido a circunstancias fuera de nuestro control, este partido se ha pospuesto y no habrá reingreso al lugar.
Una vez más, recoja sus pertenencias, siga las instrucciones del personal uniformado para dirigirse tranquilamente a la salida más cercana y salir del estadio. Permanezca en su automóvil, no intente alejarse, ya que esto puede impedir que los servicios de emergencia ingresen al lugar.
CONCACAF se disculpa por este inconveniente. Gracias por su cooperación.</t>
  </si>
  <si>
    <t>S - 5</t>
  </si>
  <si>
    <t xml:space="preserve">FULL EVACUATION
DELAY MATCH </t>
  </si>
  <si>
    <t xml:space="preserve">Your attention please. This is an important announcement. An incident has occurred in the venue and requires evacuation.
Please gather your belongings, follow directions from uniformed personnel to make your way calmly to the nearest exit. 
The competition has been temporarily delayed. Please retain your ticket for re-entry.
Once again, please gather your belongings, follow directions from uniformed personnel to make your way calmly to the nearest exit, and leave the stadium until re-entry is possible. Please remain in your car, do not attempt to drive away as this may impede emergency services entering the venue.
CONCACAF apologizes for this inconvenience. Thank you for your cooperation.
</t>
  </si>
  <si>
    <t>Su atención por favor. Este es un anuncio importante. Ha ocurrido un incidente en el lugar y requiere evacuación.
Por favor, recoja sus pertenencias, siga las instrucciones del personal uniformado para dirigirse tranquilamente a la salida más cercana.
La competición se ha retrasado temporalmente. Conserve su boleto para volver a ingresar.
Una vez más, recoja sus pertenencias, siga las instrucciones del personal uniformado para dirigirse con calma a la salida más cercana y salga del estadio hasta que sea posible el reingreso. Permanezca en su automóvil, no intente alejarse, ya que esto puede impedir que los servicios de emergencia ingresen al lugar.
CONCACAF se disculpa por este inconveniente. Gracias por su cooperación.</t>
  </si>
  <si>
    <t>S - 6</t>
  </si>
  <si>
    <t xml:space="preserve">Your attention please. This is an important announcement. An incident has occured outside the venue
Please remain in your seats.  
CONCACAF apologizes for this short delay. Thank you for your patience and cooperation.
Once again, An incident has occured outside the venue, please remain in your seats. 
We will advise you when the areas are clear and you are able to exit.
CONCACAF  apologizes for this inconvenience. Thank you for your cooperation.             
</t>
  </si>
  <si>
    <t>Su atención por favor. Este es un anuncio importante. Ha ocurrido un incidente fuera del lugar
Permanezcan en sus asientos.
CONCACAF se disculpa por esta breve demora. Gracias por su paciencia y cooperación.
Una vez más, ha ocurrido un incidente fuera del lugar, por favor permanezcan en sus asientos.
Le avisaremos cuando las áreas estén despejadas y pueda salir.
CONCACAF se disculpa por este inconveniente. Gracias por su cooperación.</t>
  </si>
  <si>
    <t>S - 7</t>
  </si>
  <si>
    <t>HOLD SHELTER NEW</t>
  </si>
  <si>
    <t>Ladies and Gentlemen it is now safe to leave the stadium. Please make your way to the nearest exit. Thank you for you patience and understanding. Good day/night and have a safe journey home. CONCACAF apologizes for this inconvenience. Thank you for your cooperation.</t>
  </si>
  <si>
    <t>Damas y caballeros, ahora es seguro salir del estadio. Diríjase a la salida más cercana. Gracias por su paciencia y comprensión. Buen día / noche y buen viaje a casa. CONCACAF se disculpa por este inconveniente. Gracias por su cooperación.</t>
  </si>
  <si>
    <t>S - 8</t>
  </si>
  <si>
    <t>ALARM INVESTIGATION</t>
  </si>
  <si>
    <t>Excellencies, ladies and gentlemen, your attention, please. The fire alarm has been activated in the venue. 
We are investigating the situation. Please remain calm and stand-by for further instruction. Thank you.</t>
  </si>
  <si>
    <t>Excelencias, señoras y señores, su atención, por favor. Se ha activado la alarma de incendios en el estadio.
Estamos investigando la situación. Por favor, mantenga la calma y esté preparado para recibir más instrucciones. Gracias.</t>
  </si>
  <si>
    <t>S - 9</t>
  </si>
  <si>
    <t>ALARM ENDS</t>
  </si>
  <si>
    <t>Excellencies, ladies and gentlemen, your attention, please. The alarm investigation is complete and the issue has been resolved. Thank you for your patience.</t>
  </si>
  <si>
    <t xml:space="preserve">
Damas y caballeros, su atención, por favor. La investigación de la alarma está completa y el problema se ha resuelto. Gracias por su paciencia.</t>
  </si>
  <si>
    <t>S - 10</t>
  </si>
  <si>
    <t xml:space="preserve">Your attention please.
Please remain in your seats. We are experiencing a false alarm.  
We apologize for this inconvenience. Thank you for your patience.
Once again, please remain in your seats until further notice. 
</t>
  </si>
  <si>
    <t>Su atención por favor.
Permanezcan en sus asientos. Estamos experimentando una falsa alarma.
Pedimos disculpas por este inconveniente. Gracias por su paciencia.
Una vez más, permanezcan en sus asientos hasta nuevo aviso.</t>
  </si>
  <si>
    <t>S - 11</t>
  </si>
  <si>
    <t>POWER OUTAGE</t>
  </si>
  <si>
    <t>Your Attention Please. This is an important announcement.
We are experiencing a temporary technical difficulty. Please remain in your seats. Our team is working on the situation and should have power restored momentarily.
We apologize for this short delay. 
Thank you for your patience and cooperation.</t>
  </si>
  <si>
    <t>Su atención por favor. Este es un anuncio importante.
Estamos experimentando una dificultad técnica temporal. Permanezcan en sus asientos. Nuestro equipo está trabajando en la situación y debería restablecerse la energía momentáneamente.
Pedimos disculpas por este breve retraso.
Gracias por su paciencia y cooperación.</t>
  </si>
  <si>
    <t>S - 12</t>
  </si>
  <si>
    <t>DELAYED KICK OFF</t>
  </si>
  <si>
    <t>S - 13</t>
  </si>
  <si>
    <t xml:space="preserve">THUNDER AND LIGHTNING </t>
  </si>
  <si>
    <t xml:space="preserve">This is an important safety announcement. 
Due to lightning in the vicinity of the stadium, the match has been interrupted and will restart as soon as possible. 
We apologise for the delay which is for the safety of the players, match officials and spectators. 
Please take cover and listen for further announcements.
Thank you for your patience.
</t>
  </si>
  <si>
    <t>Este es un anuncio de seguridad importante.
Debido a un rayo en las inmediaciones del estadio, el partido se ha interrumpido y se reiniciará lo antes posible.
Pedimos disculpas por la demora, es por la seguridad de los jugadores, los árbitros y los espectadores.
Por favor, cúbrase y escuche más anuncios.
Gracias por su paciencia.</t>
  </si>
  <si>
    <t>S - 14</t>
  </si>
  <si>
    <t>FORCE MAJEURE 
30 MINUTES</t>
  </si>
  <si>
    <t>S - 15</t>
  </si>
  <si>
    <t>FORCE MAJEUR 10 MINUTES</t>
  </si>
  <si>
    <t>S - 16</t>
  </si>
  <si>
    <t>S - 17</t>
  </si>
  <si>
    <t xml:space="preserve">Attention please. 
Due to [force majeure / reason] the match has been abandoned for today.  
Please follow the instructions of the stewards and make your way to the nearest exit.
Please retain your ticket for re-entry into the stadium for the match. 
Details of the new date and kick-off time will be posted on www.concacaf.com and local radio and notices will be placed around the stadium. 
In accordance with CONCACAFRegulations, the match will start from the same minute as it was interrupted with the same score. 
We apologise for any inconvenience caused.
</t>
  </si>
  <si>
    <t>S - 18</t>
  </si>
  <si>
    <t>S - 19</t>
  </si>
  <si>
    <t>HEAVY RAIN</t>
  </si>
  <si>
    <t>This is an important safety announcement. Due to heavy rain, the match has been interrupted and will restart as soon as possible.
Please take shelter and listen for further announcements.</t>
  </si>
  <si>
    <t>Este es un anuncio de seguridad importante. Debido a la fuerte lluvia, el partido se ha interrumpido y se reiniciará lo antes posible.
Refúgiese y permanezca atento a más anuncios.</t>
  </si>
  <si>
    <t>S - 20</t>
  </si>
  <si>
    <t>FLOODLIGHT OUTAGE</t>
  </si>
  <si>
    <t>S - 21</t>
  </si>
  <si>
    <t>EXTREME HEAT</t>
  </si>
  <si>
    <t>Due to the hot weather conditions, all spectators are advised to keep themselves hydrated during today’s match.</t>
  </si>
  <si>
    <t>Debido a las condiciones climáticas cálidas, se recomienda a todos los espectadores que se mantengan hidratados durante el partido de hoy.</t>
  </si>
  <si>
    <t>S - 22</t>
  </si>
  <si>
    <t>PREPARE FOR MATCH</t>
  </si>
  <si>
    <t xml:space="preserve">Welcome to the stadium.
Please have your tickets ready for inspection.
Please prepare your belongings for search and co-operate with the stewards who are here for your safety.
</t>
  </si>
  <si>
    <t>Bienvenidos al estadio.
Tenga sus boletos listos para su inspección.
Prepare sus pertenencias para la revisión y coopere con los oficiales que están aquí para su seguridad.</t>
  </si>
  <si>
    <t>S - 23</t>
  </si>
  <si>
    <t>QUEUES</t>
  </si>
  <si>
    <t>S - 24</t>
  </si>
  <si>
    <t>LASER POINTERS</t>
  </si>
  <si>
    <t>This is an important safety announcement. We would like to remind spectators that the use of laser-pointing devices is prohibited and anyone using them will be ejected from the stadium. Thank you for your cooperation.</t>
  </si>
  <si>
    <t>Este es un anuncio de seguridad importante. Nos gustaría recordar a los espectadores que el uso de dispositivos de laser está prohibido y cualquier persona que los use será expulsada del estadio. Gracias por su cooperación.</t>
  </si>
  <si>
    <t>S - 25</t>
  </si>
  <si>
    <t>PYROTECHNICS AND FLARES</t>
  </si>
  <si>
    <t>S - 26</t>
  </si>
  <si>
    <t>FAN VIOLENCE</t>
  </si>
  <si>
    <t>S - 27</t>
  </si>
  <si>
    <t>PITCH INCURSION</t>
  </si>
  <si>
    <t xml:space="preserve">Attention please. This is an important security announcement. 
Spectators must leave the pitch immediately. 
Thank you for your cooperation. 
</t>
  </si>
  <si>
    <t>Atención por favor. Este es un anuncio de seguridad importante.
Los espectadores deben abandonar el terreno de juego inmediatamente.
Gracias por su cooperación.</t>
  </si>
  <si>
    <t>S - 28</t>
  </si>
  <si>
    <t>SPECTATOR THROWING OBJECTS</t>
  </si>
  <si>
    <t>Attention please. This is an important security announcement. Throwing of missile is forbidden and will result in ejection from the stadium. Respect the players and officials and your fellow football supporters. Thank you for your cooperation.</t>
  </si>
  <si>
    <t>Atención por favor. Este es un anuncio de seguridad importante. El lanzamiento de misiles está prohibido y resultará en la expulsión del estadio. Respeta a los jugadores, a los oficiales y a tus compañeros de fútbol. Gracias por su cooperación.</t>
  </si>
  <si>
    <t>S - 29</t>
  </si>
  <si>
    <t>PANIC IN THE STADIUM</t>
  </si>
  <si>
    <t>Attention please. This is an important security announcement. Please remain calm and follow the instructions of the stewards.</t>
  </si>
  <si>
    <t>Atención por favor. Este es un anuncio de seguridad importante. Mantenga la calma y siga las instrucciones de los comisarios.</t>
  </si>
  <si>
    <t>S - 30</t>
  </si>
  <si>
    <t>S - 31</t>
  </si>
  <si>
    <t>FULL EVACUATION</t>
  </si>
  <si>
    <t>Este es un anuncio de seguridad importante.
Por circunstancias imprevistas no es posible continuar el partido y el estadio debe ser evacuado. Abandone el estadio inmediatamente, siguiendo las instrucciones de los oficiales y el personal de seguridad.</t>
  </si>
  <si>
    <t>S - 32</t>
  </si>
  <si>
    <t>EVACUATION TO PITCH</t>
  </si>
  <si>
    <t xml:space="preserve">This is an important safety announcement.
Due to unforeseen circumstances it is not possible to continue the match. 
Please make your way immediately to the pitch area, following the instructions of the stewards and security staff.
</t>
  </si>
  <si>
    <t>Este es un anuncio de seguridad importante.
Debido a circunstancias imprevistas no es posible continuar el partido.
Diríjase inmediatamente al área de la cancha, siguiendo las instrucciones de los oficiales y el personal de seguridad.</t>
  </si>
  <si>
    <t>S - 33</t>
  </si>
  <si>
    <t xml:space="preserve">CLEARING THE STADIUM
 </t>
  </si>
  <si>
    <t>Thank you for attending today's / tonight's match.
Please follow the stewards’ directions to the nearest exit.
There are no delays reported on public transport.
Have a safe journey home.</t>
  </si>
  <si>
    <t>Gracias por asistir al partido de hoy / esta noche.
Siga las instrucciones de los oficiales hasta la salida más cercana.
No se informan retrasos en el transporte público.
Ten un viaje seguro a casa.</t>
  </si>
  <si>
    <t>S - 34</t>
  </si>
  <si>
    <t>HOLDBACK</t>
  </si>
  <si>
    <t>S - 35</t>
  </si>
  <si>
    <t>S - 36</t>
  </si>
  <si>
    <t>LOSS OF POWER 
(if power is not restored, or officials deem the event should stop, follow the Emergency Evacuation protocol.</t>
  </si>
  <si>
    <t>Ladies and gentlemen, may I have your attention please Please remain calm and stay in your seats. We are working to determine the source of the power outage and will announce if the game will continue. Please be patient. You are kindly reminded not to come onto the field of play.</t>
  </si>
  <si>
    <t>Señoras y señores, permítanme prestarles atención. Por favor, mantengan la calma y permanezcan en sus asientos. Estamos trabajando para determinar la causa del corte de luz y anunciaremos si el juego continuará. Por favor sea paciente. Se le recuerda amablemente que no accedan al terreno de juego.</t>
  </si>
  <si>
    <t>S - 37</t>
  </si>
  <si>
    <t>Ladies and gentlemen, may I have your attention please This is an important safety announcement. Due to floodlight outage, the match has been interrupted and will be restarted as soon as possible. Please stay in your seats and we will provide you with further announcements in due course.</t>
  </si>
  <si>
    <t>Señoras y señores, les pido atención. Este es un anuncio de seguridad importante. Debido a un corte de luz, el partido se ha interrumpido y se reiniciará lo antes posible. Quédense en sus asientos y les proporcionaremos más anuncios a su debido tiempo.</t>
  </si>
  <si>
    <t>S - 38</t>
  </si>
  <si>
    <t>LOST CHILD 1
(parent not responding to phone call as per lost child procedure)</t>
  </si>
  <si>
    <t xml:space="preserve">Ladies and gentlemen, may I have your attention please. 
[Parent/guardian/adult] please report to the [designated area’” immediately. 
I repeatOnce again, ,. [Parent/guardian/adult] please report to the [designated area’” immediately.
</t>
  </si>
  <si>
    <t>S - 39</t>
  </si>
  <si>
    <t>LOST CHILD 2 
who has not been located (only on request of Security Commander)</t>
  </si>
  <si>
    <t>Ladies and gentlemen, may I have your attention please. We are asking for your assistance in locating a missing child. The child is [age] year old, [boy/girl] wearing [clothing description], weighing [height and weight]. The child’s first name is [name]. If you see [child’s name], please contact the nearest identifiable member of staff, or proceed immediately to [designated location]. Your help is greatly appreciated.</t>
  </si>
  <si>
    <t>M - 1</t>
  </si>
  <si>
    <t>SPECTATORS</t>
  </si>
  <si>
    <t xml:space="preserve">There are Information points at all venues to help and support our guests and visitors. Volunteers are here to asisst with you with any questions you may have about today's competition, and the 2024 Concacaf W Gold Cup </t>
  </si>
  <si>
    <t>M - 2</t>
  </si>
  <si>
    <t>Tickets are still available for the remaining matches of the 2024 Concacaf W Gold Cup 
Get your tickets to all events at www.concacaf.com</t>
  </si>
  <si>
    <t>Aún hay boletos disponibles para los partidos restantes de la COPA _____
Consiga sus entradas para todos los eventos en www.concacaf.com</t>
  </si>
  <si>
    <t>M - 3</t>
  </si>
  <si>
    <t>Throwing Objects</t>
  </si>
  <si>
    <t>FANS, PLEASE REFRAIN FROM THROWING OBJECTS ON TO THE PITCH. VIOLATORS MAY BE ARRESTED AND ESCORTED OFF THE PREMISES.</t>
  </si>
  <si>
    <t>M - 4</t>
  </si>
  <si>
    <t>Blowing Whistles</t>
  </si>
  <si>
    <t>FANS, PLEASE REFRAIN FROM BLOWING WHISTLES AND INTERFERING WITH THE FLOW OF THE MATCH. VIOLATORS MAY BE ARRESTED AND ESCORTED OFF THE PREMISES.</t>
  </si>
  <si>
    <t>M - 5</t>
  </si>
  <si>
    <t>Entering the Field of Play</t>
  </si>
  <si>
    <t>FANS, PLEASE REFRAIN FROM ENTERING THE FIELD OF PLAY. VIOLATORS MAY BE ARRESTED AND ESCORTED OFF THE PREMISES.</t>
  </si>
  <si>
    <t>M - 6</t>
  </si>
  <si>
    <t>Weather - Seek Shelter</t>
  </si>
  <si>
    <t>YOUR ATTENTION PLEASE... DUE TO SEVERE WEATHER IN THE AREA, WE ASK THAT YOU PLEASE EXIT THE SEATING BOWL AND SEEK SHELTER IN THE CONCOURSE. WE THANK YOU FOR YOUR COOPERATION.</t>
  </si>
  <si>
    <t>M - 7</t>
  </si>
  <si>
    <t>Weather - Delayed</t>
  </si>
  <si>
    <t>YOUR ATTENTION PLEASE... DUE TO SEVERE WEATHER IN THE AREA, TODAY’S MATCH HAS BEEN DELAYED. WE ASK THAT YOU PLEASE EXIT THE SEATING BOWL AND SEEK SHELTER IN THE CONCOURSE. WE THANK YOU FOR YOUR COOPERATION.</t>
  </si>
  <si>
    <t>M - 8</t>
  </si>
  <si>
    <t>Weather - Postponed</t>
  </si>
  <si>
    <t>YOUR ATTENTION PLEASE... DUE TO SEVERE WEATHER IN THE AREA, TODAY’S MATCH HAS BEEN POSTPONED. WE ASK THAT YOU PLEASE EXIT THE SEATING BOWL AND SEEK SHELTER IN THE CONCOURSE. WE THANK YOU FOR YOUR COOPERATION.</t>
  </si>
  <si>
    <t>ANTI DISCRIMINATION 3-STEP PROTOCOL</t>
  </si>
  <si>
    <t>A - 1</t>
  </si>
  <si>
    <t>PROACTIVE STADIUM MESSAGE</t>
  </si>
  <si>
    <t>Fair play and mutual respect are fundamental to football. Discriminatory behaviour is not permitted. We ask you to uphold the principles of fair play and to take part in football in a spirit of unity, respect and equality</t>
  </si>
  <si>
    <t>El juego limpio y el respeto mutuo son fundamentales para el fútbol. No se permite el comportamiento discriminatorio. Le pedimos que defienda los principios del juego limpio y participe en el fútbol con un espíritu de unidad, respeto e igualdad.</t>
  </si>
  <si>
    <t>A - 2</t>
  </si>
  <si>
    <t>REACTIVE STADIUM MESSAGE</t>
  </si>
  <si>
    <t>Attention, please! This is an important announcement: we urge you to stop all discriminatory chants and gestures. We ask all to uphold the principles of fair play and to take part in football in a spirit of unity, respect and equality. Thank you.</t>
  </si>
  <si>
    <t>¡Atención por favor! Este es un anuncio importante: le instamos a que detenga todos los cánticos y gestos discriminatorios. Pedimos a todos que defiendan los principios del juego limpio y participen en el fútbol con un espíritu de unidad, respeto e igualdad. Gracias.</t>
  </si>
  <si>
    <t>A - 3</t>
  </si>
  <si>
    <t>3 STEP PROCEDURE - STEP 1 
(stop the match)</t>
  </si>
  <si>
    <t xml:space="preserve">Attention, please! This is an important announcement.
The referee has indicated that he/she may have to suspend the match because of discriminatory behaviour amongst spectators.
Discrimination in football stadiums will not be tolerated. If this continues, the game will be suspended, and may be abandoned. Thank you.
</t>
  </si>
  <si>
    <t>¡Atención por favor! Este es un anuncio importante.
El árbitro ha indicado que puede suspender el partido debido a comportamientos discriminatorios entre los espectadores.
No se tolerará la discriminación en los estadios de fútbol. Si esto continúa, el juego se suspenderá y es posible que se abandone. Gracias.</t>
  </si>
  <si>
    <t>A - 4</t>
  </si>
  <si>
    <t>3 STEP PROCEDURE - STEP 2 
(suspend the match)</t>
  </si>
  <si>
    <t xml:space="preserve">Attention, please! This is an important announcement.
Because of continuing discriminatory behaviour amongst spectators, the match has been suspended and the teams will now return to their dressing rooms.
We remind you once again that discrimination in football stadiums will not be tolerated. If discriminatory behaviour amongst the spectators continues, then the match will be abandoned.
We repeat that this match will be abandoned if there is continuing discriminatory behaviour amongst spectators. Thank you.
</t>
  </si>
  <si>
    <t>¡Atención por favor! Este es un anuncio importante.
Debido al continuo comportamiento discriminatorio entre los espectadores, el partido ha sido suspendido y los equipos ahora regresarán a sus vestuarios.
Les recordamos una vez más que no se tolerará la discriminación en los estadios de fútbol. Si continúa el comportamiento discriminatorio entre los espectadores, se abandonará el partido.
Repetimos que este partido será abandonado si persiste el comportamiento discriminatorio entre los espectadores. Gracias.</t>
  </si>
  <si>
    <t>A - 5</t>
  </si>
  <si>
    <t xml:space="preserve">Attention, please! This is an important security announcement. 
We regret to inform you that, because of continuing discriminatory behaviour amongst spectators which is interfering with the game, the referee has decided to abandon the match. We repeat: this match has been abandoned.
All spectators are now requested to leave the stadium in an orderly fashion.
In the interests of safety, all spectators are also asked to take their time when leaving the ground and to follow the instructions of the stewards and security personnel.
Further statements on the consequences of the abandonment of the match will be made by Concacaf on its website as soon as possible.
</t>
  </si>
  <si>
    <t>¡Atención por favor! Este es un anuncio de seguridad importante.
Lamentamos informarle que, debido al comportamiento discriminatorio continuo entre los espectadores que están interfiriendo con el juego, el árbitro ha decidido abandonar el partido. Repetimos: este partido ha sido abandonado.
Ahora se pide a todos los espectadores que abandonen el estadio de forma ordenada.
En aras de la seguridad, también se pide a todos los espectadores que se tomen su tiempo al abandonar el terreno y que sigan las instrucciones de los acomodadores y de personal de seguridad.
Concacaf hará más declaraciones sobre las consecuencias del abandono del partido en su sitio web lo antes posible.</t>
  </si>
  <si>
    <t>SOCIAL MEDIA SCRIPT</t>
  </si>
  <si>
    <t xml:space="preserve">Spanish   </t>
  </si>
  <si>
    <t>SM - 1</t>
  </si>
  <si>
    <t>CONCACAF APP</t>
  </si>
  <si>
    <t xml:space="preserve">The best way to follow along with the 2024 Concacaf W Gold Cup is by downloading the official CONCACAF mobile app
.
stay up to date with all the action from the 2024 Concacaf W Gold Cup. Discover your favourite players and get the latest news stats, opictures and and videos from all the games directly on your smartphone. 
The CONCACAF App is free, and availablle on android and IOS so download it today. </t>
  </si>
  <si>
    <t>La mejor manera de seguir la Copa _____ es descargando la aplicación móvil oficial de CONCACAF.
.
mantente al día con toda la acción de la Copa _____. Descubre a tus jugadores favoritos y obtén las últimas noticias, imágenes y videos de todos los juegos directamente en tu teléfono inteligente.
La aplicación CONCACAF es gratuita y está disponible en Android e IOS, así que descárgala hoy.</t>
  </si>
  <si>
    <t>SM - 2</t>
  </si>
  <si>
    <t>WEBSITE</t>
  </si>
  <si>
    <t xml:space="preserve">VISIT www.CONCACAF.COM FOR THE LATEST NEWS, SCHEDULE, ROSTER INFORMATION AND QUIZZES TO TEST YOUR KNOWLEDGE ON YOUR FAVORITE TEAM.  </t>
  </si>
  <si>
    <t xml:space="preserve">VISITA www.CONCACAF.COM PARA OBTENER LAS ÚLTIMAS NOTICIAS, HORARIOS Y ALINEACIONES, ADEMAS DE TRIVIAS PARA PONER A PRUEBA TU CONOCIMIENTO SOBRE TU EQUIPO FAVORITO. </t>
  </si>
  <si>
    <t>SM - 3</t>
  </si>
  <si>
    <t>SOCIAL MEDIA 1</t>
  </si>
  <si>
    <t xml:space="preserve">FOLLOW THE ACTION OF TODAY'S MATCHES AND JOIN THE CONVERSATION AND MORE ON CONCACAF'S OFFICIAL FACEBOOK, TWITTER AND INSTAGRAM ACCOUNT
and share Share your excitement, stories and images using #WGoldCup  on Facebook, X (former Tweeter), and Instagam!  </t>
  </si>
  <si>
    <t>SIGUE TODA LA EMOCIÓN DE LOS PARTIDOS DE HOY Y ÚNETE A LA CONVERSACIÓN EN LA CUENTA OFICIAL DE FACEBOOK, TWITTER E INSTAGRAM DE CONCACAF
¡Comparte tu emoción, historias e imágenes utlizando #WGoldCup en Facebook, Twitter e Instagam!</t>
  </si>
  <si>
    <t>SM - 4</t>
  </si>
  <si>
    <t>SOCIAL MEDIA 2</t>
  </si>
  <si>
    <t>Tweet your tournament experiences or send us a selfie using the hashtag #...... for your chance to make it onto the big screens in the stadium!</t>
  </si>
  <si>
    <t>Tuitea tus experiencias en el torneo o envíanos una selfie con el hashtag # ... ¡para tener la oportunidad de aparecer en las pantallas gigantes del estadio!</t>
  </si>
  <si>
    <t>SCRIPT BOOK:   IN MATCH SCRIPT</t>
  </si>
  <si>
    <t xml:space="preserve">Goal for [Team] 
</t>
  </si>
  <si>
    <t>Gol para [equipo]</t>
  </si>
  <si>
    <t>C-12.1</t>
  </si>
  <si>
    <t>Gol anotado por el jugador Numero __, jugador ___…de [equipo]</t>
  </si>
  <si>
    <t>(si es un gol en propia puerta, no se mencionará al jugador :)
Gol en propia puerta a favor de [Team]</t>
  </si>
  <si>
    <t xml:space="preserve">Substitution for [Team]
Player number [Number], [Name of outgoing player according to the start list]
Is replaced by player number [Number], [Name of incoming player according to the start list]
</t>
  </si>
  <si>
    <t>Cambio de [Team]
jugador numero [Número], [Nombre del jugador saliente según la lista de inicio]
Es reemplazado por el jugador número [Número], [Nombre del jugador entrante de acuerdo con la lista de inicio]</t>
  </si>
  <si>
    <t>Suspected concussion substitution for (team)
Player Number (number), (Name of outgoing player according to start list)
Is replaced by player number (number), (Name of incoming player according to start list)
This substitution is prioritising player welfare and is an approved additional substitution per team</t>
  </si>
  <si>
    <t>Sustitución por sospecha de conmoción cerebral para (equipo)
Número de jugador (número), (Nombre del jugador saliente según la lista de inicio)
Es reemplazado por el número de jugador (número), (Nombre del jugador entrante según la lista de inicio)
Esta sustitución prioriza el bienestar del jugador y es una sustitución adicional aprobada por equipo.</t>
  </si>
  <si>
    <t>Yellow card for Player number [Number], [Name], from [Team]</t>
  </si>
  <si>
    <t>Tarjeta amarilla para el jugador número [Número], [Nombre], de [Equipo]</t>
  </si>
  <si>
    <t>Second yellow card for Player number [Number], [Name], from [Team]</t>
  </si>
  <si>
    <t>Segunda tarjeta amarilla para el jugador número [Número], [Nombre], de [Equipo]</t>
  </si>
  <si>
    <t>Red card for Player number [Number], [Name], from [Team]</t>
  </si>
  <si>
    <t>Tarjeta roja para el jugador número [Número], [Nombre], de [Equipo]</t>
  </si>
  <si>
    <t xml:space="preserve">Ladies and gentlemen, the score at the end of the first half  is [Number] [Team A] and [Number] [Team B]
</t>
  </si>
  <si>
    <t>Damas y caballeros, el marcador al final de la primera mitad es [Número] [Equipo A] y [Número] [Equipo B]</t>
  </si>
  <si>
    <t>Ladies and gentlemen,(TODAY/TONIGHTS) the final score is [Number] [Team A] - [Number] [Team B]</t>
  </si>
  <si>
    <t>Damas y caballeros, (HOY / ESTA NOCHE) el marcador final es [Número] [Equipo A] - [Número] [Equipo B]</t>
  </si>
  <si>
    <t xml:space="preserve">LADIES AND GENTLEMEN, THE TOTAL ATTENDANCE FOR TODAY'S/TONIGHT'S MATCH IS __________.  WE WANT TO SAY THANK YOU TO ALL FANS ATTENDING THE 2024 Concacaf W Gold Cup  PRELIMS/ GROUP STAGE/QUARTERFINALS/SEMI-FINALS/FINAL.] </t>
  </si>
  <si>
    <t xml:space="preserve">Ladies and gentlemen, the total attendance for this match is [Number]. 
Congratulations on being part of a full stadium tonight in [Venue]. </t>
  </si>
  <si>
    <t>Damas y caballeros, la asistencia total a este partido es [Número].
Felicitaciones por ser parte de un estadio lleno esta noche en [Sede].</t>
  </si>
  <si>
    <t>Damas y caballeros, demos la bienvenida de nuevo al campo a [equipo] y [equipo]</t>
  </si>
  <si>
    <t>Additional time [Minutes]</t>
  </si>
  <si>
    <t>Tiempo Adicional [Minutos]</t>
  </si>
  <si>
    <t>Ladies and gentlemen, since the match is still level at the end of full time, kicks from the penalty mark will be taken to determine the winner.</t>
  </si>
  <si>
    <t>Match</t>
  </si>
  <si>
    <t>Date</t>
  </si>
  <si>
    <t>Gates</t>
  </si>
  <si>
    <t>KO Local Time</t>
  </si>
  <si>
    <t>Team A</t>
  </si>
  <si>
    <t>Team B</t>
  </si>
  <si>
    <t>City</t>
  </si>
  <si>
    <t>SF 1</t>
  </si>
  <si>
    <t>SOFI</t>
  </si>
  <si>
    <t>🇺🇸 USA (USA)</t>
  </si>
  <si>
    <t>🇵🇦 Panama (PAN)</t>
  </si>
  <si>
    <t>Los Angeles</t>
  </si>
  <si>
    <t>SF2</t>
  </si>
  <si>
    <t>🇨🇦Canada (CAN)</t>
  </si>
  <si>
    <t>🇲🇽 Mexico (MEX)</t>
  </si>
  <si>
    <t>VAR CHECK/REVIEW</t>
  </si>
  <si>
    <t>VAR OUTCOME</t>
  </si>
  <si>
    <t>DECISION CONFIRMED</t>
  </si>
  <si>
    <t xml:space="preserve"># </t>
  </si>
  <si>
    <t>CHANGE OF DECISION</t>
  </si>
  <si>
    <t xml:space="preserve">                                             GOAL GIVEN                            </t>
  </si>
  <si>
    <t xml:space="preserve"> CHECKING GOAL</t>
  </si>
  <si>
    <t>A</t>
  </si>
  <si>
    <t xml:space="preserve"> NO GOAL | OFFSIDE</t>
  </si>
  <si>
    <t xml:space="preserve"> CHECKING FOR OFFSIDE </t>
  </si>
  <si>
    <t xml:space="preserve"> NO GOAL | FOUL</t>
  </si>
  <si>
    <t xml:space="preserve"> CHECKING FOR FOUL </t>
  </si>
  <si>
    <t xml:space="preserve"> GOAL CONFIRMED</t>
  </si>
  <si>
    <t xml:space="preserve"> NO GOAL | HANDBALL</t>
  </si>
  <si>
    <t xml:space="preserve"> CHECKING FOR HANDBALL</t>
  </si>
  <si>
    <t xml:space="preserve"> NO GOAL | BALL OUT OF PLAY</t>
  </si>
  <si>
    <t xml:space="preserve"> CHECKING FOR BALL OUT OF PLAY</t>
  </si>
  <si>
    <t>GOAL NOT GIVEN</t>
  </si>
  <si>
    <t xml:space="preserve"> GOAL AWARDED | NO OFFSIDE</t>
  </si>
  <si>
    <t xml:space="preserve"> CHECKING OFFSIDE</t>
  </si>
  <si>
    <t xml:space="preserve"> GOAL AWARDED | NO FOUL</t>
  </si>
  <si>
    <t xml:space="preserve"> CHECKING FOUL</t>
  </si>
  <si>
    <t xml:space="preserve"> NO GOAL CONFIRMED</t>
  </si>
  <si>
    <t xml:space="preserve"> GOAL AWARDED | NO HANDBALL</t>
  </si>
  <si>
    <t xml:space="preserve"> CHECKING HANDBALL</t>
  </si>
  <si>
    <t xml:space="preserve"> GOAL AWARDED | BALL NOT OUT OF PLAY</t>
  </si>
  <si>
    <t xml:space="preserve"> CHECKING BALL OUT OF PLAY</t>
  </si>
  <si>
    <t>PENALTY GIVEN</t>
  </si>
  <si>
    <t xml:space="preserve"> CHECKING PENALTY</t>
  </si>
  <si>
    <t>B</t>
  </si>
  <si>
    <t xml:space="preserve"> CHECKING FOUL </t>
  </si>
  <si>
    <t xml:space="preserve"> PENALTY CONFIRMED</t>
  </si>
  <si>
    <t xml:space="preserve"> NO PENALTY</t>
  </si>
  <si>
    <t xml:space="preserve">	 CHECKING HANDBALL </t>
  </si>
  <si>
    <t xml:space="preserve">	 CHECKING FOUL INSIDE OR OUTSIDE AREA</t>
  </si>
  <si>
    <t xml:space="preserve"> CHECKING POSSIBLE OFFSIDE </t>
  </si>
  <si>
    <t xml:space="preserve">	 CHECKING HANDBALL INSIDE OR OUTSIDE AREA</t>
  </si>
  <si>
    <t xml:space="preserve">	 CHECKING POSSIBLE OFFENCE LEADING UP TO PENALTY</t>
  </si>
  <si>
    <t xml:space="preserve">	 CHECKING POSSIBLE BALL OUT OF PLAY</t>
  </si>
  <si>
    <t>PENALTY NOT GIVEN</t>
  </si>
  <si>
    <t xml:space="preserve"> CHECKING POSSIBLE PENALTY </t>
  </si>
  <si>
    <t>C</t>
  </si>
  <si>
    <t xml:space="preserve"> POSSIBLE PENALTY | CHECKING FOUL </t>
  </si>
  <si>
    <t xml:space="preserve"> NO PENALTY CONFIRMED</t>
  </si>
  <si>
    <t xml:space="preserve"> PENALTY AWARDED  </t>
  </si>
  <si>
    <t xml:space="preserve"> POSSIBLE PENALTY | CHECKING HANDBALL </t>
  </si>
  <si>
    <t xml:space="preserve"> POSSIBLE PENALTY | CHECKING FOUL OUTSIDE AREA</t>
  </si>
  <si>
    <t xml:space="preserve"> POSSIBLE PENALTY | CHECKING HANDBALL OUTSIDE AREA</t>
  </si>
  <si>
    <t xml:space="preserve"> CHECKING OFFENCE LEADING UP TO POSSIBLE PENALTY</t>
  </si>
  <si>
    <t>ENCROACHMENT</t>
  </si>
  <si>
    <t>PENALTY KICK SCENARIO 1 – goal allowed</t>
  </si>
  <si>
    <t xml:space="preserve"> CHECKING FOR ENCROACHMENT</t>
  </si>
  <si>
    <t xml:space="preserve"> GOAL CONFIRMED </t>
  </si>
  <si>
    <t xml:space="preserve"> PENALTY RETAKE</t>
  </si>
  <si>
    <t xml:space="preserve"> CHECKING FOR OFFENCE BY KICKER</t>
  </si>
  <si>
    <t>PENALTY KICK SCENARIO 2 – missed or saved</t>
  </si>
  <si>
    <t xml:space="preserve"> NO RETAKE</t>
  </si>
  <si>
    <t xml:space="preserve"> CHECKING FOR OFFENCE BY GK</t>
  </si>
  <si>
    <t>PENALTY KICK SCENARIO 3 – goal disallowed</t>
  </si>
  <si>
    <t xml:space="preserve"> CHECKING ENCROACHMENT</t>
  </si>
  <si>
    <t xml:space="preserve"> GOAL AWARDED</t>
  </si>
  <si>
    <t xml:space="preserve">  CHECKING OFFENCE BY KICKER</t>
  </si>
  <si>
    <t xml:space="preserve"> PENALTY RETAKE </t>
  </si>
  <si>
    <t>RED CARD GIVEN  /  NOT GIVEN</t>
  </si>
  <si>
    <t xml:space="preserve"> CHECKING POSSIBLE INCORRECT DISMISSAL  </t>
  </si>
  <si>
    <t>RED CARD CONFIRMED</t>
  </si>
  <si>
    <t>NO RED CARD</t>
  </si>
  <si>
    <t xml:space="preserve"> CHECKING FOR POSSIBLE RED CARD</t>
  </si>
  <si>
    <t>MISTAKEN IDENTITY</t>
  </si>
  <si>
    <t>CHECKING FOR POSSIBLE MISTAKEN IDENTITY</t>
  </si>
  <si>
    <t>Country</t>
  </si>
  <si>
    <t>Group</t>
  </si>
  <si>
    <t>national anthem file name</t>
  </si>
  <si>
    <t>File length</t>
  </si>
  <si>
    <t>Actual  Duration</t>
  </si>
  <si>
    <t>Anthem Code</t>
  </si>
  <si>
    <t>goal sting file name</t>
  </si>
  <si>
    <t>Mexico</t>
  </si>
  <si>
    <t>United States (USA)</t>
  </si>
  <si>
    <t>Canada (CAN)</t>
  </si>
  <si>
    <t>Canada</t>
  </si>
  <si>
    <t xml:space="preserve">Play pen hype - Fan Colour </t>
  </si>
  <si>
    <t>tonight's final score is [_______] [Number] - [______] [Number] 
Please stay with us, we will have the Awards Ceremony coming up and we'd also like to recognize some of our players that did an oustanding work this season but couldn't be here today.</t>
  </si>
  <si>
    <t xml:space="preserve">CONCACAF NATIONS LEAGUE FANS, WE WOULD LIKE TO RECOGNIZE AND CONGRATULATE  THE TOP SCORER OF THE  2025 CONCACAF NATIONS LEAGUE . 
FROM THE NATIONAL TEAM OF ________________, THE WINNER OF THE TOP SCORER AWARD PRESENTED BY ARAMCO IS _________________
</t>
  </si>
  <si>
    <t>THIS WARD RECOGNIZES  THE YOUNG TALENT OF THIS COMPETITION, AT ONLY [_____] YEARS OLD, FROM [_Country_____], [NAME] IS THE WINNER OF THE YOUNG PLAYER AWARD PRESENTED BY ARAMCO OF THIS 2024/2025 CONCACAF  NATIONS LEAGUE!!</t>
  </si>
  <si>
    <t>LADIES AND GENTLEMEN, THE AWARDS CEREMONY OF THE 2025 CONCACAF NATIONS LEAGUE  WILL BEGIN</t>
  </si>
  <si>
    <t xml:space="preserve"> THE INDIVIDUAL AWARDS OF THE TOURAMENT ARE BASED ON THE PERFORMANCE DURING THE ENTIRE 2024/2025 CONCACAF NATIONS LEAGUE COMPETITION
TONIGHT'S  FAIR PLAY AWARD  PRESENTED BY DEGREE GOES TO __________________________.
CONGRATULATIONS _____________________!!!!</t>
  </si>
  <si>
    <t>THE BEST GOAL KEEPER AWARD PRESENTED BY [REXONA] OF THE 2025 CONCACAF NATIONS LEAGUE GOES TO (________) FROM THE (_______) CONGRATULATIONS,_________________________!!!!</t>
  </si>
  <si>
    <t>AND NOW, AFTER AN OUTSTANDING PERFORMANCE, NOT ONLY IN THE TOURNAMENT BUT DETERMINED BY TONIGHT'S  MATCH...YOUR 2025 CONCACAF NATIONS LEAGUE BEST PLAYER AWARD PRESENTED BY ARAMCO GOES TO ___________ FROM ___________.        
CONGRATULATIONS___________________ !!!!</t>
  </si>
  <si>
    <t>AND NOW, WE HONOR ONE OF THE BEST TEAMS OF THE TOURNAMENT
PLEASE CONGRATULATE THE 2025 CONCACAF NATIONS LEAGUE FINALS RUNNER UP, _________________________!</t>
  </si>
  <si>
    <t>LADIES AND GENTLEMEN AFTER AN HISTORIC TOUNRAMENT, WE ARE READY TO RECOGNIZE THE 2025 CONCACAF NATIONS LEAGUE FINALS CHAMPIONS! - TEAM _____________________</t>
  </si>
  <si>
    <t>CONGRATULATIONS TO THE 2025 CONCACAF NATIONS LEAGUE FINALS WINNER , _________________________________.</t>
  </si>
  <si>
    <t>MIC
thunder LOOP</t>
  </si>
  <si>
    <t>MIC
SKY FULL OF STARS Drop</t>
  </si>
  <si>
    <t>LET'S WELCOME TO THE STAGE  THE CAPTAIN OF TEAM __________________________ , _____________________[NAME OF PLAYER]</t>
  </si>
  <si>
    <r>
      <t xml:space="preserve">AND NOW, LADIES AND GENTLEMEN, TODAY'S STARTING LINE-UPS FOR (TEAM/COUNTRY).
For  </t>
    </r>
    <r>
      <rPr>
        <b/>
        <sz val="16"/>
        <color rgb="FF000000"/>
        <rFont val="Arial"/>
        <family val="2"/>
      </rPr>
      <t>[Team A]</t>
    </r>
    <r>
      <rPr>
        <sz val="16"/>
        <color rgb="FF000000"/>
        <rFont val="Arial"/>
        <family val="2"/>
      </rPr>
      <t xml:space="preserve">
Number </t>
    </r>
    <r>
      <rPr>
        <b/>
        <sz val="16"/>
        <color rgb="FF000000"/>
        <rFont val="Arial"/>
        <family val="2"/>
      </rPr>
      <t>[#]</t>
    </r>
    <r>
      <rPr>
        <sz val="16"/>
        <color rgb="FF000000"/>
        <rFont val="Arial"/>
        <family val="2"/>
      </rPr>
      <t>,</t>
    </r>
    <r>
      <rPr>
        <b/>
        <sz val="16"/>
        <color rgb="FF000000"/>
        <rFont val="Arial"/>
        <family val="2"/>
      </rPr>
      <t xml:space="preserve"> [NAME]</t>
    </r>
    <r>
      <rPr>
        <sz val="16"/>
        <color rgb="FF000000"/>
        <rFont val="Arial"/>
        <family val="2"/>
      </rPr>
      <t xml:space="preserve">
Number </t>
    </r>
    <r>
      <rPr>
        <b/>
        <sz val="16"/>
        <color rgb="FF000000"/>
        <rFont val="Arial"/>
        <family val="2"/>
      </rPr>
      <t>[#]</t>
    </r>
    <r>
      <rPr>
        <sz val="16"/>
        <color rgb="FF000000"/>
        <rFont val="Arial"/>
        <family val="2"/>
      </rPr>
      <t>,</t>
    </r>
    <r>
      <rPr>
        <b/>
        <sz val="16"/>
        <color rgb="FF000000"/>
        <rFont val="Arial"/>
        <family val="2"/>
      </rPr>
      <t xml:space="preserve"> [NAME]</t>
    </r>
    <r>
      <rPr>
        <sz val="16"/>
        <color rgb="FF000000"/>
        <rFont val="Arial"/>
        <family val="2"/>
      </rPr>
      <t xml:space="preserve">
Number </t>
    </r>
    <r>
      <rPr>
        <b/>
        <sz val="16"/>
        <color rgb="FF000000"/>
        <rFont val="Arial"/>
        <family val="2"/>
      </rPr>
      <t>[#]</t>
    </r>
    <r>
      <rPr>
        <sz val="16"/>
        <color rgb="FF000000"/>
        <rFont val="Arial"/>
        <family val="2"/>
      </rPr>
      <t>,</t>
    </r>
    <r>
      <rPr>
        <b/>
        <sz val="16"/>
        <color rgb="FF000000"/>
        <rFont val="Arial"/>
        <family val="2"/>
      </rPr>
      <t xml:space="preserve"> [NAME]</t>
    </r>
    <r>
      <rPr>
        <sz val="16"/>
        <color rgb="FF000000"/>
        <rFont val="Arial"/>
        <family val="2"/>
      </rPr>
      <t xml:space="preserve"> etc...
The Coach is, </t>
    </r>
    <r>
      <rPr>
        <b/>
        <sz val="16"/>
        <color rgb="FF000000"/>
        <rFont val="Arial"/>
        <family val="2"/>
      </rPr>
      <t>[NAME]</t>
    </r>
    <r>
      <rPr>
        <sz val="16"/>
        <color rgb="FF000000"/>
        <rFont val="Arial"/>
        <family val="2"/>
      </rPr>
      <t xml:space="preserve">,
For </t>
    </r>
    <r>
      <rPr>
        <b/>
        <sz val="16"/>
        <color rgb="FF000000"/>
        <rFont val="Arial"/>
        <family val="2"/>
      </rPr>
      <t>[Team B]</t>
    </r>
    <r>
      <rPr>
        <sz val="16"/>
        <color rgb="FF000000"/>
        <rFont val="Arial"/>
        <family val="2"/>
      </rPr>
      <t xml:space="preserve">
Number </t>
    </r>
    <r>
      <rPr>
        <b/>
        <sz val="16"/>
        <color rgb="FF000000"/>
        <rFont val="Arial"/>
        <family val="2"/>
      </rPr>
      <t>[#]</t>
    </r>
    <r>
      <rPr>
        <sz val="16"/>
        <color rgb="FF000000"/>
        <rFont val="Arial"/>
        <family val="2"/>
      </rPr>
      <t xml:space="preserve">, </t>
    </r>
    <r>
      <rPr>
        <b/>
        <sz val="16"/>
        <color rgb="FF000000"/>
        <rFont val="Arial"/>
        <family val="2"/>
      </rPr>
      <t>[NAME]</t>
    </r>
    <r>
      <rPr>
        <sz val="16"/>
        <color rgb="FF000000"/>
        <rFont val="Arial"/>
        <family val="2"/>
      </rPr>
      <t xml:space="preserve">
Number</t>
    </r>
    <r>
      <rPr>
        <b/>
        <sz val="16"/>
        <color rgb="FF000000"/>
        <rFont val="Arial"/>
        <family val="2"/>
      </rPr>
      <t xml:space="preserve"> [#]</t>
    </r>
    <r>
      <rPr>
        <sz val="16"/>
        <color rgb="FF000000"/>
        <rFont val="Arial"/>
        <family val="2"/>
      </rPr>
      <t xml:space="preserve">, </t>
    </r>
    <r>
      <rPr>
        <b/>
        <sz val="16"/>
        <color rgb="FF000000"/>
        <rFont val="Arial"/>
        <family val="2"/>
      </rPr>
      <t>[NAME]</t>
    </r>
    <r>
      <rPr>
        <sz val="16"/>
        <color rgb="FF000000"/>
        <rFont val="Arial"/>
        <family val="2"/>
      </rPr>
      <t xml:space="preserve">
Number </t>
    </r>
    <r>
      <rPr>
        <b/>
        <sz val="16"/>
        <color rgb="FF000000"/>
        <rFont val="Arial"/>
        <family val="2"/>
      </rPr>
      <t>[#]</t>
    </r>
    <r>
      <rPr>
        <sz val="16"/>
        <color rgb="FF000000"/>
        <rFont val="Arial"/>
        <family val="2"/>
      </rPr>
      <t xml:space="preserve">, </t>
    </r>
    <r>
      <rPr>
        <b/>
        <sz val="16"/>
        <color rgb="FF000000"/>
        <rFont val="Arial"/>
        <family val="2"/>
      </rPr>
      <t>[NAME]</t>
    </r>
    <r>
      <rPr>
        <sz val="16"/>
        <color rgb="FF000000"/>
        <rFont val="Arial"/>
        <family val="2"/>
      </rPr>
      <t xml:space="preserve"> etc...
The Coach is,</t>
    </r>
    <r>
      <rPr>
        <b/>
        <sz val="16"/>
        <color rgb="FF000000"/>
        <rFont val="Arial"/>
        <family val="2"/>
      </rPr>
      <t xml:space="preserve"> [NAME]</t>
    </r>
    <r>
      <rPr>
        <sz val="16"/>
        <color rgb="FF000000"/>
        <rFont val="Arial"/>
        <family val="2"/>
      </rPr>
      <t xml:space="preserve">,
</t>
    </r>
  </si>
  <si>
    <r>
      <t xml:space="preserve">Y AHORA, SEÑORAS Y CABALLEROS, LA ALINEACIÓN INICIAL DE HOY PARA (EQUIPO / PAÍS).
Para </t>
    </r>
    <r>
      <rPr>
        <b/>
        <sz val="16"/>
        <color rgb="FF000000"/>
        <rFont val="Arial"/>
        <family val="2"/>
      </rPr>
      <t>[Equipo A]</t>
    </r>
    <r>
      <rPr>
        <sz val="16"/>
        <color rgb="FF000000"/>
        <rFont val="Arial"/>
        <family val="2"/>
      </rPr>
      <t xml:space="preserve">
Número </t>
    </r>
    <r>
      <rPr>
        <b/>
        <sz val="16"/>
        <color rgb="FF000000"/>
        <rFont val="Arial"/>
        <family val="2"/>
      </rPr>
      <t>[#], [NOMBRE]</t>
    </r>
    <r>
      <rPr>
        <sz val="16"/>
        <color rgb="FF000000"/>
        <rFont val="Arial"/>
        <family val="2"/>
      </rPr>
      <t xml:space="preserve">
Número </t>
    </r>
    <r>
      <rPr>
        <b/>
        <sz val="16"/>
        <color rgb="FF000000"/>
        <rFont val="Arial"/>
        <family val="2"/>
      </rPr>
      <t>[#], [NOMBRE]</t>
    </r>
    <r>
      <rPr>
        <sz val="16"/>
        <color rgb="FF000000"/>
        <rFont val="Arial"/>
        <family val="2"/>
      </rPr>
      <t xml:space="preserve">
Número </t>
    </r>
    <r>
      <rPr>
        <b/>
        <sz val="16"/>
        <color rgb="FF000000"/>
        <rFont val="Arial"/>
        <family val="2"/>
      </rPr>
      <t>[#], [NOMBRE]</t>
    </r>
    <r>
      <rPr>
        <sz val="16"/>
        <color rgb="FF000000"/>
        <rFont val="Arial"/>
        <family val="2"/>
      </rPr>
      <t xml:space="preserve">, etc.
El entrenador es, </t>
    </r>
    <r>
      <rPr>
        <b/>
        <sz val="16"/>
        <color rgb="FF000000"/>
        <rFont val="Arial"/>
        <family val="2"/>
      </rPr>
      <t>[NOMBRE]</t>
    </r>
    <r>
      <rPr>
        <sz val="16"/>
        <color rgb="FF000000"/>
        <rFont val="Arial"/>
        <family val="2"/>
      </rPr>
      <t xml:space="preserve">,
Para </t>
    </r>
    <r>
      <rPr>
        <b/>
        <sz val="16"/>
        <color rgb="FF000000"/>
        <rFont val="Arial"/>
        <family val="2"/>
      </rPr>
      <t>[Equipo B]</t>
    </r>
    <r>
      <rPr>
        <sz val="16"/>
        <color rgb="FF000000"/>
        <rFont val="Arial"/>
        <family val="2"/>
      </rPr>
      <t xml:space="preserve">
Número </t>
    </r>
    <r>
      <rPr>
        <b/>
        <sz val="16"/>
        <color rgb="FF000000"/>
        <rFont val="Arial"/>
        <family val="2"/>
      </rPr>
      <t>[#], [NOMBRE]</t>
    </r>
    <r>
      <rPr>
        <sz val="16"/>
        <color rgb="FF000000"/>
        <rFont val="Arial"/>
        <family val="2"/>
      </rPr>
      <t xml:space="preserve">
Número </t>
    </r>
    <r>
      <rPr>
        <b/>
        <sz val="16"/>
        <color rgb="FF000000"/>
        <rFont val="Arial"/>
        <family val="2"/>
      </rPr>
      <t>[#], [NOMBRE]</t>
    </r>
    <r>
      <rPr>
        <sz val="16"/>
        <color rgb="FF000000"/>
        <rFont val="Arial"/>
        <family val="2"/>
      </rPr>
      <t xml:space="preserve">
Número </t>
    </r>
    <r>
      <rPr>
        <b/>
        <sz val="16"/>
        <color rgb="FF000000"/>
        <rFont val="Arial"/>
        <family val="2"/>
      </rPr>
      <t>[#], [NOMBRE]</t>
    </r>
    <r>
      <rPr>
        <sz val="16"/>
        <color rgb="FF000000"/>
        <rFont val="Arial"/>
        <family val="2"/>
      </rPr>
      <t xml:space="preserve">, etc.
El entrenador es, </t>
    </r>
    <r>
      <rPr>
        <b/>
        <sz val="16"/>
        <color rgb="FF000000"/>
        <rFont val="Arial"/>
        <family val="2"/>
      </rPr>
      <t>[NOMBRE]</t>
    </r>
    <r>
      <rPr>
        <sz val="16"/>
        <color rgb="FF000000"/>
        <rFont val="Arial"/>
        <family val="2"/>
      </rPr>
      <t>,</t>
    </r>
  </si>
  <si>
    <r>
      <t>The referee for this match is</t>
    </r>
    <r>
      <rPr>
        <b/>
        <sz val="16"/>
        <color rgb="FF000000"/>
        <rFont val="Arial"/>
        <family val="2"/>
      </rPr>
      <t xml:space="preserve"> [NAME]</t>
    </r>
    <r>
      <rPr>
        <sz val="16"/>
        <color rgb="FF000000"/>
        <rFont val="Arial"/>
        <family val="2"/>
      </rPr>
      <t xml:space="preserve"> from </t>
    </r>
    <r>
      <rPr>
        <b/>
        <sz val="16"/>
        <color rgb="FF000000"/>
        <rFont val="Arial"/>
        <family val="2"/>
      </rPr>
      <t>[RefCountry]</t>
    </r>
    <r>
      <rPr>
        <sz val="16"/>
        <color rgb="FF000000"/>
        <rFont val="Arial"/>
        <family val="2"/>
      </rPr>
      <t xml:space="preserve">
The assistant referees are</t>
    </r>
    <r>
      <rPr>
        <b/>
        <sz val="16"/>
        <color rgb="FF000000"/>
        <rFont val="Arial"/>
        <family val="2"/>
      </rPr>
      <t xml:space="preserve"> [NAME] </t>
    </r>
    <r>
      <rPr>
        <sz val="16"/>
        <color rgb="FF000000"/>
        <rFont val="Arial"/>
        <family val="2"/>
      </rPr>
      <t>from</t>
    </r>
    <r>
      <rPr>
        <b/>
        <sz val="16"/>
        <color rgb="FF000000"/>
        <rFont val="Arial"/>
        <family val="2"/>
      </rPr>
      <t xml:space="preserve"> [AR1Country] </t>
    </r>
    <r>
      <rPr>
        <sz val="16"/>
        <color rgb="FF000000"/>
        <rFont val="Arial"/>
        <family val="2"/>
      </rPr>
      <t xml:space="preserve">and </t>
    </r>
    <r>
      <rPr>
        <b/>
        <sz val="16"/>
        <color rgb="FF000000"/>
        <rFont val="Arial"/>
        <family val="2"/>
      </rPr>
      <t>[NAME]</t>
    </r>
    <r>
      <rPr>
        <sz val="16"/>
        <color rgb="FF000000"/>
        <rFont val="Arial"/>
        <family val="2"/>
      </rPr>
      <t xml:space="preserve"> from</t>
    </r>
    <r>
      <rPr>
        <b/>
        <sz val="16"/>
        <color rgb="FF000000"/>
        <rFont val="Arial"/>
        <family val="2"/>
      </rPr>
      <t xml:space="preserve"> [AR2Country]</t>
    </r>
    <r>
      <rPr>
        <sz val="16"/>
        <color rgb="FF000000"/>
        <rFont val="Arial"/>
        <family val="2"/>
      </rPr>
      <t xml:space="preserve">
The fourth official is </t>
    </r>
    <r>
      <rPr>
        <b/>
        <sz val="16"/>
        <color rgb="FF000000"/>
        <rFont val="Arial"/>
        <family val="2"/>
      </rPr>
      <t xml:space="preserve">[NAME] </t>
    </r>
    <r>
      <rPr>
        <sz val="16"/>
        <color rgb="FF000000"/>
        <rFont val="Arial"/>
        <family val="2"/>
      </rPr>
      <t>from</t>
    </r>
    <r>
      <rPr>
        <b/>
        <sz val="16"/>
        <color rgb="FF000000"/>
        <rFont val="Arial"/>
        <family val="2"/>
      </rPr>
      <t xml:space="preserve"> [FourthCountry]</t>
    </r>
  </si>
  <si>
    <r>
      <t>El árbitro de este partido es [</t>
    </r>
    <r>
      <rPr>
        <b/>
        <sz val="16"/>
        <color rgb="FF000000"/>
        <rFont val="Arial"/>
        <family val="2"/>
      </rPr>
      <t>NAME</t>
    </r>
    <r>
      <rPr>
        <sz val="16"/>
        <color rgb="FF000000"/>
        <rFont val="Arial"/>
        <family val="2"/>
      </rPr>
      <t>] de [</t>
    </r>
    <r>
      <rPr>
        <b/>
        <sz val="16"/>
        <color rgb="FF000000"/>
        <rFont val="Arial"/>
        <family val="2"/>
      </rPr>
      <t>RefCountry</t>
    </r>
    <r>
      <rPr>
        <sz val="16"/>
        <color rgb="FF000000"/>
        <rFont val="Arial"/>
        <family val="2"/>
      </rPr>
      <t>]
Los árbitros asistentes son [</t>
    </r>
    <r>
      <rPr>
        <b/>
        <sz val="16"/>
        <color rgb="FF000000"/>
        <rFont val="Arial"/>
        <family val="2"/>
      </rPr>
      <t>NAME</t>
    </r>
    <r>
      <rPr>
        <sz val="16"/>
        <color rgb="FF000000"/>
        <rFont val="Arial"/>
        <family val="2"/>
      </rPr>
      <t>] de [</t>
    </r>
    <r>
      <rPr>
        <b/>
        <sz val="16"/>
        <color rgb="FF000000"/>
        <rFont val="Arial"/>
        <family val="2"/>
      </rPr>
      <t>AR1Country</t>
    </r>
    <r>
      <rPr>
        <sz val="16"/>
        <color rgb="FF000000"/>
        <rFont val="Arial"/>
        <family val="2"/>
      </rPr>
      <t>] y [</t>
    </r>
    <r>
      <rPr>
        <b/>
        <sz val="16"/>
        <color rgb="FF000000"/>
        <rFont val="Arial"/>
        <family val="2"/>
      </rPr>
      <t>NAME</t>
    </r>
    <r>
      <rPr>
        <sz val="16"/>
        <color rgb="FF000000"/>
        <rFont val="Arial"/>
        <family val="2"/>
      </rPr>
      <t>] de [</t>
    </r>
    <r>
      <rPr>
        <b/>
        <sz val="16"/>
        <color rgb="FF000000"/>
        <rFont val="Arial"/>
        <family val="2"/>
      </rPr>
      <t>AR2Country</t>
    </r>
    <r>
      <rPr>
        <sz val="16"/>
        <color rgb="FF000000"/>
        <rFont val="Arial"/>
        <family val="2"/>
      </rPr>
      <t>]
El cuarto árbitro es [</t>
    </r>
    <r>
      <rPr>
        <b/>
        <sz val="16"/>
        <color rgb="FF000000"/>
        <rFont val="Arial"/>
        <family val="2"/>
      </rPr>
      <t>NOMBRE</t>
    </r>
    <r>
      <rPr>
        <sz val="16"/>
        <color rgb="FF000000"/>
        <rFont val="Arial"/>
        <family val="2"/>
      </rPr>
      <t>] de [</t>
    </r>
    <r>
      <rPr>
        <b/>
        <sz val="16"/>
        <color rgb="FF000000"/>
        <rFont val="Arial"/>
        <family val="2"/>
      </rPr>
      <t>FourthCountry</t>
    </r>
    <r>
      <rPr>
        <sz val="16"/>
        <color rgb="FF000000"/>
        <rFont val="Arial"/>
        <family val="2"/>
      </rPr>
      <t>]</t>
    </r>
  </si>
  <si>
    <r>
      <t>The Video Assisant referee for this match is</t>
    </r>
    <r>
      <rPr>
        <b/>
        <sz val="16"/>
        <color rgb="FF000000"/>
        <rFont val="Arial"/>
        <family val="2"/>
      </rPr>
      <t xml:space="preserve"> [Name]</t>
    </r>
    <r>
      <rPr>
        <sz val="16"/>
        <color rgb="FF000000"/>
        <rFont val="Arial"/>
        <family val="2"/>
      </rPr>
      <t xml:space="preserve"> from </t>
    </r>
    <r>
      <rPr>
        <b/>
        <sz val="16"/>
        <color rgb="FF000000"/>
        <rFont val="Arial"/>
        <family val="2"/>
      </rPr>
      <t>[RefCountry]</t>
    </r>
    <r>
      <rPr>
        <sz val="16"/>
        <color rgb="FF000000"/>
        <rFont val="Arial"/>
        <family val="2"/>
      </rPr>
      <t xml:space="preserve">
The Assistant Video Assisant referees are</t>
    </r>
    <r>
      <rPr>
        <b/>
        <sz val="16"/>
        <color rgb="FF000000"/>
        <rFont val="Arial"/>
        <family val="2"/>
      </rPr>
      <t xml:space="preserve"> [VAR1]</t>
    </r>
    <r>
      <rPr>
        <sz val="16"/>
        <color rgb="FF000000"/>
        <rFont val="Arial"/>
        <family val="2"/>
      </rPr>
      <t xml:space="preserve"> from </t>
    </r>
    <r>
      <rPr>
        <b/>
        <sz val="16"/>
        <color rgb="FF000000"/>
        <rFont val="Arial"/>
        <family val="2"/>
      </rPr>
      <t>[VAR1Country]</t>
    </r>
    <r>
      <rPr>
        <sz val="16"/>
        <color rgb="FF000000"/>
        <rFont val="Arial"/>
        <family val="2"/>
      </rPr>
      <t xml:space="preserve"> and </t>
    </r>
    <r>
      <rPr>
        <b/>
        <sz val="16"/>
        <color rgb="FF000000"/>
        <rFont val="Arial"/>
        <family val="2"/>
      </rPr>
      <t>[VAR2]</t>
    </r>
    <r>
      <rPr>
        <sz val="16"/>
        <color rgb="FF000000"/>
        <rFont val="Arial"/>
        <family val="2"/>
      </rPr>
      <t xml:space="preserve"> from </t>
    </r>
    <r>
      <rPr>
        <b/>
        <sz val="16"/>
        <color rgb="FF000000"/>
        <rFont val="Arial"/>
        <family val="2"/>
      </rPr>
      <t>[VAR2Country]</t>
    </r>
    <r>
      <rPr>
        <sz val="16"/>
        <color rgb="FF000000"/>
        <rFont val="Arial"/>
        <family val="2"/>
      </rPr>
      <t xml:space="preserve">
</t>
    </r>
  </si>
  <si>
    <r>
      <t>El árbitro asistente de video para este partido es [</t>
    </r>
    <r>
      <rPr>
        <b/>
        <sz val="16"/>
        <color rgb="FF000000"/>
        <rFont val="Arial"/>
        <family val="2"/>
      </rPr>
      <t>Nombre</t>
    </r>
    <r>
      <rPr>
        <sz val="16"/>
        <color rgb="FF000000"/>
        <rFont val="Arial"/>
        <family val="2"/>
      </rPr>
      <t>] de [</t>
    </r>
    <r>
      <rPr>
        <b/>
        <sz val="16"/>
        <color rgb="FF000000"/>
        <rFont val="Arial"/>
        <family val="2"/>
      </rPr>
      <t>RefCountry</t>
    </r>
    <r>
      <rPr>
        <sz val="16"/>
        <color rgb="FF000000"/>
        <rFont val="Arial"/>
        <family val="2"/>
      </rPr>
      <t>]
Los árbitros del asistente de video asistente son [</t>
    </r>
    <r>
      <rPr>
        <b/>
        <sz val="16"/>
        <color rgb="FF000000"/>
        <rFont val="Arial"/>
        <family val="2"/>
      </rPr>
      <t>VAR1</t>
    </r>
    <r>
      <rPr>
        <sz val="16"/>
        <color rgb="FF000000"/>
        <rFont val="Arial"/>
        <family val="2"/>
      </rPr>
      <t>] de [</t>
    </r>
    <r>
      <rPr>
        <b/>
        <sz val="16"/>
        <color rgb="FF000000"/>
        <rFont val="Arial"/>
        <family val="2"/>
      </rPr>
      <t>VAR1</t>
    </r>
    <r>
      <rPr>
        <sz val="16"/>
        <color rgb="FF000000"/>
        <rFont val="Arial"/>
        <family val="2"/>
      </rPr>
      <t xml:space="preserve"> </t>
    </r>
    <r>
      <rPr>
        <b/>
        <sz val="16"/>
        <color rgb="FF000000"/>
        <rFont val="Arial"/>
        <family val="2"/>
      </rPr>
      <t>Country</t>
    </r>
    <r>
      <rPr>
        <sz val="16"/>
        <color rgb="FF000000"/>
        <rFont val="Arial"/>
        <family val="2"/>
      </rPr>
      <t>] y [</t>
    </r>
    <r>
      <rPr>
        <b/>
        <sz val="16"/>
        <color rgb="FF000000"/>
        <rFont val="Arial"/>
        <family val="2"/>
      </rPr>
      <t>VAR2</t>
    </r>
    <r>
      <rPr>
        <sz val="16"/>
        <color rgb="FF000000"/>
        <rFont val="Arial"/>
        <family val="2"/>
      </rPr>
      <t>] de [</t>
    </r>
    <r>
      <rPr>
        <b/>
        <sz val="16"/>
        <color rgb="FF000000"/>
        <rFont val="Arial"/>
        <family val="2"/>
      </rPr>
      <t>VAR2</t>
    </r>
    <r>
      <rPr>
        <sz val="16"/>
        <color rgb="FF000000"/>
        <rFont val="Arial"/>
        <family val="2"/>
      </rPr>
      <t xml:space="preserve"> </t>
    </r>
    <r>
      <rPr>
        <b/>
        <sz val="16"/>
        <color rgb="FF000000"/>
        <rFont val="Arial"/>
        <family val="2"/>
      </rPr>
      <t>Country</t>
    </r>
    <r>
      <rPr>
        <sz val="16"/>
        <color rgb="FF000000"/>
        <rFont val="Arial"/>
        <family val="2"/>
      </rPr>
      <t>]</t>
    </r>
  </si>
  <si>
    <r>
      <t xml:space="preserve">Let's Welcome the National teams of  </t>
    </r>
    <r>
      <rPr>
        <b/>
        <sz val="16"/>
        <color rgb="FF000000"/>
        <rFont val="Arial"/>
        <family val="2"/>
      </rPr>
      <t xml:space="preserve">[Team A] </t>
    </r>
    <r>
      <rPr>
        <sz val="16"/>
        <color rgb="FF000000"/>
        <rFont val="Arial"/>
        <family val="2"/>
      </rPr>
      <t xml:space="preserve">and </t>
    </r>
    <r>
      <rPr>
        <b/>
        <sz val="16"/>
        <color rgb="FF000000"/>
        <rFont val="Arial"/>
        <family val="2"/>
      </rPr>
      <t>[Team B]</t>
    </r>
  </si>
  <si>
    <r>
      <t>"Demos la bienvenida a los equipos nacionales del [</t>
    </r>
    <r>
      <rPr>
        <b/>
        <sz val="16"/>
        <color rgb="FF000000"/>
        <rFont val="Arial"/>
        <family val="2"/>
      </rPr>
      <t>Equipo</t>
    </r>
    <r>
      <rPr>
        <sz val="16"/>
        <color rgb="FF000000"/>
        <rFont val="Arial"/>
        <family val="2"/>
      </rPr>
      <t xml:space="preserve"> </t>
    </r>
    <r>
      <rPr>
        <b/>
        <sz val="16"/>
        <color rgb="FF000000"/>
        <rFont val="Arial"/>
        <family val="2"/>
      </rPr>
      <t>A</t>
    </r>
    <r>
      <rPr>
        <sz val="16"/>
        <color rgb="FF000000"/>
        <rFont val="Arial"/>
        <family val="2"/>
      </rPr>
      <t>] y [</t>
    </r>
    <r>
      <rPr>
        <b/>
        <sz val="16"/>
        <color rgb="FF000000"/>
        <rFont val="Arial"/>
        <family val="2"/>
      </rPr>
      <t>Equipo</t>
    </r>
    <r>
      <rPr>
        <sz val="16"/>
        <color rgb="FF000000"/>
        <rFont val="Arial"/>
        <family val="2"/>
      </rPr>
      <t xml:space="preserve"> </t>
    </r>
    <r>
      <rPr>
        <b/>
        <sz val="16"/>
        <color rgb="FF000000"/>
        <rFont val="Arial"/>
        <family val="2"/>
      </rPr>
      <t>B</t>
    </r>
    <r>
      <rPr>
        <sz val="16"/>
        <color rgb="FF000000"/>
        <rFont val="Arial"/>
        <family val="2"/>
      </rPr>
      <t>]</t>
    </r>
  </si>
  <si>
    <r>
      <t xml:space="preserve">Ladies and gentlemen, please welcome the CONCACAF President …. and </t>
    </r>
    <r>
      <rPr>
        <b/>
        <sz val="16"/>
        <color rgb="FF000000"/>
        <rFont val="Arial"/>
        <family val="2"/>
      </rPr>
      <t>[Name 2nd highest ranked dignitary]</t>
    </r>
    <r>
      <rPr>
        <sz val="16"/>
        <color rgb="FF000000"/>
        <rFont val="Arial"/>
        <family val="2"/>
      </rPr>
      <t xml:space="preserve">, accompanied by members of the CONCACAF Football Family.
</t>
    </r>
  </si>
  <si>
    <r>
      <t>And now, please welcome</t>
    </r>
    <r>
      <rPr>
        <b/>
        <sz val="16"/>
        <color rgb="FF000000"/>
        <rFont val="Arial"/>
        <family val="2"/>
      </rPr>
      <t xml:space="preserve"> [Name of dignitary] </t>
    </r>
    <r>
      <rPr>
        <sz val="16"/>
        <color rgb="FF000000"/>
        <rFont val="Arial"/>
        <family val="2"/>
      </rPr>
      <t>who will also make a brief speech.</t>
    </r>
  </si>
  <si>
    <r>
      <t xml:space="preserve">Goal for </t>
    </r>
    <r>
      <rPr>
        <b/>
        <sz val="16"/>
        <color rgb="FF000000"/>
        <rFont val="Arial"/>
        <family val="2"/>
      </rPr>
      <t>[Team]</t>
    </r>
    <r>
      <rPr>
        <sz val="16"/>
        <color rgb="FF000000"/>
        <rFont val="Arial"/>
        <family val="2"/>
      </rPr>
      <t xml:space="preserve"> 
</t>
    </r>
  </si>
  <si>
    <r>
      <t>Gol para [</t>
    </r>
    <r>
      <rPr>
        <b/>
        <sz val="16"/>
        <color rgb="FF000000"/>
        <rFont val="Arial"/>
        <family val="2"/>
      </rPr>
      <t>equipo</t>
    </r>
    <r>
      <rPr>
        <sz val="16"/>
        <color rgb="FF000000"/>
        <rFont val="Arial"/>
        <family val="2"/>
      </rPr>
      <t>]</t>
    </r>
  </si>
  <si>
    <r>
      <t xml:space="preserve">Goal scored by </t>
    </r>
    <r>
      <rPr>
        <b/>
        <i/>
        <sz val="16"/>
        <color rgb="FF000000"/>
        <rFont val="Arial"/>
        <family val="2"/>
      </rPr>
      <t>Player number</t>
    </r>
    <r>
      <rPr>
        <sz val="16"/>
        <color rgb="FF000000"/>
        <rFont val="Arial"/>
        <family val="2"/>
      </rPr>
      <t>….</t>
    </r>
    <r>
      <rPr>
        <b/>
        <i/>
        <sz val="16"/>
        <color rgb="FF000000"/>
        <rFont val="Arial"/>
        <family val="2"/>
      </rPr>
      <t>Player name</t>
    </r>
    <r>
      <rPr>
        <sz val="16"/>
        <color rgb="FF000000"/>
        <rFont val="Arial"/>
        <family val="2"/>
      </rPr>
      <t xml:space="preserve">
</t>
    </r>
  </si>
  <si>
    <r>
      <t xml:space="preserve">Gol anotado por </t>
    </r>
    <r>
      <rPr>
        <b/>
        <sz val="16"/>
        <color rgb="FF000000"/>
        <rFont val="Arial"/>
        <family val="2"/>
      </rPr>
      <t>Numero del jugador…nombre del jugador</t>
    </r>
  </si>
  <si>
    <r>
      <rPr>
        <i/>
        <sz val="16"/>
        <color rgb="FF000000"/>
        <rFont val="Arial"/>
        <family val="2"/>
      </rPr>
      <t xml:space="preserve">(if it is an own goal the player shall not be mentioned:)
</t>
    </r>
    <r>
      <rPr>
        <sz val="16"/>
        <color rgb="FF000000"/>
        <rFont val="Arial"/>
        <family val="2"/>
      </rPr>
      <t xml:space="preserve">
Own goal scored in favour of </t>
    </r>
    <r>
      <rPr>
        <b/>
        <sz val="16"/>
        <color rgb="FF000000"/>
        <rFont val="Arial"/>
        <family val="2"/>
      </rPr>
      <t>[Team]</t>
    </r>
    <r>
      <rPr>
        <sz val="16"/>
        <color rgb="FF000000"/>
        <rFont val="Arial"/>
        <family val="2"/>
      </rPr>
      <t xml:space="preserve">
</t>
    </r>
  </si>
  <si>
    <r>
      <t>(si es un gol en propia puerta, no se mencionará al jugador :)
Gol en propia puerta a favor de [</t>
    </r>
    <r>
      <rPr>
        <b/>
        <sz val="16"/>
        <color rgb="FF000000"/>
        <rFont val="Arial"/>
        <family val="2"/>
      </rPr>
      <t>Team</t>
    </r>
    <r>
      <rPr>
        <sz val="16"/>
        <color rgb="FF000000"/>
        <rFont val="Arial"/>
        <family val="2"/>
      </rPr>
      <t>]</t>
    </r>
  </si>
  <si>
    <r>
      <t xml:space="preserve">Substitution for </t>
    </r>
    <r>
      <rPr>
        <b/>
        <sz val="16"/>
        <color rgb="FF000000"/>
        <rFont val="Arial"/>
        <family val="2"/>
      </rPr>
      <t>[Team]</t>
    </r>
    <r>
      <rPr>
        <sz val="16"/>
        <color rgb="FF000000"/>
        <rFont val="Arial"/>
        <family val="2"/>
      </rPr>
      <t xml:space="preserve">
Player number</t>
    </r>
    <r>
      <rPr>
        <b/>
        <sz val="16"/>
        <color rgb="FF000000"/>
        <rFont val="Arial"/>
        <family val="2"/>
      </rPr>
      <t xml:space="preserve"> [Number]</t>
    </r>
    <r>
      <rPr>
        <sz val="16"/>
        <color rgb="FF000000"/>
        <rFont val="Arial"/>
        <family val="2"/>
      </rPr>
      <t xml:space="preserve">, </t>
    </r>
    <r>
      <rPr>
        <b/>
        <sz val="16"/>
        <color rgb="FF000000"/>
        <rFont val="Arial"/>
        <family val="2"/>
      </rPr>
      <t>[Name of outgoing player according to the start list]</t>
    </r>
    <r>
      <rPr>
        <sz val="16"/>
        <color rgb="FF000000"/>
        <rFont val="Arial"/>
        <family val="2"/>
      </rPr>
      <t xml:space="preserve">
Is replaced by player number </t>
    </r>
    <r>
      <rPr>
        <b/>
        <sz val="16"/>
        <color rgb="FF000000"/>
        <rFont val="Arial"/>
        <family val="2"/>
      </rPr>
      <t>[Number]</t>
    </r>
    <r>
      <rPr>
        <sz val="16"/>
        <color rgb="FF000000"/>
        <rFont val="Arial"/>
        <family val="2"/>
      </rPr>
      <t>,</t>
    </r>
    <r>
      <rPr>
        <b/>
        <sz val="16"/>
        <color rgb="FF000000"/>
        <rFont val="Arial"/>
        <family val="2"/>
      </rPr>
      <t xml:space="preserve"> [Name of incoming player according to the start list]</t>
    </r>
    <r>
      <rPr>
        <sz val="16"/>
        <color rgb="FF000000"/>
        <rFont val="Arial"/>
        <family val="2"/>
      </rPr>
      <t xml:space="preserve">
</t>
    </r>
  </si>
  <si>
    <r>
      <t>Cambio de [</t>
    </r>
    <r>
      <rPr>
        <b/>
        <sz val="16"/>
        <color rgb="FF000000"/>
        <rFont val="Arial"/>
        <family val="2"/>
      </rPr>
      <t>Team</t>
    </r>
    <r>
      <rPr>
        <sz val="16"/>
        <color rgb="FF000000"/>
        <rFont val="Arial"/>
        <family val="2"/>
      </rPr>
      <t>]
jugador numero [</t>
    </r>
    <r>
      <rPr>
        <b/>
        <sz val="16"/>
        <color rgb="FF000000"/>
        <rFont val="Arial"/>
        <family val="2"/>
      </rPr>
      <t>Número</t>
    </r>
    <r>
      <rPr>
        <sz val="16"/>
        <color rgb="FF000000"/>
        <rFont val="Arial"/>
        <family val="2"/>
      </rPr>
      <t>], [</t>
    </r>
    <r>
      <rPr>
        <b/>
        <sz val="16"/>
        <color rgb="FF000000"/>
        <rFont val="Arial"/>
        <family val="2"/>
      </rPr>
      <t>Nombre del jugador saliente según la lista de inicio</t>
    </r>
    <r>
      <rPr>
        <sz val="16"/>
        <color rgb="FF000000"/>
        <rFont val="Arial"/>
        <family val="2"/>
      </rPr>
      <t>]
Es reemplazado por el jugador número [</t>
    </r>
    <r>
      <rPr>
        <b/>
        <sz val="16"/>
        <color rgb="FF000000"/>
        <rFont val="Arial"/>
        <family val="2"/>
      </rPr>
      <t>Número</t>
    </r>
    <r>
      <rPr>
        <sz val="16"/>
        <color rgb="FF000000"/>
        <rFont val="Arial"/>
        <family val="2"/>
      </rPr>
      <t>], [</t>
    </r>
    <r>
      <rPr>
        <b/>
        <sz val="16"/>
        <color rgb="FF000000"/>
        <rFont val="Arial"/>
        <family val="2"/>
      </rPr>
      <t>Nombre del jugador entrante de acuerdo con la lista de inicio</t>
    </r>
    <r>
      <rPr>
        <sz val="16"/>
        <color rgb="FF000000"/>
        <rFont val="Arial"/>
        <family val="2"/>
      </rPr>
      <t>]</t>
    </r>
  </si>
  <si>
    <r>
      <t xml:space="preserve">Suspected concussion substitution for </t>
    </r>
    <r>
      <rPr>
        <b/>
        <sz val="16"/>
        <color rgb="FF000000"/>
        <rFont val="Arial"/>
        <family val="2"/>
      </rPr>
      <t>(team)</t>
    </r>
    <r>
      <rPr>
        <sz val="16"/>
        <color rgb="FF000000"/>
        <rFont val="Arial"/>
        <family val="2"/>
      </rPr>
      <t xml:space="preserve">
Player Number </t>
    </r>
    <r>
      <rPr>
        <b/>
        <sz val="16"/>
        <color rgb="FF000000"/>
        <rFont val="Arial"/>
        <family val="2"/>
      </rPr>
      <t>(number), (Name of outgoing player according to start list)</t>
    </r>
    <r>
      <rPr>
        <sz val="16"/>
        <color rgb="FF000000"/>
        <rFont val="Arial"/>
        <family val="2"/>
      </rPr>
      <t xml:space="preserve">
Is replaced by player number </t>
    </r>
    <r>
      <rPr>
        <b/>
        <sz val="16"/>
        <color rgb="FF000000"/>
        <rFont val="Arial"/>
        <family val="2"/>
      </rPr>
      <t>(number), (Name of incoming player according to start list)</t>
    </r>
    <r>
      <rPr>
        <sz val="16"/>
        <color rgb="FF000000"/>
        <rFont val="Arial"/>
        <family val="2"/>
      </rPr>
      <t xml:space="preserve">
This substitution is prioritising player welfare and is an approved additional substitution per team</t>
    </r>
  </si>
  <si>
    <r>
      <t>Sustitución por sospecha de conmoción cerebral para (</t>
    </r>
    <r>
      <rPr>
        <b/>
        <i/>
        <sz val="16"/>
        <color rgb="FF000000"/>
        <rFont val="Arial"/>
        <family val="2"/>
      </rPr>
      <t>equipo</t>
    </r>
    <r>
      <rPr>
        <i/>
        <sz val="16"/>
        <color rgb="FF000000"/>
        <rFont val="Arial"/>
        <family val="2"/>
      </rPr>
      <t>)
Número de jugador (</t>
    </r>
    <r>
      <rPr>
        <b/>
        <i/>
        <sz val="16"/>
        <color rgb="FF000000"/>
        <rFont val="Arial"/>
        <family val="2"/>
      </rPr>
      <t>número</t>
    </r>
    <r>
      <rPr>
        <i/>
        <sz val="16"/>
        <color rgb="FF000000"/>
        <rFont val="Arial"/>
        <family val="2"/>
      </rPr>
      <t>), (</t>
    </r>
    <r>
      <rPr>
        <b/>
        <i/>
        <sz val="16"/>
        <color rgb="FF000000"/>
        <rFont val="Arial"/>
        <family val="2"/>
      </rPr>
      <t>Nombre del jugador saliente según la lista de inicio</t>
    </r>
    <r>
      <rPr>
        <i/>
        <sz val="16"/>
        <color rgb="FF000000"/>
        <rFont val="Arial"/>
        <family val="2"/>
      </rPr>
      <t>)
Es reemplazado por el número de jugador (</t>
    </r>
    <r>
      <rPr>
        <b/>
        <i/>
        <sz val="16"/>
        <color rgb="FF000000"/>
        <rFont val="Arial"/>
        <family val="2"/>
      </rPr>
      <t>número</t>
    </r>
    <r>
      <rPr>
        <i/>
        <sz val="16"/>
        <color rgb="FF000000"/>
        <rFont val="Arial"/>
        <family val="2"/>
      </rPr>
      <t>), (</t>
    </r>
    <r>
      <rPr>
        <b/>
        <i/>
        <sz val="16"/>
        <color rgb="FF000000"/>
        <rFont val="Arial"/>
        <family val="2"/>
      </rPr>
      <t>Nombre del jugador entrante según la lista de inicio</t>
    </r>
    <r>
      <rPr>
        <i/>
        <sz val="16"/>
        <color rgb="FF000000"/>
        <rFont val="Arial"/>
        <family val="2"/>
      </rPr>
      <t>)
Esta sustitución prioriza el bienestar del jugador y es una sustitución adicional aprobada por equipo.</t>
    </r>
  </si>
  <si>
    <r>
      <t xml:space="preserve">Ladies and gentlemen, we kindly ask you to stand to observe a moment of silence in memory of </t>
    </r>
    <r>
      <rPr>
        <b/>
        <sz val="16"/>
        <color rgb="FF000000"/>
        <rFont val="Arial"/>
        <family val="2"/>
      </rPr>
      <t>[reason]</t>
    </r>
    <r>
      <rPr>
        <sz val="16"/>
        <color rgb="FF000000"/>
        <rFont val="Arial"/>
        <family val="2"/>
      </rPr>
      <t xml:space="preserve">.
Thank you.
</t>
    </r>
  </si>
  <si>
    <r>
      <t>Señoras y señores, les rogamos que se pongan de pie para guardar un momento de silencio en memoria de [</t>
    </r>
    <r>
      <rPr>
        <b/>
        <sz val="16"/>
        <color rgb="FF000000"/>
        <rFont val="Arial"/>
        <family val="2"/>
      </rPr>
      <t>la razón</t>
    </r>
    <r>
      <rPr>
        <sz val="16"/>
        <color rgb="FF000000"/>
        <rFont val="Arial"/>
        <family val="2"/>
      </rPr>
      <t>].
Gracias.</t>
    </r>
  </si>
  <si>
    <r>
      <t>Yellow card for Player number</t>
    </r>
    <r>
      <rPr>
        <b/>
        <sz val="16"/>
        <color rgb="FF000000"/>
        <rFont val="Arial"/>
        <family val="2"/>
      </rPr>
      <t xml:space="preserve"> [Number]</t>
    </r>
    <r>
      <rPr>
        <sz val="16"/>
        <color rgb="FF000000"/>
        <rFont val="Arial"/>
        <family val="2"/>
      </rPr>
      <t>,</t>
    </r>
    <r>
      <rPr>
        <b/>
        <sz val="16"/>
        <color rgb="FF000000"/>
        <rFont val="Arial"/>
        <family val="2"/>
      </rPr>
      <t xml:space="preserve"> [Name]</t>
    </r>
    <r>
      <rPr>
        <sz val="16"/>
        <color rgb="FF000000"/>
        <rFont val="Arial"/>
        <family val="2"/>
      </rPr>
      <t xml:space="preserve">, from </t>
    </r>
    <r>
      <rPr>
        <b/>
        <sz val="16"/>
        <color rgb="FF000000"/>
        <rFont val="Arial"/>
        <family val="2"/>
      </rPr>
      <t>[Team]</t>
    </r>
  </si>
  <si>
    <r>
      <t>Tarjeta amarilla para el jugador número [</t>
    </r>
    <r>
      <rPr>
        <b/>
        <sz val="16"/>
        <color rgb="FF000000"/>
        <rFont val="Arial"/>
        <family val="2"/>
      </rPr>
      <t>Número</t>
    </r>
    <r>
      <rPr>
        <sz val="16"/>
        <color rgb="FF000000"/>
        <rFont val="Arial"/>
        <family val="2"/>
      </rPr>
      <t>], [</t>
    </r>
    <r>
      <rPr>
        <b/>
        <sz val="16"/>
        <color rgb="FF000000"/>
        <rFont val="Arial"/>
        <family val="2"/>
      </rPr>
      <t>Nombre</t>
    </r>
    <r>
      <rPr>
        <sz val="16"/>
        <color rgb="FF000000"/>
        <rFont val="Arial"/>
        <family val="2"/>
      </rPr>
      <t>], de [</t>
    </r>
    <r>
      <rPr>
        <b/>
        <sz val="16"/>
        <color rgb="FF000000"/>
        <rFont val="Arial"/>
        <family val="2"/>
      </rPr>
      <t>Equipo</t>
    </r>
    <r>
      <rPr>
        <sz val="16"/>
        <color rgb="FF000000"/>
        <rFont val="Arial"/>
        <family val="2"/>
      </rPr>
      <t>]</t>
    </r>
  </si>
  <si>
    <r>
      <t>Second yellow card for Player number</t>
    </r>
    <r>
      <rPr>
        <b/>
        <sz val="16"/>
        <color rgb="FF000000"/>
        <rFont val="Arial"/>
        <family val="2"/>
      </rPr>
      <t xml:space="preserve"> [Number]</t>
    </r>
    <r>
      <rPr>
        <sz val="16"/>
        <color rgb="FF000000"/>
        <rFont val="Arial"/>
        <family val="2"/>
      </rPr>
      <t>,</t>
    </r>
    <r>
      <rPr>
        <b/>
        <sz val="16"/>
        <color rgb="FF000000"/>
        <rFont val="Arial"/>
        <family val="2"/>
      </rPr>
      <t xml:space="preserve"> [Name]</t>
    </r>
    <r>
      <rPr>
        <sz val="16"/>
        <color rgb="FF000000"/>
        <rFont val="Arial"/>
        <family val="2"/>
      </rPr>
      <t xml:space="preserve">, from </t>
    </r>
    <r>
      <rPr>
        <b/>
        <sz val="16"/>
        <color rgb="FF000000"/>
        <rFont val="Arial"/>
        <family val="2"/>
      </rPr>
      <t>[Team]</t>
    </r>
  </si>
  <si>
    <r>
      <t>Segunda tarjeta amarilla para el jugador número [</t>
    </r>
    <r>
      <rPr>
        <b/>
        <sz val="16"/>
        <color rgb="FF000000"/>
        <rFont val="Arial"/>
        <family val="2"/>
      </rPr>
      <t>Número</t>
    </r>
    <r>
      <rPr>
        <sz val="16"/>
        <color rgb="FF000000"/>
        <rFont val="Arial"/>
        <family val="2"/>
      </rPr>
      <t>], [</t>
    </r>
    <r>
      <rPr>
        <b/>
        <sz val="16"/>
        <color rgb="FF000000"/>
        <rFont val="Arial"/>
        <family val="2"/>
      </rPr>
      <t>Nombre</t>
    </r>
    <r>
      <rPr>
        <sz val="16"/>
        <color rgb="FF000000"/>
        <rFont val="Arial"/>
        <family val="2"/>
      </rPr>
      <t>], de [</t>
    </r>
    <r>
      <rPr>
        <b/>
        <sz val="16"/>
        <color rgb="FF000000"/>
        <rFont val="Arial"/>
        <family val="2"/>
      </rPr>
      <t>Equipo</t>
    </r>
    <r>
      <rPr>
        <sz val="16"/>
        <color rgb="FF000000"/>
        <rFont val="Arial"/>
        <family val="2"/>
      </rPr>
      <t>]</t>
    </r>
  </si>
  <si>
    <r>
      <t>Red card for Player number</t>
    </r>
    <r>
      <rPr>
        <b/>
        <sz val="16"/>
        <color rgb="FF000000"/>
        <rFont val="Arial"/>
        <family val="2"/>
      </rPr>
      <t xml:space="preserve"> [Number]</t>
    </r>
    <r>
      <rPr>
        <sz val="16"/>
        <color rgb="FF000000"/>
        <rFont val="Arial"/>
        <family val="2"/>
      </rPr>
      <t>,</t>
    </r>
    <r>
      <rPr>
        <b/>
        <sz val="16"/>
        <color rgb="FF000000"/>
        <rFont val="Arial"/>
        <family val="2"/>
      </rPr>
      <t xml:space="preserve"> [Name]</t>
    </r>
    <r>
      <rPr>
        <sz val="16"/>
        <color rgb="FF000000"/>
        <rFont val="Arial"/>
        <family val="2"/>
      </rPr>
      <t xml:space="preserve">, from </t>
    </r>
    <r>
      <rPr>
        <b/>
        <sz val="16"/>
        <color rgb="FF000000"/>
        <rFont val="Arial"/>
        <family val="2"/>
      </rPr>
      <t>[Team]</t>
    </r>
  </si>
  <si>
    <r>
      <t>Tarjeta roja para el jugador número [</t>
    </r>
    <r>
      <rPr>
        <b/>
        <sz val="16"/>
        <color rgb="FF000000"/>
        <rFont val="Arial"/>
        <family val="2"/>
      </rPr>
      <t>Número</t>
    </r>
    <r>
      <rPr>
        <sz val="16"/>
        <color rgb="FF000000"/>
        <rFont val="Arial"/>
        <family val="2"/>
      </rPr>
      <t>], [</t>
    </r>
    <r>
      <rPr>
        <b/>
        <sz val="16"/>
        <color rgb="FF000000"/>
        <rFont val="Arial"/>
        <family val="2"/>
      </rPr>
      <t>Nombre</t>
    </r>
    <r>
      <rPr>
        <sz val="16"/>
        <color rgb="FF000000"/>
        <rFont val="Arial"/>
        <family val="2"/>
      </rPr>
      <t>], de [</t>
    </r>
    <r>
      <rPr>
        <b/>
        <sz val="16"/>
        <color rgb="FF000000"/>
        <rFont val="Arial"/>
        <family val="2"/>
      </rPr>
      <t>Equipo</t>
    </r>
    <r>
      <rPr>
        <sz val="16"/>
        <color rgb="FF000000"/>
        <rFont val="Arial"/>
        <family val="2"/>
      </rPr>
      <t>]</t>
    </r>
  </si>
  <si>
    <r>
      <t xml:space="preserve">Ladies and gentlemen, the score at the end of the first half  is </t>
    </r>
    <r>
      <rPr>
        <b/>
        <sz val="16"/>
        <color rgb="FF000000"/>
        <rFont val="Arial"/>
        <family val="2"/>
      </rPr>
      <t>[Number] [Team A]</t>
    </r>
    <r>
      <rPr>
        <sz val="16"/>
        <color rgb="FF000000"/>
        <rFont val="Arial"/>
        <family val="2"/>
      </rPr>
      <t xml:space="preserve"> and </t>
    </r>
    <r>
      <rPr>
        <b/>
        <sz val="16"/>
        <color rgb="FF000000"/>
        <rFont val="Arial"/>
        <family val="2"/>
      </rPr>
      <t>[Number] [Team B]</t>
    </r>
    <r>
      <rPr>
        <sz val="16"/>
        <color rgb="FF000000"/>
        <rFont val="Arial"/>
        <family val="2"/>
      </rPr>
      <t xml:space="preserve">
</t>
    </r>
  </si>
  <si>
    <r>
      <t>Damas y caballeros, el marcador al final de la primera mitad es [</t>
    </r>
    <r>
      <rPr>
        <b/>
        <sz val="16"/>
        <color rgb="FF000000"/>
        <rFont val="Arial"/>
        <family val="2"/>
      </rPr>
      <t>Número</t>
    </r>
    <r>
      <rPr>
        <sz val="16"/>
        <color rgb="FF000000"/>
        <rFont val="Arial"/>
        <family val="2"/>
      </rPr>
      <t>] [</t>
    </r>
    <r>
      <rPr>
        <b/>
        <sz val="16"/>
        <color rgb="FF000000"/>
        <rFont val="Arial"/>
        <family val="2"/>
      </rPr>
      <t>Equipo</t>
    </r>
    <r>
      <rPr>
        <sz val="16"/>
        <color rgb="FF000000"/>
        <rFont val="Arial"/>
        <family val="2"/>
      </rPr>
      <t xml:space="preserve"> </t>
    </r>
    <r>
      <rPr>
        <b/>
        <sz val="16"/>
        <color rgb="FF000000"/>
        <rFont val="Arial"/>
        <family val="2"/>
      </rPr>
      <t>A</t>
    </r>
    <r>
      <rPr>
        <sz val="16"/>
        <color rgb="FF000000"/>
        <rFont val="Arial"/>
        <family val="2"/>
      </rPr>
      <t>] y [</t>
    </r>
    <r>
      <rPr>
        <b/>
        <sz val="16"/>
        <color rgb="FF000000"/>
        <rFont val="Arial"/>
        <family val="2"/>
      </rPr>
      <t>Número</t>
    </r>
    <r>
      <rPr>
        <sz val="16"/>
        <color rgb="FF000000"/>
        <rFont val="Arial"/>
        <family val="2"/>
      </rPr>
      <t>] [</t>
    </r>
    <r>
      <rPr>
        <b/>
        <sz val="16"/>
        <color rgb="FF000000"/>
        <rFont val="Arial"/>
        <family val="2"/>
      </rPr>
      <t>Equipo</t>
    </r>
    <r>
      <rPr>
        <sz val="16"/>
        <color rgb="FF000000"/>
        <rFont val="Arial"/>
        <family val="2"/>
      </rPr>
      <t xml:space="preserve"> </t>
    </r>
    <r>
      <rPr>
        <b/>
        <sz val="16"/>
        <color rgb="FF000000"/>
        <rFont val="Arial"/>
        <family val="2"/>
      </rPr>
      <t>B]</t>
    </r>
  </si>
  <si>
    <r>
      <t xml:space="preserve">Ladies and gentlemen,(TODAY/TONIGHTS) the final score is </t>
    </r>
    <r>
      <rPr>
        <b/>
        <sz val="16"/>
        <color rgb="FF000000"/>
        <rFont val="Arial"/>
        <family val="2"/>
      </rPr>
      <t xml:space="preserve">[Number] [Team A] </t>
    </r>
    <r>
      <rPr>
        <sz val="16"/>
        <color rgb="FF000000"/>
        <rFont val="Arial"/>
        <family val="2"/>
      </rPr>
      <t>-</t>
    </r>
    <r>
      <rPr>
        <b/>
        <sz val="16"/>
        <color rgb="FF000000"/>
        <rFont val="Arial"/>
        <family val="2"/>
      </rPr>
      <t xml:space="preserve"> [Number] [Team B]</t>
    </r>
  </si>
  <si>
    <r>
      <t>Damas y caballeros, (HOY / ESTA NOCHE) el marcador final es</t>
    </r>
    <r>
      <rPr>
        <b/>
        <sz val="16"/>
        <color rgb="FF000000"/>
        <rFont val="Arial"/>
        <family val="2"/>
      </rPr>
      <t xml:space="preserve"> [Número] [Equipo A] - [Número] [Equipo B]</t>
    </r>
  </si>
  <si>
    <r>
      <t>LADIES AND GENTLEMEN, THE TOTAL ATTENDANCE FOR TODAY'S/TONIGHT'S MATCH IS __________.  WE WANT TO SAY THANK YOU TO ALL FANS ATTENDING THE 2024 Concacaf W Gold Cup  PRELIMS/ GROUP STAGE/QUARTERFINALS/SEMI-FINALS/FINAL.</t>
    </r>
    <r>
      <rPr>
        <b/>
        <sz val="16"/>
        <color rgb="FF000000"/>
        <rFont val="Arial"/>
        <family val="2"/>
      </rPr>
      <t xml:space="preserve">] </t>
    </r>
  </si>
  <si>
    <r>
      <t xml:space="preserve">ATTENDANCE 2
</t>
    </r>
    <r>
      <rPr>
        <i/>
        <sz val="16"/>
        <color rgb="FF000000"/>
        <rFont val="Arial"/>
        <family val="2"/>
      </rPr>
      <t>(If the attendance figure at half time confirms the full turnout)</t>
    </r>
  </si>
  <si>
    <r>
      <t xml:space="preserve">Ladies and gentlemen, the total attendance for this match is </t>
    </r>
    <r>
      <rPr>
        <b/>
        <sz val="16"/>
        <color rgb="FF000000"/>
        <rFont val="Arial"/>
        <family val="2"/>
      </rPr>
      <t>[Number]</t>
    </r>
    <r>
      <rPr>
        <sz val="16"/>
        <color rgb="FF000000"/>
        <rFont val="Arial"/>
        <family val="2"/>
      </rPr>
      <t>. 
Congratulations on being part of a full stadium tonight in</t>
    </r>
    <r>
      <rPr>
        <b/>
        <sz val="16"/>
        <color rgb="FF000000"/>
        <rFont val="Arial"/>
        <family val="2"/>
      </rPr>
      <t xml:space="preserve"> [Venue]</t>
    </r>
    <r>
      <rPr>
        <sz val="16"/>
        <color rgb="FF000000"/>
        <rFont val="Arial"/>
        <family val="2"/>
      </rPr>
      <t xml:space="preserve">. </t>
    </r>
  </si>
  <si>
    <r>
      <t>Damas y caballeros, la asistencia total a este partido es [</t>
    </r>
    <r>
      <rPr>
        <b/>
        <sz val="16"/>
        <color rgb="FF000000"/>
        <rFont val="Arial"/>
        <family val="2"/>
      </rPr>
      <t>Número</t>
    </r>
    <r>
      <rPr>
        <sz val="16"/>
        <color rgb="FF000000"/>
        <rFont val="Arial"/>
        <family val="2"/>
      </rPr>
      <t>].
Felicitaciones por ser parte de un estadio lleno esta noche en [</t>
    </r>
    <r>
      <rPr>
        <b/>
        <sz val="16"/>
        <color rgb="FF000000"/>
        <rFont val="Arial"/>
        <family val="2"/>
      </rPr>
      <t>Sede</t>
    </r>
    <r>
      <rPr>
        <sz val="16"/>
        <color rgb="FF000000"/>
        <rFont val="Arial"/>
        <family val="2"/>
      </rPr>
      <t>].</t>
    </r>
  </si>
  <si>
    <r>
      <t>Damas y caballeros, demos la bienvenida de nuevo al campo a [</t>
    </r>
    <r>
      <rPr>
        <b/>
        <sz val="16"/>
        <color rgb="FF000000"/>
        <rFont val="Arial"/>
        <family val="2"/>
      </rPr>
      <t>equipo</t>
    </r>
    <r>
      <rPr>
        <sz val="16"/>
        <color rgb="FF000000"/>
        <rFont val="Arial"/>
        <family val="2"/>
      </rPr>
      <t>] y [</t>
    </r>
    <r>
      <rPr>
        <b/>
        <sz val="16"/>
        <color rgb="FF000000"/>
        <rFont val="Arial"/>
        <family val="2"/>
      </rPr>
      <t>equipo</t>
    </r>
    <r>
      <rPr>
        <sz val="16"/>
        <color rgb="FF000000"/>
        <rFont val="Arial"/>
        <family val="2"/>
      </rPr>
      <t>]</t>
    </r>
  </si>
  <si>
    <r>
      <t xml:space="preserve">Additional time </t>
    </r>
    <r>
      <rPr>
        <b/>
        <sz val="16"/>
        <color rgb="FF000000"/>
        <rFont val="Arial"/>
        <family val="2"/>
      </rPr>
      <t>[Minutes]</t>
    </r>
  </si>
  <si>
    <r>
      <t>Tiempo Adicional [</t>
    </r>
    <r>
      <rPr>
        <b/>
        <sz val="16"/>
        <color rgb="FF000000"/>
        <rFont val="Arial"/>
        <family val="2"/>
      </rPr>
      <t>Minutos]</t>
    </r>
  </si>
  <si>
    <r>
      <t xml:space="preserve">PENALTY KICKS 2
</t>
    </r>
    <r>
      <rPr>
        <b/>
        <sz val="16"/>
        <color rgb="FF000000"/>
        <rFont val="Arial"/>
        <family val="2"/>
      </rPr>
      <t xml:space="preserve">for M4 and M7: no extra time 
</t>
    </r>
    <r>
      <rPr>
        <i/>
        <sz val="16"/>
        <color rgb="FF000000"/>
        <rFont val="Arial"/>
        <family val="2"/>
      </rPr>
      <t>as these 
matches are played directly before the semi-finals and final</t>
    </r>
  </si>
  <si>
    <r>
      <t>DAMAS Y CABALLEROS, CONCACAF RECONOCE GRATAMENTE EL EXCEPCIONAL APOYO DE SUS SOCIOS OFICIALES DE LA COPA ORO (BIMBO, BMO, GATORADE, GRUPO MONGE, MDOELO, PREDATOR, QATAR AIRWAYS, SAL LA FINA, SITE ONE, TOYOTA, UNILEVER, AND VALVOLINE GRACIAS POR VENIR A LA COPA ORO DE CONCACAF AQUÍ EN / EN (</t>
    </r>
    <r>
      <rPr>
        <b/>
        <sz val="16"/>
        <color rgb="FF000000"/>
        <rFont val="Arial"/>
        <family val="2"/>
      </rPr>
      <t>LUGAR)</t>
    </r>
    <r>
      <rPr>
        <sz val="16"/>
        <color rgb="FF000000"/>
        <rFont val="Arial"/>
        <family val="2"/>
      </rPr>
      <t>.
EL PRÓXIMO PARTIDO SE JUEGARÁ AQUÍ EN (LUGAR) EL (FECHA) DE JULIO A LAS (HORA).
POR FAVOR LLEGUE A CASA DE FORMA SEGURA.</t>
    </r>
  </si>
  <si>
    <r>
      <t xml:space="preserve">GOOD </t>
    </r>
    <r>
      <rPr>
        <b/>
        <sz val="16"/>
        <color rgb="FF444444"/>
        <rFont val="Arial"/>
        <family val="2"/>
      </rPr>
      <t>AFTERNOON/EVENING</t>
    </r>
    <r>
      <rPr>
        <sz val="16"/>
        <color rgb="FF444444"/>
        <rFont val="Arial"/>
        <family val="2"/>
      </rPr>
      <t xml:space="preserve"> LADIES AND GENTLEMEN, AND WELCOME TO THE 2024 Concacaf W Gold Cup TOURNAMENT.  CONCACAF WELCOMES ALL FANS OF INTERNATIONAL SOCCER TO TODAY'S </t>
    </r>
    <r>
      <rPr>
        <b/>
        <sz val="16"/>
        <color rgb="FF444444"/>
        <rFont val="Arial"/>
        <family val="2"/>
      </rPr>
      <t>MATCH/DOUBLE HEADER/MATCH</t>
    </r>
    <r>
      <rPr>
        <sz val="16"/>
        <color rgb="FF444444"/>
        <rFont val="Arial"/>
        <family val="2"/>
      </rPr>
      <t xml:space="preserve"> BETWEEN </t>
    </r>
    <r>
      <rPr>
        <b/>
        <sz val="16"/>
        <color rgb="FF444444"/>
        <rFont val="Arial"/>
        <family val="2"/>
      </rPr>
      <t>(TEAM A)</t>
    </r>
    <r>
      <rPr>
        <sz val="16"/>
        <color rgb="FF444444"/>
        <rFont val="Arial"/>
        <family val="2"/>
      </rPr>
      <t xml:space="preserve"> AND </t>
    </r>
    <r>
      <rPr>
        <b/>
        <sz val="16"/>
        <color rgb="FF444444"/>
        <rFont val="Arial"/>
        <family val="2"/>
      </rPr>
      <t>(TEAM B)</t>
    </r>
    <r>
      <rPr>
        <sz val="16"/>
        <color rgb="FF444444"/>
        <rFont val="Arial"/>
        <family val="2"/>
      </rPr>
      <t>.</t>
    </r>
  </si>
  <si>
    <r>
      <rPr>
        <b/>
        <sz val="16"/>
        <color rgb="FF000000"/>
        <rFont val="Arial"/>
        <family val="2"/>
      </rPr>
      <t>BUENAS TARDES / NOCHES</t>
    </r>
    <r>
      <rPr>
        <sz val="16"/>
        <color rgb="FF000000"/>
        <rFont val="Arial"/>
        <family val="2"/>
      </rPr>
      <t xml:space="preserve"> DAMAS Y CABALLEROS, Y BIENVENIDOS AL TORNEO _______F. CONCACAF DA LA BIENVENIDA A TODOS LOS FANÁTICOS DEL FÚTBOL INTERNACIONAL AL </t>
    </r>
    <r>
      <rPr>
        <b/>
        <sz val="16"/>
        <color rgb="FF000000"/>
        <rFont val="Arial"/>
        <family val="2"/>
      </rPr>
      <t>PARTIDO / JORNADA DOBLE /</t>
    </r>
    <r>
      <rPr>
        <sz val="16"/>
        <color rgb="FF000000"/>
        <rFont val="Arial"/>
        <family val="2"/>
      </rPr>
      <t xml:space="preserve"> PARTIDO DE HOY ENTRE (</t>
    </r>
    <r>
      <rPr>
        <b/>
        <sz val="16"/>
        <color rgb="FF000000"/>
        <rFont val="Arial"/>
        <family val="2"/>
      </rPr>
      <t>EQUIPO</t>
    </r>
    <r>
      <rPr>
        <sz val="16"/>
        <color rgb="FF000000"/>
        <rFont val="Arial"/>
        <family val="2"/>
      </rPr>
      <t xml:space="preserve"> </t>
    </r>
    <r>
      <rPr>
        <b/>
        <sz val="16"/>
        <color rgb="FF000000"/>
        <rFont val="Arial"/>
        <family val="2"/>
      </rPr>
      <t>A)</t>
    </r>
    <r>
      <rPr>
        <sz val="16"/>
        <color rgb="FF000000"/>
        <rFont val="Arial"/>
        <family val="2"/>
      </rPr>
      <t xml:space="preserve"> Y (</t>
    </r>
    <r>
      <rPr>
        <b/>
        <sz val="16"/>
        <color rgb="FF000000"/>
        <rFont val="Arial"/>
        <family val="2"/>
      </rPr>
      <t>EQUIPO</t>
    </r>
    <r>
      <rPr>
        <sz val="16"/>
        <color rgb="FF000000"/>
        <rFont val="Arial"/>
        <family val="2"/>
      </rPr>
      <t xml:space="preserve"> </t>
    </r>
    <r>
      <rPr>
        <b/>
        <sz val="16"/>
        <color rgb="FF000000"/>
        <rFont val="Arial"/>
        <family val="2"/>
      </rPr>
      <t>B</t>
    </r>
    <r>
      <rPr>
        <sz val="16"/>
        <color rgb="FF000000"/>
        <rFont val="Arial"/>
        <family val="2"/>
      </rPr>
      <t>).</t>
    </r>
  </si>
  <si>
    <r>
      <t xml:space="preserve">Ladies and gentleman, as the start of the next match is just moments away,  we kindly ask you to return to your seats. 
The upcoming match is </t>
    </r>
    <r>
      <rPr>
        <b/>
        <sz val="16"/>
        <color rgb="FF000000"/>
        <rFont val="Arial"/>
        <family val="2"/>
      </rPr>
      <t xml:space="preserve">[Team A] </t>
    </r>
    <r>
      <rPr>
        <sz val="16"/>
        <color rgb="FF000000"/>
        <rFont val="Arial"/>
        <family val="2"/>
      </rPr>
      <t>and</t>
    </r>
    <r>
      <rPr>
        <b/>
        <sz val="16"/>
        <color rgb="FF000000"/>
        <rFont val="Arial"/>
        <family val="2"/>
      </rPr>
      <t xml:space="preserve"> [Team B]</t>
    </r>
    <r>
      <rPr>
        <sz val="16"/>
        <color rgb="FF000000"/>
        <rFont val="Arial"/>
        <family val="2"/>
      </rPr>
      <t>.</t>
    </r>
  </si>
  <si>
    <r>
      <t>Damas y caballeros, como el comienzo del próximo partido está a solo unos minutos, les pedimos que regresen a sus asientos.
El próximo partido es [</t>
    </r>
    <r>
      <rPr>
        <b/>
        <sz val="16"/>
        <color rgb="FF000000"/>
        <rFont val="Arial"/>
        <family val="2"/>
      </rPr>
      <t>Equipo</t>
    </r>
    <r>
      <rPr>
        <sz val="16"/>
        <color rgb="FF000000"/>
        <rFont val="Arial"/>
        <family val="2"/>
      </rPr>
      <t xml:space="preserve"> </t>
    </r>
    <r>
      <rPr>
        <b/>
        <sz val="16"/>
        <color rgb="FF000000"/>
        <rFont val="Arial"/>
        <family val="2"/>
      </rPr>
      <t>A</t>
    </r>
    <r>
      <rPr>
        <sz val="16"/>
        <color rgb="FF000000"/>
        <rFont val="Arial"/>
        <family val="2"/>
      </rPr>
      <t>] y [</t>
    </r>
    <r>
      <rPr>
        <b/>
        <sz val="16"/>
        <color rgb="FF000000"/>
        <rFont val="Arial"/>
        <family val="2"/>
      </rPr>
      <t>Equipo</t>
    </r>
    <r>
      <rPr>
        <sz val="16"/>
        <color rgb="FF000000"/>
        <rFont val="Arial"/>
        <family val="2"/>
      </rPr>
      <t xml:space="preserve"> </t>
    </r>
    <r>
      <rPr>
        <b/>
        <sz val="16"/>
        <color rgb="FF000000"/>
        <rFont val="Arial"/>
        <family val="2"/>
      </rPr>
      <t>B</t>
    </r>
    <r>
      <rPr>
        <sz val="16"/>
        <color rgb="FF000000"/>
        <rFont val="Arial"/>
        <family val="2"/>
      </rPr>
      <t>].</t>
    </r>
  </si>
  <si>
    <r>
      <t xml:space="preserve">As the </t>
    </r>
    <r>
      <rPr>
        <b/>
        <sz val="16"/>
        <color rgb="FF000000"/>
        <rFont val="Arial"/>
        <family val="2"/>
      </rPr>
      <t>[Stadium]</t>
    </r>
    <r>
      <rPr>
        <sz val="16"/>
        <color rgb="FF000000"/>
        <rFont val="Arial"/>
        <family val="2"/>
      </rPr>
      <t xml:space="preserve"> is an assigned seating stadium, you are required to sit in the seat shown on the ticket. Please ask a security steward for asisstance. </t>
    </r>
  </si>
  <si>
    <r>
      <t>Como el [</t>
    </r>
    <r>
      <rPr>
        <b/>
        <sz val="16"/>
        <color rgb="FF000000"/>
        <rFont val="Arial"/>
        <family val="2"/>
      </rPr>
      <t>Estadio</t>
    </r>
    <r>
      <rPr>
        <sz val="16"/>
        <color rgb="FF000000"/>
        <rFont val="Arial"/>
        <family val="2"/>
      </rPr>
      <t>] es un estadio con asientos asignados, debe sentarse en el asiento que se muestra en el boleto. Favor pida ayuda a un delegado de seguridad.</t>
    </r>
  </si>
  <si>
    <r>
      <t xml:space="preserve">Please be advised that flash photography is not permitted within </t>
    </r>
    <r>
      <rPr>
        <b/>
        <sz val="16"/>
        <color rgb="FF000000"/>
        <rFont val="Arial"/>
        <family val="2"/>
      </rPr>
      <t>[Venue]</t>
    </r>
    <r>
      <rPr>
        <sz val="16"/>
        <color rgb="FF000000"/>
        <rFont val="Arial"/>
        <family val="2"/>
      </rPr>
      <t xml:space="preserve">,  As a courtesy to the players, please turn off the flash on your camera.  </t>
    </r>
  </si>
  <si>
    <r>
      <t>Tenga en cuenta que no se permite la fotografía con flash dentro de [</t>
    </r>
    <r>
      <rPr>
        <b/>
        <sz val="16"/>
        <color rgb="FF000000"/>
        <rFont val="Arial"/>
        <family val="2"/>
      </rPr>
      <t>Lugar</t>
    </r>
    <r>
      <rPr>
        <sz val="16"/>
        <color rgb="FF000000"/>
        <rFont val="Arial"/>
        <family val="2"/>
      </rPr>
      <t>]. Como cortesía para los jugadores, apague el flash de su cámara.</t>
    </r>
  </si>
  <si>
    <r>
      <t xml:space="preserve">Lets keep </t>
    </r>
    <r>
      <rPr>
        <b/>
        <sz val="16"/>
        <color rgb="FF000000"/>
        <rFont val="Arial"/>
        <family val="2"/>
      </rPr>
      <t>[Stadium]</t>
    </r>
    <r>
      <rPr>
        <sz val="16"/>
        <color rgb="FF000000"/>
        <rFont val="Arial"/>
        <family val="2"/>
      </rPr>
      <t xml:space="preserve"> clean and litter free, make sure to throw your rubbish in the bins provided around the stadium</t>
    </r>
  </si>
  <si>
    <r>
      <t>Mantengamos [</t>
    </r>
    <r>
      <rPr>
        <b/>
        <sz val="16"/>
        <color rgb="FF000000"/>
        <rFont val="Calibri"/>
        <family val="2"/>
      </rPr>
      <t>ESTADIO</t>
    </r>
    <r>
      <rPr>
        <sz val="16"/>
        <color rgb="FF000000"/>
        <rFont val="Calibri"/>
        <family val="2"/>
      </rPr>
      <t>] limpio y sin basura, asegúrate de tirar la basura en los contenedores que se encuentran alrededor del estadio.</t>
    </r>
  </si>
  <si>
    <r>
      <t xml:space="preserve">LADIES AND GENTLEMEN, WITH A FINAL SCORE OF _____ TO _____, THE WINNER OF THE 2021 CONCACAF GOLD CUP IS _____ </t>
    </r>
    <r>
      <rPr>
        <b/>
        <sz val="16"/>
        <color rgb="FF000000"/>
        <rFont val="Arial"/>
        <family val="2"/>
      </rPr>
      <t>(TEAM/COUNTRY)</t>
    </r>
    <r>
      <rPr>
        <sz val="16"/>
        <color rgb="FF000000"/>
        <rFont val="Arial"/>
        <family val="2"/>
      </rPr>
      <t>.
PLEASE REMAIN IN THE STADIUM AS THE AWARDS CEREMONY WILL COMMENCE MOMENTARILY!</t>
    </r>
  </si>
  <si>
    <r>
      <t>SEÑORAS Y CABALLEROS, CON UN MARCADOR FINAL DE _____ A _____, EL GANADOR DE LA COPA ORO 2021 DE CONCACAF ES _____ (</t>
    </r>
    <r>
      <rPr>
        <b/>
        <sz val="16"/>
        <color rgb="FF000000"/>
        <rFont val="Arial"/>
        <family val="2"/>
      </rPr>
      <t>EQUIPO / PAÍS</t>
    </r>
    <r>
      <rPr>
        <sz val="16"/>
        <color rgb="FF000000"/>
        <rFont val="Arial"/>
        <family val="2"/>
      </rPr>
      <t>).
¡POR FAVOR, PERMANECE EN EL ESTADIO MIENTRAS LA CEREMONIA DE PREMIOS COMIENZA MOMENTARIAMENTE!</t>
    </r>
  </si>
  <si>
    <r>
      <t xml:space="preserve">Attention please.
Public transport schedules have been disrupted by </t>
    </r>
    <r>
      <rPr>
        <b/>
        <sz val="16"/>
        <color rgb="FF000000"/>
        <rFont val="Arial"/>
        <family val="2"/>
      </rPr>
      <t>[force majeure / reason]</t>
    </r>
    <r>
      <rPr>
        <sz val="16"/>
        <color rgb="FF000000"/>
        <rFont val="Arial"/>
        <family val="2"/>
      </rPr>
      <t>.
Please contact the station staff for more information.</t>
    </r>
  </si>
  <si>
    <r>
      <t xml:space="preserve">Atención por favor.
Los horarios del transporte público se han visto interrumpidos por </t>
    </r>
    <r>
      <rPr>
        <b/>
        <sz val="16"/>
        <color rgb="FF000000"/>
        <rFont val="Arial"/>
        <family val="2"/>
      </rPr>
      <t>[fuerza mayor / motivo]</t>
    </r>
    <r>
      <rPr>
        <sz val="16"/>
        <color rgb="FF000000"/>
        <rFont val="Arial"/>
        <family val="2"/>
      </rPr>
      <t>.
Comuníquese con el personal de la estación para obtener más información.</t>
    </r>
  </si>
  <si>
    <r>
      <t>The next match to be played here in the</t>
    </r>
    <r>
      <rPr>
        <b/>
        <sz val="16"/>
        <color rgb="FF000000"/>
        <rFont val="Arial"/>
        <family val="2"/>
      </rPr>
      <t xml:space="preserve"> [Stadium] </t>
    </r>
    <r>
      <rPr>
        <sz val="16"/>
        <color rgb="FF000000"/>
        <rFont val="Arial"/>
        <family val="2"/>
      </rPr>
      <t>will take place on</t>
    </r>
    <r>
      <rPr>
        <b/>
        <sz val="16"/>
        <color rgb="FF000000"/>
        <rFont val="Arial"/>
        <family val="2"/>
      </rPr>
      <t xml:space="preserve"> [Date] </t>
    </r>
    <r>
      <rPr>
        <sz val="16"/>
        <color rgb="FF000000"/>
        <rFont val="Arial"/>
        <family val="2"/>
      </rPr>
      <t xml:space="preserve">at </t>
    </r>
    <r>
      <rPr>
        <b/>
        <sz val="16"/>
        <color rgb="FF000000"/>
        <rFont val="Arial"/>
        <family val="2"/>
      </rPr>
      <t>[Time]</t>
    </r>
    <r>
      <rPr>
        <sz val="16"/>
        <color rgb="FF000000"/>
        <rFont val="Arial"/>
        <family val="2"/>
      </rPr>
      <t xml:space="preserve">
Thank you and have a safe journey home.</t>
    </r>
  </si>
  <si>
    <r>
      <t>El próximo partido que se jugará aquí en el [</t>
    </r>
    <r>
      <rPr>
        <b/>
        <sz val="16"/>
        <color rgb="FF000000"/>
        <rFont val="Arial"/>
        <family val="2"/>
      </rPr>
      <t>Estadio</t>
    </r>
    <r>
      <rPr>
        <sz val="16"/>
        <color rgb="FF000000"/>
        <rFont val="Arial"/>
        <family val="2"/>
      </rPr>
      <t>] tendrá lugar el [</t>
    </r>
    <r>
      <rPr>
        <b/>
        <sz val="16"/>
        <color rgb="FF000000"/>
        <rFont val="Arial"/>
        <family val="2"/>
      </rPr>
      <t>Fecha</t>
    </r>
    <r>
      <rPr>
        <sz val="16"/>
        <color rgb="FF000000"/>
        <rFont val="Arial"/>
        <family val="2"/>
      </rPr>
      <t>] a las [</t>
    </r>
    <r>
      <rPr>
        <b/>
        <sz val="16"/>
        <color rgb="FF000000"/>
        <rFont val="Arial"/>
        <family val="2"/>
      </rPr>
      <t>Hora</t>
    </r>
    <r>
      <rPr>
        <sz val="16"/>
        <color rgb="FF000000"/>
        <rFont val="Arial"/>
        <family val="2"/>
      </rPr>
      <t>]
Gracias y que tenga un buen viaje a casa.</t>
    </r>
  </si>
  <si>
    <r>
      <t>Ladies and gentleman there will be a short delay in</t>
    </r>
    <r>
      <rPr>
        <b/>
        <sz val="16"/>
        <color rgb="FF000000"/>
        <rFont val="Arial"/>
        <family val="2"/>
      </rPr>
      <t xml:space="preserve"> </t>
    </r>
    <r>
      <rPr>
        <sz val="16"/>
        <color rgb="FF000000"/>
        <rFont val="Arial"/>
        <family val="2"/>
      </rPr>
      <t>match</t>
    </r>
    <r>
      <rPr>
        <b/>
        <sz val="16"/>
        <color rgb="FF000000"/>
        <rFont val="Arial"/>
        <family val="2"/>
      </rPr>
      <t xml:space="preserve"> [Number] </t>
    </r>
    <r>
      <rPr>
        <sz val="16"/>
        <color rgb="FF000000"/>
        <rFont val="Arial"/>
        <family val="2"/>
      </rPr>
      <t>between</t>
    </r>
    <r>
      <rPr>
        <b/>
        <sz val="16"/>
        <color rgb="FF000000"/>
        <rFont val="Arial"/>
        <family val="2"/>
      </rPr>
      <t xml:space="preserve"> [Team A and Team B]</t>
    </r>
    <r>
      <rPr>
        <sz val="16"/>
        <color rgb="FF000000"/>
        <rFont val="Arial"/>
        <family val="2"/>
      </rPr>
      <t>. We apologise for the inconvenience and thank you for your patience and cooperation.</t>
    </r>
  </si>
  <si>
    <r>
      <t>Damas y caballeros, habrá una pequeña demora en el partido [</t>
    </r>
    <r>
      <rPr>
        <b/>
        <sz val="16"/>
        <color rgb="FF000000"/>
        <rFont val="Arial"/>
        <family val="2"/>
      </rPr>
      <t>Número</t>
    </r>
    <r>
      <rPr>
        <sz val="16"/>
        <color rgb="FF000000"/>
        <rFont val="Arial"/>
        <family val="2"/>
      </rPr>
      <t xml:space="preserve">] entre </t>
    </r>
    <r>
      <rPr>
        <b/>
        <sz val="16"/>
        <color rgb="FF000000"/>
        <rFont val="Arial"/>
        <family val="2"/>
      </rPr>
      <t>[Equipo A y Equipo B</t>
    </r>
    <r>
      <rPr>
        <sz val="16"/>
        <color rgb="FF000000"/>
        <rFont val="Arial"/>
        <family val="2"/>
      </rPr>
      <t>]. Lamentamos las molestias y agradecemos su paciencia y cooperación.</t>
    </r>
  </si>
  <si>
    <r>
      <t>Ladies and gentleman,</t>
    </r>
    <r>
      <rPr>
        <b/>
        <sz val="16"/>
        <color rgb="FF000000"/>
        <rFont val="Arial"/>
        <family val="2"/>
      </rPr>
      <t xml:space="preserve"> </t>
    </r>
    <r>
      <rPr>
        <sz val="16"/>
        <color rgb="FF000000"/>
        <rFont val="Arial"/>
        <family val="2"/>
      </rPr>
      <t xml:space="preserve">match </t>
    </r>
    <r>
      <rPr>
        <b/>
        <sz val="16"/>
        <color rgb="FF000000"/>
        <rFont val="Arial"/>
        <family val="2"/>
      </rPr>
      <t xml:space="preserve">[Number] </t>
    </r>
    <r>
      <rPr>
        <sz val="16"/>
        <color rgb="FF000000"/>
        <rFont val="Arial"/>
        <family val="2"/>
      </rPr>
      <t>between</t>
    </r>
    <r>
      <rPr>
        <b/>
        <sz val="16"/>
        <color rgb="FF000000"/>
        <rFont val="Arial"/>
        <family val="2"/>
      </rPr>
      <t xml:space="preserve"> [Team A and Team B] </t>
    </r>
    <r>
      <rPr>
        <sz val="16"/>
        <color rgb="FF000000"/>
        <rFont val="Arial"/>
        <family val="2"/>
      </rPr>
      <t>is now ready to resume. We apologise for the inconvenience and thank you for your patience and cooperation.</t>
    </r>
  </si>
  <si>
    <r>
      <t>Damas y caballeros, el partido [</t>
    </r>
    <r>
      <rPr>
        <b/>
        <sz val="16"/>
        <color rgb="FF000000"/>
        <rFont val="Arial"/>
        <family val="2"/>
      </rPr>
      <t>Número</t>
    </r>
    <r>
      <rPr>
        <sz val="16"/>
        <color rgb="FF000000"/>
        <rFont val="Arial"/>
        <family val="2"/>
      </rPr>
      <t>] entre [</t>
    </r>
    <r>
      <rPr>
        <b/>
        <sz val="16"/>
        <color rgb="FF000000"/>
        <rFont val="Arial"/>
        <family val="2"/>
      </rPr>
      <t>Equipo A y Equipo B</t>
    </r>
    <r>
      <rPr>
        <sz val="16"/>
        <color rgb="FF000000"/>
        <rFont val="Arial"/>
        <family val="2"/>
      </rPr>
      <t>] ya está listo para reanudarse. Lamentamos las molestias y agradecemos su paciencia y cooperación.</t>
    </r>
  </si>
  <si>
    <r>
      <t xml:space="preserve">Ladies and Gentlemen, unfortunately competition has been temporarily suspended due to </t>
    </r>
    <r>
      <rPr>
        <b/>
        <sz val="16"/>
        <color rgb="FF000000"/>
        <rFont val="Arial"/>
        <family val="2"/>
      </rPr>
      <t xml:space="preserve">[Reason] </t>
    </r>
    <r>
      <rPr>
        <sz val="16"/>
        <color rgb="FF000000"/>
        <rFont val="Arial"/>
        <family val="2"/>
      </rPr>
      <t xml:space="preserve">between </t>
    </r>
    <r>
      <rPr>
        <b/>
        <sz val="16"/>
        <color rgb="FF000000"/>
        <rFont val="Arial"/>
        <family val="2"/>
      </rPr>
      <t>[Team A and Team B]</t>
    </r>
    <r>
      <rPr>
        <sz val="16"/>
        <color rgb="FF000000"/>
        <rFont val="Arial"/>
        <family val="2"/>
      </rPr>
      <t xml:space="preserve">. We hope that match </t>
    </r>
    <r>
      <rPr>
        <b/>
        <sz val="16"/>
        <color rgb="FF000000"/>
        <rFont val="Arial"/>
        <family val="2"/>
      </rPr>
      <t xml:space="preserve">[Number] </t>
    </r>
    <r>
      <rPr>
        <sz val="16"/>
        <color rgb="FF000000"/>
        <rFont val="Arial"/>
        <family val="2"/>
      </rPr>
      <t>between</t>
    </r>
    <r>
      <rPr>
        <b/>
        <sz val="16"/>
        <color rgb="FF000000"/>
        <rFont val="Arial"/>
        <family val="2"/>
      </rPr>
      <t xml:space="preserve"> [Team A and Team B] </t>
    </r>
    <r>
      <rPr>
        <sz val="16"/>
        <color rgb="FF000000"/>
        <rFont val="Arial"/>
        <family val="2"/>
      </rPr>
      <t>will resume in</t>
    </r>
    <r>
      <rPr>
        <b/>
        <sz val="16"/>
        <color rgb="FF000000"/>
        <rFont val="Arial"/>
        <family val="2"/>
      </rPr>
      <t xml:space="preserve"> [Time Period]</t>
    </r>
    <r>
      <rPr>
        <sz val="16"/>
        <color rgb="FF000000"/>
        <rFont val="Arial"/>
        <family val="2"/>
      </rPr>
      <t>. Thank you for your cooperation.</t>
    </r>
  </si>
  <si>
    <r>
      <t>Damas y caballeros, lamentablemente la competencia ha sido suspendida temporalmente debido a [</t>
    </r>
    <r>
      <rPr>
        <b/>
        <sz val="16"/>
        <color rgb="FF000000"/>
        <rFont val="Arial"/>
        <family val="2"/>
      </rPr>
      <t>Razón</t>
    </r>
    <r>
      <rPr>
        <sz val="16"/>
        <color rgb="FF000000"/>
        <rFont val="Arial"/>
        <family val="2"/>
      </rPr>
      <t xml:space="preserve">] entre </t>
    </r>
    <r>
      <rPr>
        <b/>
        <sz val="16"/>
        <color rgb="FF000000"/>
        <rFont val="Arial"/>
        <family val="2"/>
      </rPr>
      <t>[Equipo A y Equipo B]</t>
    </r>
    <r>
      <rPr>
        <sz val="16"/>
        <color rgb="FF000000"/>
        <rFont val="Arial"/>
        <family val="2"/>
      </rPr>
      <t>. Esperamos que el partido [</t>
    </r>
    <r>
      <rPr>
        <b/>
        <sz val="16"/>
        <color rgb="FF000000"/>
        <rFont val="Arial"/>
        <family val="2"/>
      </rPr>
      <t>Número</t>
    </r>
    <r>
      <rPr>
        <sz val="16"/>
        <color rgb="FF000000"/>
        <rFont val="Arial"/>
        <family val="2"/>
      </rPr>
      <t xml:space="preserve">] entre el </t>
    </r>
    <r>
      <rPr>
        <b/>
        <sz val="16"/>
        <color rgb="FF000000"/>
        <rFont val="Arial"/>
        <family val="2"/>
      </rPr>
      <t>[Equipo A y el Equipo B]</t>
    </r>
    <r>
      <rPr>
        <sz val="16"/>
        <color rgb="FF000000"/>
        <rFont val="Arial"/>
        <family val="2"/>
      </rPr>
      <t xml:space="preserve"> se reanude en </t>
    </r>
    <r>
      <rPr>
        <b/>
        <sz val="16"/>
        <color rgb="FF000000"/>
        <rFont val="Arial"/>
        <family val="2"/>
      </rPr>
      <t>[Periodo de tiempo]</t>
    </r>
    <r>
      <rPr>
        <sz val="16"/>
        <color rgb="FF000000"/>
        <rFont val="Arial"/>
        <family val="2"/>
      </rPr>
      <t>. Gracias por su cooperación.</t>
    </r>
  </si>
  <si>
    <r>
      <t xml:space="preserve">Attention please. 
Due to </t>
    </r>
    <r>
      <rPr>
        <b/>
        <sz val="16"/>
        <color rgb="FF000000"/>
        <rFont val="Arial"/>
        <family val="2"/>
      </rPr>
      <t>[force majeure / reason]</t>
    </r>
    <r>
      <rPr>
        <sz val="16"/>
        <color rgb="FF000000"/>
        <rFont val="Arial"/>
        <family val="2"/>
      </rPr>
      <t xml:space="preserve"> kick off has been postponed until</t>
    </r>
    <r>
      <rPr>
        <b/>
        <sz val="16"/>
        <color rgb="FF000000"/>
        <rFont val="Arial"/>
        <family val="2"/>
      </rPr>
      <t xml:space="preserve"> [Date/Time]</t>
    </r>
    <r>
      <rPr>
        <sz val="16"/>
        <color rgb="FF000000"/>
        <rFont val="Arial"/>
        <family val="2"/>
      </rPr>
      <t xml:space="preserve">. 
Please follow the instructions of the stewards and await further announcements. 
We apologise for any inconvenience caused.
Thank you for your patience.
</t>
    </r>
  </si>
  <si>
    <r>
      <t xml:space="preserve">Atención por favor.
Debido a </t>
    </r>
    <r>
      <rPr>
        <b/>
        <sz val="16"/>
        <color rgb="FF000000"/>
        <rFont val="Arial"/>
        <family val="2"/>
      </rPr>
      <t>[fuerza mayor / motivo]</t>
    </r>
    <r>
      <rPr>
        <sz val="16"/>
        <color rgb="FF000000"/>
        <rFont val="Arial"/>
        <family val="2"/>
      </rPr>
      <t xml:space="preserve">, el saque inicial se ha pospuesto hasta el </t>
    </r>
    <r>
      <rPr>
        <b/>
        <sz val="16"/>
        <color rgb="FF000000"/>
        <rFont val="Arial"/>
        <family val="2"/>
      </rPr>
      <t>[Fecha / Hora]</t>
    </r>
    <r>
      <rPr>
        <sz val="16"/>
        <color rgb="FF000000"/>
        <rFont val="Arial"/>
        <family val="2"/>
      </rPr>
      <t>.
Siga las instrucciones de los comisarios y espere más anuncios.
Nos disculpamos por cualquier inconveniente causado.
Gracias por su paciencia.</t>
    </r>
  </si>
  <si>
    <r>
      <t>Attention please. The match will restart in</t>
    </r>
    <r>
      <rPr>
        <b/>
        <sz val="16"/>
        <color rgb="FF000000"/>
        <rFont val="Arial"/>
        <family val="2"/>
      </rPr>
      <t xml:space="preserve"> [Number] </t>
    </r>
    <r>
      <rPr>
        <sz val="16"/>
        <color rgb="FF000000"/>
        <rFont val="Arial"/>
        <family val="2"/>
      </rPr>
      <t xml:space="preserve">minutes. Thank you for your patience.
</t>
    </r>
    <r>
      <rPr>
        <b/>
        <sz val="16"/>
        <color rgb="FF000000"/>
        <rFont val="Arial"/>
        <family val="2"/>
      </rPr>
      <t>[If first match]</t>
    </r>
    <r>
      <rPr>
        <sz val="16"/>
        <color rgb="FF000000"/>
        <rFont val="Arial"/>
        <family val="2"/>
      </rPr>
      <t xml:space="preserve"> The next match today, between TEAM A and TEAM B, will start at XX:XX</t>
    </r>
  </si>
  <si>
    <r>
      <t>Atención por favor. El partido se reiniciará en [</t>
    </r>
    <r>
      <rPr>
        <b/>
        <sz val="16"/>
        <color rgb="FF000000"/>
        <rFont val="Arial"/>
        <family val="2"/>
      </rPr>
      <t>Número</t>
    </r>
    <r>
      <rPr>
        <sz val="16"/>
        <color rgb="FF000000"/>
        <rFont val="Arial"/>
        <family val="2"/>
      </rPr>
      <t>] minutos. Gracias por su paciencia.
[</t>
    </r>
    <r>
      <rPr>
        <b/>
        <sz val="16"/>
        <color rgb="FF000000"/>
        <rFont val="Arial"/>
        <family val="2"/>
      </rPr>
      <t>Si es el primer partido</t>
    </r>
    <r>
      <rPr>
        <sz val="16"/>
        <color rgb="FF000000"/>
        <rFont val="Arial"/>
        <family val="2"/>
      </rPr>
      <t>] El próximo partido de hoy, entre el EQUIPO A y el EQUIPO B, comenzará a las XX: XX</t>
    </r>
  </si>
  <si>
    <r>
      <rPr>
        <sz val="16"/>
        <color rgb="FF000000"/>
        <rFont val="Arial"/>
        <family val="2"/>
      </rPr>
      <t xml:space="preserve">FULL EVACUATION 
SUSPEND MATCH </t>
    </r>
    <r>
      <rPr>
        <strike/>
        <sz val="16"/>
        <color rgb="FF000000"/>
        <rFont val="Arial"/>
        <family val="2"/>
      </rPr>
      <t xml:space="preserve">
</t>
    </r>
  </si>
  <si>
    <r>
      <t xml:space="preserve">HOLD SHELTER 
(Note: This message can be customized with specific details (delay: duration) as needed.)      </t>
    </r>
    <r>
      <rPr>
        <strike/>
        <sz val="16"/>
        <color rgb="FFFF0000"/>
        <rFont val="Arial"/>
        <family val="2"/>
      </rPr>
      <t xml:space="preserve">
</t>
    </r>
  </si>
  <si>
    <r>
      <t xml:space="preserve">Due to Unforseen circumstaces the match will be  delayed. We hope that the kick-off will only be delayed for </t>
    </r>
    <r>
      <rPr>
        <b/>
        <sz val="16"/>
        <color rgb="FF000000"/>
        <rFont val="Arial"/>
        <family val="2"/>
      </rPr>
      <t>[Time]</t>
    </r>
    <r>
      <rPr>
        <sz val="16"/>
        <color rgb="FF000000"/>
        <rFont val="Arial"/>
        <family val="2"/>
      </rPr>
      <t xml:space="preserve">. In the meantime, we would ask you to remain seated unless you require food or drinks. The concession stands in the stadium concourse and all other facilities for your comfort will operate as normal. Thank you for your patience. </t>
    </r>
  </si>
  <si>
    <r>
      <t xml:space="preserve">Debido a circunstancias imprevistas, el partido se retrasará. Esperamos que el saque inicial solo se retrase </t>
    </r>
    <r>
      <rPr>
        <b/>
        <sz val="16"/>
        <color rgb="FF000000"/>
        <rFont val="Arial"/>
        <family val="2"/>
      </rPr>
      <t>[TIEMPO]</t>
    </r>
    <r>
      <rPr>
        <sz val="16"/>
        <color rgb="FF000000"/>
        <rFont val="Arial"/>
        <family val="2"/>
      </rPr>
      <t>. Mientras tanto, le pediremos que permanezca sentado a menos que necesite alimentos o bebidas. Los puestos de concesión en el vestíbulo del estadio y todas las demás instalaciones para su comodidad funcionarán con normalidad. Gracias por su paciencia.</t>
    </r>
  </si>
  <si>
    <r>
      <t xml:space="preserve">This is an important safety announcement. Due to </t>
    </r>
    <r>
      <rPr>
        <b/>
        <sz val="16"/>
        <color rgb="FF000000"/>
        <rFont val="Arial"/>
        <family val="2"/>
      </rPr>
      <t xml:space="preserve">[force majeure / reason] </t>
    </r>
    <r>
      <rPr>
        <sz val="16"/>
        <color rgb="FF000000"/>
        <rFont val="Arial"/>
        <family val="2"/>
      </rPr>
      <t>the match will be interrupted for 30 minutes. Please remain in the stadium until the match restarts. A public announcement will be given in 20 minutes time. Thank you for your patience.</t>
    </r>
  </si>
  <si>
    <r>
      <t xml:space="preserve">Este es un anuncio de seguridad importante. Por </t>
    </r>
    <r>
      <rPr>
        <b/>
        <sz val="16"/>
        <color rgb="FF000000"/>
        <rFont val="Arial"/>
        <family val="2"/>
      </rPr>
      <t>[fuerza mayor / motivo]</t>
    </r>
    <r>
      <rPr>
        <sz val="16"/>
        <color rgb="FF000000"/>
        <rFont val="Arial"/>
        <family val="2"/>
      </rPr>
      <t xml:space="preserve"> el partido se interrumpirá durante 30 minutos. Por favor, permanezca en el estadio hasta que se reinicie el partido. Se dará un anuncio público en 20 minutos. Gracias por su paciencia.</t>
    </r>
  </si>
  <si>
    <r>
      <t xml:space="preserve">This is an important safety announcement. Due to </t>
    </r>
    <r>
      <rPr>
        <b/>
        <sz val="16"/>
        <color rgb="FF000000"/>
        <rFont val="Arial"/>
        <family val="2"/>
      </rPr>
      <t>[force majeure / reason]</t>
    </r>
    <r>
      <rPr>
        <sz val="16"/>
        <color rgb="FF000000"/>
        <rFont val="Arial"/>
        <family val="2"/>
      </rPr>
      <t xml:space="preserve"> the match has been interrupted and will restart in 10 minutes time. Thank you for your patience.</t>
    </r>
  </si>
  <si>
    <r>
      <t xml:space="preserve">Este es un anuncio de seguridad importante. Debido a </t>
    </r>
    <r>
      <rPr>
        <b/>
        <sz val="16"/>
        <color rgb="FF000000"/>
        <rFont val="Arial"/>
        <family val="2"/>
      </rPr>
      <t>[fuerza mayor / motivo]</t>
    </r>
    <r>
      <rPr>
        <sz val="16"/>
        <color rgb="FF000000"/>
        <rFont val="Arial"/>
        <family val="2"/>
      </rPr>
      <t>, el partido se ha interrumpido y se reiniciará en 10 minutos. Gracias por su paciencia.</t>
    </r>
  </si>
  <si>
    <r>
      <t>Attention please. 
Due to</t>
    </r>
    <r>
      <rPr>
        <b/>
        <sz val="16"/>
        <color rgb="FF000000"/>
        <rFont val="Arial"/>
        <family val="2"/>
      </rPr>
      <t xml:space="preserve"> [force majeure / reason] </t>
    </r>
    <r>
      <rPr>
        <sz val="16"/>
        <color rgb="FF000000"/>
        <rFont val="Arial"/>
        <family val="2"/>
      </rPr>
      <t xml:space="preserve">kick off has been postponed until </t>
    </r>
    <r>
      <rPr>
        <b/>
        <sz val="16"/>
        <color rgb="FF000000"/>
        <rFont val="Arial"/>
        <family val="2"/>
      </rPr>
      <t>[Time].</t>
    </r>
    <r>
      <rPr>
        <sz val="16"/>
        <color rgb="FF000000"/>
        <rFont val="Arial"/>
        <family val="2"/>
      </rPr>
      <t xml:space="preserve"> 
Please follow the instructions of the stewards and await further announcements. 
We apologise for any inconvenience caused.
Thank you for your patience.
</t>
    </r>
  </si>
  <si>
    <r>
      <t xml:space="preserve">Atención por favor.
Debido a </t>
    </r>
    <r>
      <rPr>
        <b/>
        <sz val="16"/>
        <color rgb="FF000000"/>
        <rFont val="Arial"/>
        <family val="2"/>
      </rPr>
      <t>[fuerza mayor / motivo]</t>
    </r>
    <r>
      <rPr>
        <sz val="16"/>
        <color rgb="FF000000"/>
        <rFont val="Arial"/>
        <family val="2"/>
      </rPr>
      <t xml:space="preserve">, el saque inicial se ha pospuesto hasta las </t>
    </r>
    <r>
      <rPr>
        <b/>
        <sz val="16"/>
        <color rgb="FF000000"/>
        <rFont val="Arial"/>
        <family val="2"/>
      </rPr>
      <t>[Hora]</t>
    </r>
    <r>
      <rPr>
        <sz val="16"/>
        <color rgb="FF000000"/>
        <rFont val="Arial"/>
        <family val="2"/>
      </rPr>
      <t xml:space="preserve">.
Siga las instrucciones de los comisarios y espere más anuncios.
Nos disculpamos por cualquier inconveniente causado.
Gracias por su paciencia.
</t>
    </r>
  </si>
  <si>
    <r>
      <t>Atención por favor.
Debido a</t>
    </r>
    <r>
      <rPr>
        <b/>
        <sz val="16"/>
        <color rgb="FF000000"/>
        <rFont val="Arial"/>
        <family val="2"/>
      </rPr>
      <t xml:space="preserve"> [fuerza mayor / motivo]</t>
    </r>
    <r>
      <rPr>
        <sz val="16"/>
        <color rgb="FF000000"/>
        <rFont val="Arial"/>
        <family val="2"/>
      </rPr>
      <t xml:space="preserve"> el partido ha sido abandonado por hoy.
Siga las instrucciones de los comisarios y diríjase a la salida más cercana.
Conserve su boleto para el reingreso al estadio para el partido.
Los detalles de la nueva fecha y hora de inicio se publicarán en www.concacaf.com y la radio local y los avisos se colocarán alrededor del estadio.
De acuerdo con las Regulaciones de CONCACAF, el partido comenzará desde el mismo minuto en que fue interrumpido con el mismo resultado.
Nos disculpamos por cualquier inconveniente causado.</t>
    </r>
  </si>
  <si>
    <r>
      <t xml:space="preserve">Attention please. 
The match will restart in </t>
    </r>
    <r>
      <rPr>
        <b/>
        <sz val="16"/>
        <color rgb="FF000000"/>
        <rFont val="Arial"/>
        <family val="2"/>
      </rPr>
      <t>[Time]</t>
    </r>
    <r>
      <rPr>
        <sz val="16"/>
        <color rgb="FF000000"/>
        <rFont val="Arial"/>
        <family val="2"/>
      </rPr>
      <t xml:space="preserve">. 
Thank you for your patience.
</t>
    </r>
  </si>
  <si>
    <r>
      <t xml:space="preserve">Atención por favor.
El partido se reiniciará en </t>
    </r>
    <r>
      <rPr>
        <b/>
        <sz val="16"/>
        <color rgb="FF000000"/>
        <rFont val="Arial"/>
        <family val="2"/>
      </rPr>
      <t>[TIEMPO].</t>
    </r>
    <r>
      <rPr>
        <sz val="16"/>
        <color rgb="FF000000"/>
        <rFont val="Arial"/>
        <family val="2"/>
      </rPr>
      <t xml:space="preserve">
Gracias por su paciencia.</t>
    </r>
  </si>
  <si>
    <r>
      <t xml:space="preserve">This is an important safety announcement. Due to floodlight outage, the match has been interrupted and will be restarted in </t>
    </r>
    <r>
      <rPr>
        <b/>
        <sz val="16"/>
        <color rgb="FF000000"/>
        <rFont val="Arial"/>
        <family val="2"/>
      </rPr>
      <t>[Time]</t>
    </r>
    <r>
      <rPr>
        <sz val="16"/>
        <color rgb="FF000000"/>
        <rFont val="Arial"/>
        <family val="2"/>
      </rPr>
      <t>. Please stay in your seats and await further announcements. Thank you for your patience.</t>
    </r>
  </si>
  <si>
    <r>
      <t xml:space="preserve">Este es un anuncio de seguridad importante. Debido a un corte de luz, el partido se ha interrumpido y se reiniciará en </t>
    </r>
    <r>
      <rPr>
        <b/>
        <sz val="16"/>
        <color rgb="FF000000"/>
        <rFont val="Arial"/>
        <family val="2"/>
      </rPr>
      <t>[TIEMPO]</t>
    </r>
    <r>
      <rPr>
        <sz val="16"/>
        <color rgb="FF000000"/>
        <rFont val="Arial"/>
        <family val="2"/>
      </rPr>
      <t>. Permanezcan en sus asientos y esperen por más anuncios. Gracias por su paciencia.</t>
    </r>
  </si>
  <si>
    <r>
      <t>Ladies and gentlemen, please be patient while we are working to get everyone safely into the stadium as quickly as possible.
Please have your tickets ready for inspection.
Please prepare your belongings for search and co-operate with the stewards who are here for your safety.
Thank you for your patience.
The score is</t>
    </r>
    <r>
      <rPr>
        <b/>
        <sz val="16"/>
        <color rgb="FF000000"/>
        <rFont val="Arial"/>
        <family val="2"/>
      </rPr>
      <t xml:space="preserve"> [Number] [Team A] - [Number] [Team B].
</t>
    </r>
    <r>
      <rPr>
        <sz val="16"/>
        <color rgb="FF000000"/>
        <rFont val="Arial"/>
        <family val="2"/>
      </rPr>
      <t xml:space="preserve">Goal/s scored by </t>
    </r>
    <r>
      <rPr>
        <b/>
        <sz val="16"/>
        <color rgb="FF000000"/>
        <rFont val="Arial"/>
        <family val="2"/>
      </rPr>
      <t>[Name/s]</t>
    </r>
    <r>
      <rPr>
        <sz val="16"/>
        <color rgb="FF000000"/>
        <rFont val="Arial"/>
        <family val="2"/>
      </rPr>
      <t xml:space="preserve">
</t>
    </r>
  </si>
  <si>
    <r>
      <t xml:space="preserve">Señoras y señores, tengan paciencia mientras trabajamos para que todos estén seguros en el estadio lo más rápido posible.
Tenga sus boletos listos para su inspección.
Prepare sus pertenencias para revisión y coopere con los oficiales que están aquí para su seguridad.
Gracias por su paciencia.
El resultado del paritodo es </t>
    </r>
    <r>
      <rPr>
        <b/>
        <sz val="16"/>
        <color rgb="FF000000"/>
        <rFont val="Arial"/>
        <family val="2"/>
      </rPr>
      <t>[Número] [Equipo A] - [Número] [Equipo B]</t>
    </r>
    <r>
      <rPr>
        <sz val="16"/>
        <color rgb="FF000000"/>
        <rFont val="Arial"/>
        <family val="2"/>
      </rPr>
      <t>.
Goles anotados por</t>
    </r>
    <r>
      <rPr>
        <b/>
        <sz val="16"/>
        <color rgb="FF000000"/>
        <rFont val="Arial"/>
        <family val="2"/>
      </rPr>
      <t xml:space="preserve"> [Nombre / s]</t>
    </r>
  </si>
  <si>
    <r>
      <t xml:space="preserve">All spectators in the </t>
    </r>
    <r>
      <rPr>
        <b/>
        <sz val="16"/>
        <color rgb="FF000000"/>
        <rFont val="Arial"/>
        <family val="2"/>
      </rPr>
      <t>[Area / Sector]</t>
    </r>
    <r>
      <rPr>
        <sz val="16"/>
        <color rgb="FF000000"/>
        <rFont val="Arial"/>
        <family val="2"/>
      </rPr>
      <t>: you are being recorded on CCTV and will be dealt with by the police.</t>
    </r>
  </si>
  <si>
    <r>
      <t xml:space="preserve">Todos los espectadores en el </t>
    </r>
    <r>
      <rPr>
        <b/>
        <sz val="16"/>
        <color rgb="FF000000"/>
        <rFont val="Arial"/>
        <family val="2"/>
      </rPr>
      <t>[Área / Sector]</t>
    </r>
    <r>
      <rPr>
        <sz val="16"/>
        <color rgb="FF000000"/>
        <rFont val="Arial"/>
        <family val="2"/>
      </rPr>
      <t>: están siendo grabados en CCTV y serán atendidos por la policía.</t>
    </r>
  </si>
  <si>
    <r>
      <t xml:space="preserve">Attention spectators in the </t>
    </r>
    <r>
      <rPr>
        <b/>
        <sz val="16"/>
        <color rgb="FF000000"/>
        <rFont val="Arial"/>
        <family val="2"/>
      </rPr>
      <t>[Area / Sector]</t>
    </r>
    <r>
      <rPr>
        <sz val="16"/>
        <color rgb="FF000000"/>
        <rFont val="Arial"/>
        <family val="2"/>
      </rPr>
      <t>.
This is an important safety announcement.
It is necessary to evacuate the</t>
    </r>
    <r>
      <rPr>
        <b/>
        <sz val="16"/>
        <color rgb="FF000000"/>
        <rFont val="Arial"/>
        <family val="2"/>
      </rPr>
      <t xml:space="preserve"> [Area / Sector]</t>
    </r>
    <r>
      <rPr>
        <sz val="16"/>
        <color rgb="FF000000"/>
        <rFont val="Arial"/>
        <family val="2"/>
      </rPr>
      <t xml:space="preserve">.
Please follow the instructions of the stewards and security staff.
</t>
    </r>
  </si>
  <si>
    <r>
      <t>Atención espectadores en el</t>
    </r>
    <r>
      <rPr>
        <b/>
        <sz val="16"/>
        <color rgb="FF000000"/>
        <rFont val="Arial"/>
        <family val="2"/>
      </rPr>
      <t xml:space="preserve"> [Área / Sector].</t>
    </r>
    <r>
      <rPr>
        <sz val="16"/>
        <color rgb="FF000000"/>
        <rFont val="Arial"/>
        <family val="2"/>
      </rPr>
      <t xml:space="preserve">
Este es un anuncio de seguridad importante.
Es necesario evacuar el </t>
    </r>
    <r>
      <rPr>
        <b/>
        <sz val="16"/>
        <color rgb="FF000000"/>
        <rFont val="Arial"/>
        <family val="2"/>
      </rPr>
      <t>[Área / Sector].</t>
    </r>
    <r>
      <rPr>
        <sz val="16"/>
        <color rgb="FF000000"/>
        <rFont val="Arial"/>
        <family val="2"/>
      </rPr>
      <t xml:space="preserve">
Siga las instrucciones de los comisarios y el personal de seguridad.</t>
    </r>
  </si>
  <si>
    <r>
      <t>This is an important safety announcement.</t>
    </r>
    <r>
      <rPr>
        <strike/>
        <sz val="16"/>
        <color rgb="FF000000"/>
        <rFont val="Arial"/>
        <family val="2"/>
      </rPr>
      <t xml:space="preserve">
</t>
    </r>
    <r>
      <rPr>
        <sz val="16"/>
        <color rgb="FF000000"/>
        <rFont val="Arial"/>
        <family val="2"/>
      </rPr>
      <t>Due to unforeseen circumstances it is not possible to continue the match and the stadium must be evacuated. Please leave the stadium immediately, following the instructions of the stewards and security staff.</t>
    </r>
  </si>
  <si>
    <r>
      <t>This is an important safety announcement.
Due to congestion outside the stadium, spectators in the</t>
    </r>
    <r>
      <rPr>
        <b/>
        <sz val="16"/>
        <color rgb="FF000000"/>
        <rFont val="Arial"/>
        <family val="2"/>
      </rPr>
      <t xml:space="preserve"> [Area / sector] </t>
    </r>
    <r>
      <rPr>
        <sz val="16"/>
        <color rgb="FF000000"/>
        <rFont val="Arial"/>
        <family val="2"/>
      </rPr>
      <t>will need to remain in the stadium for approximately</t>
    </r>
    <r>
      <rPr>
        <b/>
        <sz val="16"/>
        <color rgb="FF000000"/>
        <rFont val="Arial"/>
        <family val="2"/>
      </rPr>
      <t xml:space="preserve"> [Time]</t>
    </r>
    <r>
      <rPr>
        <sz val="16"/>
        <color rgb="FF000000"/>
        <rFont val="Arial"/>
        <family val="2"/>
      </rPr>
      <t>.
The toilets and refreshment kiosks will remain open during this time.
Please listen for further announcements.
Thank you for your patience and co-operation.</t>
    </r>
  </si>
  <si>
    <r>
      <t>Este es un anuncio de seguridad importante.
Debido a la congestión fuera del estadio, los espectadores en el</t>
    </r>
    <r>
      <rPr>
        <b/>
        <sz val="16"/>
        <color rgb="FF000000"/>
        <rFont val="Arial"/>
        <family val="2"/>
      </rPr>
      <t xml:space="preserve"> [Área / sector</t>
    </r>
    <r>
      <rPr>
        <sz val="16"/>
        <color rgb="FF000000"/>
        <rFont val="Arial"/>
        <family val="2"/>
      </rPr>
      <t>] deberán permanecer en el estadio durante aproximadamente</t>
    </r>
    <r>
      <rPr>
        <b/>
        <sz val="16"/>
        <color rgb="FF000000"/>
        <rFont val="Arial"/>
        <family val="2"/>
      </rPr>
      <t xml:space="preserve"> [Tiempo].</t>
    </r>
    <r>
      <rPr>
        <sz val="16"/>
        <color rgb="FF000000"/>
        <rFont val="Arial"/>
        <family val="2"/>
      </rPr>
      <t xml:space="preserve">
Los baños y quioscos de refrescos permanecerán abiertos durante este tiempo.
Escuche más anuncios.
Gracias por su paciencia y cooperación.</t>
    </r>
  </si>
  <si>
    <r>
      <t>Atención por favor.
Los horarios del transporte público se han visto interrumpidos por [</t>
    </r>
    <r>
      <rPr>
        <b/>
        <sz val="16"/>
        <color rgb="FF000000"/>
        <rFont val="Arial"/>
        <family val="2"/>
      </rPr>
      <t>fuerza mayor / motivo].</t>
    </r>
    <r>
      <rPr>
        <sz val="16"/>
        <color rgb="FF000000"/>
        <rFont val="Arial"/>
        <family val="2"/>
      </rPr>
      <t xml:space="preserve">
Comuníquese con el personal de la estación para obtener más información.</t>
    </r>
  </si>
  <si>
    <r>
      <t xml:space="preserve">Señoras y señores, me permite su atención, por favor.
</t>
    </r>
    <r>
      <rPr>
        <b/>
        <sz val="16"/>
        <color rgb="FF000000"/>
        <rFont val="Arial"/>
        <family val="2"/>
      </rPr>
      <t>[Padre / tutor / adulto]</t>
    </r>
    <r>
      <rPr>
        <sz val="16"/>
        <color rgb="FF000000"/>
        <rFont val="Arial"/>
        <family val="2"/>
      </rPr>
      <t xml:space="preserve"> por favor preséntese en  </t>
    </r>
    <r>
      <rPr>
        <b/>
        <sz val="16"/>
        <color rgb="FF000000"/>
        <rFont val="Arial"/>
        <family val="2"/>
      </rPr>
      <t>[área designada ]</t>
    </r>
    <r>
      <rPr>
        <sz val="16"/>
        <color rgb="FF000000"/>
        <rFont val="Arial"/>
        <family val="2"/>
      </rPr>
      <t xml:space="preserve"> inmediatamente.
Repito una vez más, </t>
    </r>
    <r>
      <rPr>
        <b/>
        <sz val="16"/>
        <color rgb="FF000000"/>
        <rFont val="Arial"/>
        <family val="2"/>
      </rPr>
      <t>[Padre / tutor / adulto]</t>
    </r>
    <r>
      <rPr>
        <sz val="16"/>
        <color rgb="FF000000"/>
        <rFont val="Arial"/>
        <family val="2"/>
      </rPr>
      <t xml:space="preserve"> por favor preséntese en el [área designada ’” inmediatamente.</t>
    </r>
  </si>
  <si>
    <r>
      <t xml:space="preserve">Señoras y señores, me permite su atención, por favor. Pedimos su ayuda para localizar a un niño desaparecido. El niño tiene </t>
    </r>
    <r>
      <rPr>
        <b/>
        <sz val="16"/>
        <color rgb="FF000000"/>
        <rFont val="Arial"/>
        <family val="2"/>
      </rPr>
      <t>[edad]</t>
    </r>
    <r>
      <rPr>
        <sz val="16"/>
        <color rgb="FF000000"/>
        <rFont val="Arial"/>
        <family val="2"/>
      </rPr>
      <t xml:space="preserve"> años, </t>
    </r>
    <r>
      <rPr>
        <b/>
        <sz val="16"/>
        <color rgb="FF000000"/>
        <rFont val="Arial"/>
        <family val="2"/>
      </rPr>
      <t>[niño / niña]</t>
    </r>
    <r>
      <rPr>
        <sz val="16"/>
        <color rgb="FF000000"/>
        <rFont val="Arial"/>
        <family val="2"/>
      </rPr>
      <t xml:space="preserve"> usa </t>
    </r>
    <r>
      <rPr>
        <b/>
        <sz val="16"/>
        <color rgb="FF000000"/>
        <rFont val="Arial"/>
        <family val="2"/>
      </rPr>
      <t>[descripción de la ropa]</t>
    </r>
    <r>
      <rPr>
        <sz val="16"/>
        <color rgb="FF000000"/>
        <rFont val="Arial"/>
        <family val="2"/>
      </rPr>
      <t xml:space="preserve">, pesa </t>
    </r>
    <r>
      <rPr>
        <b/>
        <sz val="16"/>
        <color rgb="FF000000"/>
        <rFont val="Arial"/>
        <family val="2"/>
      </rPr>
      <t>[altura y peso]</t>
    </r>
    <r>
      <rPr>
        <sz val="16"/>
        <color rgb="FF000000"/>
        <rFont val="Arial"/>
        <family val="2"/>
      </rPr>
      <t xml:space="preserve">. El nombre del niño es </t>
    </r>
    <r>
      <rPr>
        <b/>
        <sz val="16"/>
        <color rgb="FF000000"/>
        <rFont val="Arial"/>
        <family val="2"/>
      </rPr>
      <t>[nombre</t>
    </r>
    <r>
      <rPr>
        <sz val="16"/>
        <color rgb="FF000000"/>
        <rFont val="Arial"/>
        <family val="2"/>
      </rPr>
      <t>]. Si ve</t>
    </r>
    <r>
      <rPr>
        <b/>
        <sz val="16"/>
        <color rgb="FF000000"/>
        <rFont val="Arial"/>
        <family val="2"/>
      </rPr>
      <t xml:space="preserve"> [nombre del niño]</t>
    </r>
    <r>
      <rPr>
        <sz val="16"/>
        <color rgb="FF000000"/>
        <rFont val="Arial"/>
        <family val="2"/>
      </rPr>
      <t xml:space="preserve">, comuníquese con el miembro identificable del personal más cercano o diríjase inmediatamente a </t>
    </r>
    <r>
      <rPr>
        <b/>
        <sz val="16"/>
        <color rgb="FF000000"/>
        <rFont val="Arial"/>
        <family val="2"/>
      </rPr>
      <t>[ubicación designada]</t>
    </r>
    <r>
      <rPr>
        <sz val="16"/>
        <color rgb="FF000000"/>
        <rFont val="Arial"/>
        <family val="2"/>
      </rPr>
      <t>. Tu ayuda es muy apreciada.</t>
    </r>
  </si>
  <si>
    <r>
      <t xml:space="preserve">3 STEP PROCEDURE - STEP 3 
(abandon the match)
</t>
    </r>
    <r>
      <rPr>
        <i/>
        <sz val="16"/>
        <color rgb="FF000000"/>
        <rFont val="Arial"/>
        <family val="2"/>
      </rPr>
      <t>A) If the abandoned match would be followed by another match in the same stadium</t>
    </r>
  </si>
  <si>
    <t>Hay puntos de información en todos los lugares para ayudar y apoyar a nuestros huéspedes y visitantes. Los voluntarios están aquí para ayudarlo con cualquier pregunta que pueda tener sobre la competencia de hoy y la _____</t>
  </si>
  <si>
    <r>
      <t xml:space="preserve">Goal scored by </t>
    </r>
    <r>
      <rPr>
        <b/>
        <i/>
        <sz val="16"/>
        <color rgb="FF000000"/>
        <rFont val="Arial"/>
        <family val="2"/>
      </rPr>
      <t>Player number</t>
    </r>
    <r>
      <rPr>
        <b/>
        <sz val="16"/>
        <color rgb="FF000000"/>
        <rFont val="Arial"/>
        <family val="2"/>
      </rPr>
      <t>….</t>
    </r>
    <r>
      <rPr>
        <b/>
        <i/>
        <sz val="16"/>
        <color rgb="FF000000"/>
        <rFont val="Arial"/>
        <family val="2"/>
      </rPr>
      <t>Player name for {Team}</t>
    </r>
    <r>
      <rPr>
        <b/>
        <sz val="16"/>
        <color rgb="FF000000"/>
        <rFont val="Arial"/>
        <family val="2"/>
      </rPr>
      <t xml:space="preserve">
</t>
    </r>
  </si>
  <si>
    <r>
      <rPr>
        <b/>
        <i/>
        <sz val="16"/>
        <color rgb="FF000000"/>
        <rFont val="Arial"/>
        <family val="2"/>
      </rPr>
      <t xml:space="preserve">(if it is an own goal the player shall not be mentioned:)
</t>
    </r>
    <r>
      <rPr>
        <b/>
        <sz val="16"/>
        <color rgb="FF000000"/>
        <rFont val="Arial"/>
        <family val="2"/>
      </rPr>
      <t xml:space="preserve">
Own goal scored in favour of [Team]
</t>
    </r>
  </si>
  <si>
    <r>
      <t xml:space="preserve">ATTENDANCE 2
</t>
    </r>
    <r>
      <rPr>
        <b/>
        <i/>
        <sz val="16"/>
        <color rgb="FF000000"/>
        <rFont val="Arial"/>
        <family val="2"/>
      </rPr>
      <t>(If the attendance figure at half time confirms the full turnout)</t>
    </r>
  </si>
  <si>
    <r>
      <t xml:space="preserve">PENALTY KICKS 2
for M4 and M7: no extra time 
</t>
    </r>
    <r>
      <rPr>
        <b/>
        <i/>
        <sz val="16"/>
        <color rgb="FF000000"/>
        <rFont val="Arial"/>
        <family val="2"/>
      </rPr>
      <t>as these 
matches are played directly before the semi-finals and final</t>
    </r>
  </si>
  <si>
    <r>
      <t xml:space="preserve">3 STEP PROCEDURE - STEP 3 
(abandon the match)
</t>
    </r>
    <r>
      <rPr>
        <b/>
        <i/>
        <sz val="16"/>
        <color rgb="FF000000"/>
        <rFont val="Arial"/>
        <family val="2"/>
      </rPr>
      <t>A) If the abandoned match would be followed by another match in the same stadium</t>
    </r>
  </si>
  <si>
    <t>POR FAVOR PONGASE DE PIE PARA EL HIMNO NACIONAL DE  🇨🇦 Canada</t>
  </si>
  <si>
    <t>POR FAVOR permanezca de pie  Para EL HIMNO NACIONAL DE  🇺🇸 Estados Unidos</t>
  </si>
  <si>
    <t>The four big North American nations are back in action and soccer fans from all over the US are playing along on Underdog.
Just pick higher or lower on your favorite player’s stats like goals, assists, and clean sheets to win up to 1000x your money. Millions of fans from all over the US have won over $1bn on Underdog. Sign up for Underdog today using promo code: NATIONSLEAGUE and you’ll get a Free Pick  PLUS up to $1000 in bonus credit when you deposit. 
&lt;disclaimer, read fast&gt;: 
 Must be 18+ and present in California. Terms apply. See underdogfantasy.com/rules/promotions for details.
Concerned with your play? Call 1-800-GAMBLER or visit www.ncpgambling.org.</t>
  </si>
  <si>
    <t xml:space="preserve">California Love Hype Reel
</t>
  </si>
  <si>
    <t xml:space="preserve">Presenters: Fans, turn your phone lights!!
</t>
  </si>
  <si>
    <t>Thunderstruck or CONCACAF Anthem</t>
  </si>
  <si>
    <t>FINAL VERSION _1:44PM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</si>
</sst>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F800]dddd\,\ mmmm\ dd\,\ yyyy"/>
    <numFmt numFmtId="165" formatCode="_(* #,##0_);_(* \(#,##0\);_(* &quot;-&quot;??_);_(@_)"/>
    <numFmt numFmtId="166" formatCode="\-\ h:mm:ss"/>
    <numFmt numFmtId="167" formatCode="[$-F400]h:mm:ss\ AM/PM"/>
    <numFmt numFmtId="168" formatCode="\+\ h:mm:ss"/>
    <numFmt numFmtId="169" formatCode="[$-409]h:mm:ss\ AM/PM"/>
    <numFmt numFmtId="170" formatCode="[$-409]h:mm\ AM/PM"/>
  </numFmts>
  <fonts count="68" x14ac:knownFonts="1">
    <font>
      <sz val="12"/>
      <color rgb="FF000000"/>
      <name val="Calibri"/>
      <scheme val="minor"/>
    </font>
    <font>
      <b/>
      <sz val="17"/>
      <color theme="0"/>
      <name val="Calibri"/>
      <family val="2"/>
    </font>
    <font>
      <b/>
      <sz val="18"/>
      <color theme="0"/>
      <name val="Calibri"/>
      <family val="2"/>
    </font>
    <font>
      <sz val="12"/>
      <name val="Calibri"/>
      <family val="2"/>
    </font>
    <font>
      <b/>
      <sz val="16"/>
      <color rgb="FF000000"/>
      <name val="Calibri"/>
      <family val="2"/>
    </font>
    <font>
      <b/>
      <sz val="14"/>
      <color theme="0"/>
      <name val="Calibri"/>
      <family val="2"/>
    </font>
    <font>
      <b/>
      <sz val="16"/>
      <color theme="0"/>
      <name val="Calibri"/>
      <family val="2"/>
    </font>
    <font>
      <b/>
      <sz val="12"/>
      <color rgb="FF000000"/>
      <name val="Calibri"/>
      <family val="2"/>
    </font>
    <font>
      <b/>
      <sz val="12"/>
      <color theme="0"/>
      <name val="Calibri"/>
      <family val="2"/>
    </font>
    <font>
      <b/>
      <sz val="12"/>
      <color theme="1"/>
      <name val="Calibri"/>
      <family val="2"/>
    </font>
    <font>
      <b/>
      <sz val="16"/>
      <color theme="1"/>
      <name val="Calibri"/>
      <family val="2"/>
    </font>
    <font>
      <b/>
      <sz val="12"/>
      <color rgb="FFFF0000"/>
      <name val="Calibri"/>
      <family val="2"/>
    </font>
    <font>
      <b/>
      <sz val="12"/>
      <color rgb="FFFFFFFF"/>
      <name val="Calibri"/>
      <family val="2"/>
    </font>
    <font>
      <b/>
      <sz val="14"/>
      <color theme="1"/>
      <name val="Calibri"/>
      <family val="2"/>
    </font>
    <font>
      <b/>
      <sz val="14"/>
      <color rgb="FF000000"/>
      <name val="Calibri"/>
      <family val="2"/>
    </font>
    <font>
      <b/>
      <sz val="16"/>
      <color rgb="FF000000"/>
      <name val="Arial"/>
      <family val="2"/>
    </font>
    <font>
      <b/>
      <sz val="16"/>
      <color rgb="FF222222"/>
      <name val="Arial"/>
      <family val="2"/>
    </font>
    <font>
      <b/>
      <sz val="16"/>
      <color rgb="FF1D1D1D"/>
      <name val="Arial"/>
      <family val="2"/>
    </font>
    <font>
      <b/>
      <sz val="14"/>
      <color rgb="FFFF0000"/>
      <name val="Calibri"/>
      <family val="2"/>
    </font>
    <font>
      <b/>
      <sz val="14"/>
      <color theme="1"/>
      <name val="Roboto"/>
    </font>
    <font>
      <b/>
      <sz val="16"/>
      <color theme="1"/>
      <name val="Arial"/>
      <family val="2"/>
    </font>
    <font>
      <b/>
      <sz val="14"/>
      <color rgb="FF1E4E79"/>
      <name val="Calibri"/>
      <family val="2"/>
    </font>
    <font>
      <b/>
      <sz val="16"/>
      <color rgb="FFFF0000"/>
      <name val="Calibri"/>
      <family val="2"/>
    </font>
    <font>
      <b/>
      <sz val="14"/>
      <color rgb="FFFFFFFF"/>
      <name val="Calibri"/>
      <family val="2"/>
    </font>
    <font>
      <b/>
      <sz val="16"/>
      <color rgb="FFFFFFFF"/>
      <name val="Calibri"/>
      <family val="2"/>
    </font>
    <font>
      <b/>
      <sz val="14"/>
      <color rgb="FF000000"/>
      <name val="Arial"/>
      <family val="2"/>
    </font>
    <font>
      <b/>
      <i/>
      <sz val="16"/>
      <color rgb="FF000000"/>
      <name val="Arial"/>
      <family val="2"/>
    </font>
    <font>
      <sz val="12"/>
      <color theme="1"/>
      <name val="Calibri"/>
      <family val="2"/>
    </font>
    <font>
      <b/>
      <sz val="20"/>
      <color theme="1"/>
      <name val="Calibri"/>
      <family val="2"/>
    </font>
    <font>
      <sz val="12"/>
      <color rgb="FF000000"/>
      <name val="Calibri"/>
      <family val="2"/>
    </font>
    <font>
      <b/>
      <sz val="17"/>
      <color rgb="FF000000"/>
      <name val="Calibri"/>
      <family val="2"/>
    </font>
    <font>
      <b/>
      <sz val="18"/>
      <color rgb="FF000000"/>
      <name val="Calibri"/>
      <family val="2"/>
    </font>
    <font>
      <sz val="16"/>
      <color rgb="FF000000"/>
      <name val="Calibri"/>
      <family val="2"/>
    </font>
    <font>
      <sz val="11"/>
      <color rgb="FF000000"/>
      <name val="Arial"/>
      <family val="2"/>
    </font>
    <font>
      <sz val="12"/>
      <color rgb="FF000000"/>
      <name val="Aptos Narrow"/>
    </font>
    <font>
      <sz val="12"/>
      <color rgb="FFFF0000"/>
      <name val="Aptos Narrow"/>
    </font>
    <font>
      <b/>
      <sz val="12"/>
      <color rgb="FF000000"/>
      <name val="Aptos Narrow"/>
    </font>
    <font>
      <b/>
      <sz val="16"/>
      <color rgb="FF000000"/>
      <name val="Aptos Narrow"/>
    </font>
    <font>
      <u/>
      <sz val="12"/>
      <color theme="10"/>
      <name val="Calibri"/>
      <family val="2"/>
    </font>
    <font>
      <sz val="12"/>
      <color rgb="FFFF3AFD"/>
      <name val="Calibri"/>
      <family val="2"/>
    </font>
    <font>
      <sz val="11"/>
      <color rgb="FFFF3AFD"/>
      <name val="Calibri"/>
      <family val="2"/>
    </font>
    <font>
      <sz val="11"/>
      <color rgb="FF000000"/>
      <name val="Calibri"/>
      <family val="2"/>
    </font>
    <font>
      <b/>
      <sz val="16"/>
      <color rgb="FF1E4E79"/>
      <name val="Roboto Condensed"/>
    </font>
    <font>
      <b/>
      <sz val="11"/>
      <color rgb="FF000000"/>
      <name val="Calibri"/>
      <family val="2"/>
    </font>
    <font>
      <sz val="12"/>
      <color theme="0"/>
      <name val="Calibri"/>
      <family val="2"/>
    </font>
    <font>
      <b/>
      <sz val="11"/>
      <color theme="1"/>
      <name val="Calibri"/>
      <family val="2"/>
    </font>
    <font>
      <b/>
      <sz val="26"/>
      <color theme="0"/>
      <name val="Calibri"/>
      <family val="2"/>
    </font>
    <font>
      <b/>
      <sz val="20"/>
      <color theme="0"/>
      <name val="Calibri"/>
      <family val="2"/>
    </font>
    <font>
      <b/>
      <sz val="16"/>
      <color rgb="FF783700"/>
      <name val="Calibri"/>
      <family val="2"/>
    </font>
    <font>
      <b/>
      <sz val="16"/>
      <color rgb="FF002060"/>
      <name val="Calibri"/>
      <family val="2"/>
    </font>
    <font>
      <b/>
      <sz val="18"/>
      <color rgb="FF002060"/>
      <name val="Calibri"/>
      <family val="2"/>
    </font>
    <font>
      <b/>
      <sz val="18"/>
      <color rgb="FF783700"/>
      <name val="Calibri"/>
      <family val="2"/>
    </font>
    <font>
      <sz val="20"/>
      <color theme="1"/>
      <name val="Calibri"/>
      <family val="2"/>
    </font>
    <font>
      <b/>
      <sz val="12"/>
      <color rgb="FF783700"/>
      <name val="Calibri"/>
      <family val="2"/>
    </font>
    <font>
      <sz val="16"/>
      <name val="Calibri"/>
      <family val="2"/>
    </font>
    <font>
      <sz val="16"/>
      <color theme="1"/>
      <name val="Calibri"/>
      <family val="2"/>
    </font>
    <font>
      <sz val="12"/>
      <color rgb="FFFF0000"/>
      <name val="Calibri"/>
      <family val="2"/>
    </font>
    <font>
      <sz val="16"/>
      <color rgb="FF000000"/>
      <name val="Calibri"/>
      <family val="2"/>
      <scheme val="minor"/>
    </font>
    <font>
      <sz val="16"/>
      <color rgb="FF000000"/>
      <name val="Arial"/>
      <family val="2"/>
    </font>
    <font>
      <sz val="16"/>
      <color rgb="FF000000"/>
      <name val="Roboto"/>
    </font>
    <font>
      <i/>
      <sz val="16"/>
      <color rgb="FF000000"/>
      <name val="Arial"/>
      <family val="2"/>
    </font>
    <font>
      <sz val="16"/>
      <color rgb="FF444444"/>
      <name val="Arial"/>
      <family val="2"/>
    </font>
    <font>
      <b/>
      <sz val="16"/>
      <color rgb="FF444444"/>
      <name val="Arial"/>
      <family val="2"/>
    </font>
    <font>
      <strike/>
      <sz val="16"/>
      <color rgb="FF000000"/>
      <name val="Arial"/>
      <family val="2"/>
    </font>
    <font>
      <strike/>
      <sz val="16"/>
      <color rgb="FFFF0000"/>
      <name val="Arial"/>
      <family val="2"/>
    </font>
    <font>
      <b/>
      <sz val="16"/>
      <color theme="0"/>
      <name val="Arial"/>
      <family val="2"/>
    </font>
    <font>
      <b/>
      <sz val="17"/>
      <color theme="1"/>
      <name val="Calibri"/>
      <family val="2"/>
    </font>
    <font>
      <b/>
      <sz val="18"/>
      <color theme="1"/>
      <name val="Calibri"/>
      <family val="2"/>
    </font>
  </fonts>
  <fills count="41">
    <fill>
      <patternFill patternType="none"/>
    </fill>
    <fill>
      <patternFill patternType="gray125"/>
    </fill>
    <fill>
      <patternFill patternType="solid">
        <fgColor rgb="FF7030A0"/>
        <bgColor rgb="FF7030A0"/>
      </patternFill>
    </fill>
    <fill>
      <patternFill patternType="solid">
        <fgColor theme="0"/>
        <bgColor theme="0"/>
      </patternFill>
    </fill>
    <fill>
      <patternFill patternType="solid">
        <fgColor rgb="FF002060"/>
        <bgColor rgb="FF002060"/>
      </patternFill>
    </fill>
    <fill>
      <patternFill patternType="solid">
        <fgColor rgb="FF385623"/>
        <bgColor rgb="FF385623"/>
      </patternFill>
    </fill>
    <fill>
      <patternFill patternType="solid">
        <fgColor rgb="FFF7CAAC"/>
        <bgColor rgb="FFF7CAAC"/>
      </patternFill>
    </fill>
    <fill>
      <patternFill patternType="solid">
        <fgColor rgb="FFE2EFD9"/>
        <bgColor rgb="FFE2EFD9"/>
      </patternFill>
    </fill>
    <fill>
      <patternFill patternType="solid">
        <fgColor theme="1"/>
        <bgColor theme="1"/>
      </patternFill>
    </fill>
    <fill>
      <patternFill patternType="solid">
        <fgColor rgb="FF00B0F0"/>
        <bgColor rgb="FF00B0F0"/>
      </patternFill>
    </fill>
    <fill>
      <patternFill patternType="solid">
        <fgColor rgb="FFDADADA"/>
        <bgColor rgb="FFDADADA"/>
      </patternFill>
    </fill>
    <fill>
      <patternFill patternType="solid">
        <fgColor rgb="FFFEF2CB"/>
        <bgColor rgb="FFFEF2CB"/>
      </patternFill>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FFB3FF"/>
        <bgColor rgb="FFFFB3FF"/>
      </patternFill>
    </fill>
    <fill>
      <patternFill patternType="solid">
        <fgColor rgb="FF00B050"/>
        <bgColor rgb="FF00B050"/>
      </patternFill>
    </fill>
    <fill>
      <patternFill patternType="solid">
        <fgColor rgb="FFBFBFBF"/>
        <bgColor rgb="FFBFBFBF"/>
      </patternFill>
    </fill>
    <fill>
      <patternFill patternType="solid">
        <fgColor rgb="FF92D050"/>
        <bgColor rgb="FF92D050"/>
      </patternFill>
    </fill>
    <fill>
      <patternFill patternType="solid">
        <fgColor rgb="FFB4C6E7"/>
        <bgColor rgb="FFB4C6E7"/>
      </patternFill>
    </fill>
    <fill>
      <patternFill patternType="solid">
        <fgColor rgb="FFDBDBDB"/>
        <bgColor rgb="FFDBDBDB"/>
      </patternFill>
    </fill>
    <fill>
      <patternFill patternType="solid">
        <fgColor rgb="FF595959"/>
        <bgColor rgb="FF595959"/>
      </patternFill>
    </fill>
    <fill>
      <patternFill patternType="solid">
        <fgColor rgb="FFF9CB9C"/>
        <bgColor rgb="FFF9CB9C"/>
      </patternFill>
    </fill>
    <fill>
      <patternFill patternType="solid">
        <fgColor rgb="FFF4B083"/>
        <bgColor rgb="FFF4B083"/>
      </patternFill>
    </fill>
    <fill>
      <patternFill patternType="solid">
        <fgColor rgb="FFFFD965"/>
        <bgColor rgb="FFFFD965"/>
      </patternFill>
    </fill>
    <fill>
      <patternFill patternType="solid">
        <fgColor rgb="FFFF66ED"/>
        <bgColor rgb="FFFF66ED"/>
      </patternFill>
    </fill>
    <fill>
      <patternFill patternType="solid">
        <fgColor rgb="FF0C0C0C"/>
        <bgColor rgb="FF0C0C0C"/>
      </patternFill>
    </fill>
    <fill>
      <patternFill patternType="solid">
        <fgColor rgb="FFBDD6EE"/>
        <bgColor rgb="FFBDD6EE"/>
      </patternFill>
    </fill>
    <fill>
      <patternFill patternType="solid">
        <fgColor rgb="FFB5E6A2"/>
        <bgColor rgb="FFB5E6A2"/>
      </patternFill>
    </fill>
    <fill>
      <patternFill patternType="solid">
        <fgColor rgb="FFFF0000"/>
        <bgColor rgb="FFFF0000"/>
      </patternFill>
    </fill>
    <fill>
      <patternFill patternType="solid">
        <fgColor rgb="FFA6C9EC"/>
        <bgColor rgb="FFA6C9EC"/>
      </patternFill>
    </fill>
    <fill>
      <patternFill patternType="solid">
        <fgColor rgb="FFFFC000"/>
        <bgColor rgb="FFFFC000"/>
      </patternFill>
    </fill>
    <fill>
      <patternFill patternType="solid">
        <fgColor rgb="FF000000"/>
        <bgColor rgb="FF000000"/>
      </patternFill>
    </fill>
    <fill>
      <patternFill patternType="solid">
        <fgColor rgb="FF7F6000"/>
        <bgColor rgb="FF7F6000"/>
      </patternFill>
    </fill>
    <fill>
      <patternFill patternType="solid">
        <fgColor rgb="FF1F3864"/>
        <bgColor rgb="FF1F3864"/>
      </patternFill>
    </fill>
    <fill>
      <patternFill patternType="solid">
        <fgColor rgb="FF833C0B"/>
        <bgColor rgb="FF833C0B"/>
      </patternFill>
    </fill>
    <fill>
      <patternFill patternType="solid">
        <fgColor rgb="FFF2F2F2"/>
        <bgColor rgb="FFF2F2F2"/>
      </patternFill>
    </fill>
    <fill>
      <patternFill patternType="solid">
        <fgColor rgb="FF7F7F7F"/>
        <bgColor rgb="FF7F7F7F"/>
      </patternFill>
    </fill>
    <fill>
      <patternFill patternType="solid">
        <fgColor rgb="FFFFFF00"/>
        <bgColor rgb="FF7030A0"/>
      </patternFill>
    </fill>
    <fill>
      <patternFill patternType="solid">
        <fgColor rgb="FF7030A0"/>
        <bgColor rgb="FFFFFF00"/>
      </patternFill>
    </fill>
    <fill>
      <patternFill patternType="solid">
        <fgColor rgb="FFFFFF00"/>
        <bgColor indexed="64"/>
      </patternFill>
    </fill>
  </fills>
  <borders count="165">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AAAAAA"/>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style="thick">
        <color theme="0"/>
      </left>
      <right style="thin">
        <color theme="0"/>
      </right>
      <top style="thick">
        <color theme="0"/>
      </top>
      <bottom style="thick">
        <color theme="0"/>
      </bottom>
      <diagonal/>
    </border>
    <border>
      <left/>
      <right style="thin">
        <color theme="0"/>
      </right>
      <top style="thick">
        <color theme="0"/>
      </top>
      <bottom style="thick">
        <color theme="0"/>
      </bottom>
      <diagonal/>
    </border>
    <border>
      <left style="thin">
        <color theme="0"/>
      </left>
      <right/>
      <top style="thick">
        <color theme="0"/>
      </top>
      <bottom style="thick">
        <color theme="0"/>
      </bottom>
      <diagonal/>
    </border>
    <border>
      <left/>
      <right style="thick">
        <color theme="0"/>
      </right>
      <top style="thick">
        <color theme="0"/>
      </top>
      <bottom style="thick">
        <color theme="0"/>
      </bottom>
      <diagonal/>
    </border>
    <border>
      <left/>
      <right style="thin">
        <color theme="0"/>
      </right>
      <top style="thick">
        <color rgb="FF000000"/>
      </top>
      <bottom/>
      <diagonal/>
    </border>
    <border>
      <left/>
      <right/>
      <top style="thick">
        <color rgb="FF000000"/>
      </top>
      <bottom/>
      <diagonal/>
    </border>
    <border>
      <left style="medium">
        <color theme="0"/>
      </left>
      <right/>
      <top style="thick">
        <color rgb="FF000000"/>
      </top>
      <bottom style="medium">
        <color theme="0"/>
      </bottom>
      <diagonal/>
    </border>
    <border>
      <left style="thin">
        <color theme="0"/>
      </left>
      <right/>
      <top style="thick">
        <color rgb="FF000000"/>
      </top>
      <bottom/>
      <diagonal/>
    </border>
    <border>
      <left/>
      <right style="thin">
        <color theme="0"/>
      </right>
      <top style="thick">
        <color rgb="FF000000"/>
      </top>
      <bottom/>
      <diagonal/>
    </border>
    <border>
      <left style="medium">
        <color theme="0"/>
      </left>
      <right style="thick">
        <color rgb="FF000000"/>
      </right>
      <top style="thick">
        <color rgb="FF000000"/>
      </top>
      <bottom style="medium">
        <color theme="0"/>
      </bottom>
      <diagonal/>
    </border>
    <border>
      <left/>
      <right style="thin">
        <color theme="0"/>
      </right>
      <top/>
      <bottom/>
      <diagonal/>
    </border>
    <border>
      <left style="medium">
        <color theme="0"/>
      </left>
      <right/>
      <top style="medium">
        <color theme="0"/>
      </top>
      <bottom style="medium">
        <color theme="0"/>
      </bottom>
      <diagonal/>
    </border>
    <border>
      <left style="thin">
        <color theme="0"/>
      </left>
      <right/>
      <top/>
      <bottom style="thin">
        <color theme="0"/>
      </bottom>
      <diagonal/>
    </border>
    <border>
      <left/>
      <right style="thin">
        <color theme="0"/>
      </right>
      <top/>
      <bottom style="thin">
        <color theme="0"/>
      </bottom>
      <diagonal/>
    </border>
    <border>
      <left style="medium">
        <color theme="0"/>
      </left>
      <right style="thick">
        <color rgb="FF000000"/>
      </right>
      <top style="medium">
        <color theme="0"/>
      </top>
      <bottom style="medium">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0"/>
      </left>
      <right style="thick">
        <color rgb="FF000000"/>
      </right>
      <top style="medium">
        <color theme="0"/>
      </top>
      <bottom/>
      <diagonal/>
    </border>
    <border>
      <left style="medium">
        <color theme="0"/>
      </left>
      <right style="thin">
        <color theme="0"/>
      </right>
      <top style="medium">
        <color theme="0"/>
      </top>
      <bottom style="medium">
        <color theme="0"/>
      </bottom>
      <diagonal/>
    </border>
    <border>
      <left/>
      <right style="thin">
        <color theme="0"/>
      </right>
      <top style="thin">
        <color theme="0"/>
      </top>
      <bottom/>
      <diagonal/>
    </border>
    <border>
      <left style="thin">
        <color theme="0"/>
      </left>
      <right/>
      <top style="thin">
        <color theme="0"/>
      </top>
      <bottom style="thin">
        <color theme="0"/>
      </bottom>
      <diagonal/>
    </border>
    <border>
      <left style="medium">
        <color theme="0"/>
      </left>
      <right style="thick">
        <color rgb="FF000000"/>
      </right>
      <top style="thin">
        <color theme="0"/>
      </top>
      <bottom style="thin">
        <color theme="0"/>
      </bottom>
      <diagonal/>
    </border>
    <border>
      <left/>
      <right style="thin">
        <color theme="0"/>
      </right>
      <top/>
      <bottom style="thick">
        <color rgb="FF000000"/>
      </bottom>
      <diagonal/>
    </border>
    <border>
      <left/>
      <right/>
      <top/>
      <bottom style="thick">
        <color rgb="FF000000"/>
      </bottom>
      <diagonal/>
    </border>
    <border>
      <left style="medium">
        <color theme="0"/>
      </left>
      <right style="thin">
        <color theme="0"/>
      </right>
      <top style="medium">
        <color theme="0"/>
      </top>
      <bottom style="thick">
        <color rgb="FF000000"/>
      </bottom>
      <diagonal/>
    </border>
    <border>
      <left style="thin">
        <color theme="0"/>
      </left>
      <right/>
      <top/>
      <bottom style="thick">
        <color rgb="FF000000"/>
      </bottom>
      <diagonal/>
    </border>
    <border>
      <left/>
      <right style="thick">
        <color rgb="FF000000"/>
      </right>
      <top/>
      <bottom style="thick">
        <color rgb="FF000000"/>
      </bottom>
      <diagonal/>
    </border>
    <border>
      <left style="thin">
        <color theme="0"/>
      </left>
      <right style="thin">
        <color theme="0"/>
      </right>
      <top style="thick">
        <color rgb="FF000000"/>
      </top>
      <bottom style="medium">
        <color theme="0"/>
      </bottom>
      <diagonal/>
    </border>
    <border>
      <left style="thin">
        <color theme="0"/>
      </left>
      <right style="thin">
        <color theme="0"/>
      </right>
      <top style="thick">
        <color rgb="FF000000"/>
      </top>
      <bottom/>
      <diagonal/>
    </border>
    <border>
      <left/>
      <right style="thick">
        <color rgb="FF000000"/>
      </right>
      <top style="thick">
        <color rgb="FF000000"/>
      </top>
      <bottom style="medium">
        <color theme="0"/>
      </bottom>
      <diagonal/>
    </border>
    <border>
      <left style="thin">
        <color theme="0"/>
      </left>
      <right style="thin">
        <color theme="0"/>
      </right>
      <top style="medium">
        <color theme="0"/>
      </top>
      <bottom style="medium">
        <color theme="0"/>
      </bottom>
      <diagonal/>
    </border>
    <border>
      <left style="thin">
        <color theme="0"/>
      </left>
      <right style="thin">
        <color theme="0"/>
      </right>
      <top/>
      <bottom/>
      <diagonal/>
    </border>
    <border>
      <left/>
      <right style="thick">
        <color rgb="FF000000"/>
      </right>
      <top style="medium">
        <color theme="0"/>
      </top>
      <bottom style="medium">
        <color theme="0"/>
      </bottom>
      <diagonal/>
    </border>
    <border>
      <left style="thin">
        <color theme="0"/>
      </left>
      <right style="thin">
        <color theme="0"/>
      </right>
      <top style="thin">
        <color theme="0"/>
      </top>
      <bottom style="thin">
        <color theme="0"/>
      </bottom>
      <diagonal/>
    </border>
    <border>
      <left/>
      <right/>
      <top style="medium">
        <color theme="0"/>
      </top>
      <bottom style="medium">
        <color theme="0"/>
      </bottom>
      <diagonal/>
    </border>
    <border>
      <left style="thin">
        <color theme="0"/>
      </left>
      <right style="thin">
        <color theme="0"/>
      </right>
      <top/>
      <bottom style="thin">
        <color theme="0"/>
      </bottom>
      <diagonal/>
    </border>
    <border>
      <left style="thin">
        <color theme="0"/>
      </left>
      <right style="thin">
        <color theme="0"/>
      </right>
      <top style="medium">
        <color theme="0"/>
      </top>
      <bottom style="thick">
        <color rgb="FF000000"/>
      </bottom>
      <diagonal/>
    </border>
    <border>
      <left/>
      <right style="thick">
        <color theme="0"/>
      </right>
      <top style="thick">
        <color rgb="FF000000"/>
      </top>
      <bottom/>
      <diagonal/>
    </border>
    <border>
      <left/>
      <right style="thick">
        <color rgb="FF000000"/>
      </right>
      <top style="thick">
        <color rgb="FF000000"/>
      </top>
      <bottom/>
      <diagonal/>
    </border>
    <border>
      <left/>
      <right style="thick">
        <color theme="0"/>
      </right>
      <top/>
      <bottom/>
      <diagonal/>
    </border>
    <border>
      <left/>
      <right style="medium">
        <color theme="0"/>
      </right>
      <top/>
      <bottom/>
      <diagonal/>
    </border>
    <border>
      <left style="thin">
        <color theme="0"/>
      </left>
      <right style="thin">
        <color theme="0"/>
      </right>
      <top style="thin">
        <color theme="0"/>
      </top>
      <bottom/>
      <diagonal/>
    </border>
    <border>
      <left/>
      <right/>
      <top style="medium">
        <color theme="0"/>
      </top>
      <bottom/>
      <diagonal/>
    </border>
    <border>
      <left/>
      <right style="thick">
        <color rgb="FF000000"/>
      </right>
      <top style="medium">
        <color theme="0"/>
      </top>
      <bottom/>
      <diagonal/>
    </border>
    <border>
      <left style="thin">
        <color theme="0"/>
      </left>
      <right style="thin">
        <color theme="0"/>
      </right>
      <top/>
      <bottom/>
      <diagonal/>
    </border>
    <border>
      <left/>
      <right/>
      <top/>
      <bottom/>
      <diagonal/>
    </border>
    <border>
      <left/>
      <right style="thick">
        <color rgb="FF000000"/>
      </right>
      <top/>
      <bottom/>
      <diagonal/>
    </border>
    <border>
      <left/>
      <right style="medium">
        <color theme="0"/>
      </right>
      <top/>
      <bottom/>
      <diagonal/>
    </border>
    <border>
      <left style="thin">
        <color theme="0"/>
      </left>
      <right style="thin">
        <color theme="0"/>
      </right>
      <top/>
      <bottom style="thin">
        <color theme="0"/>
      </bottom>
      <diagonal/>
    </border>
    <border>
      <left/>
      <right/>
      <top/>
      <bottom style="medium">
        <color theme="0"/>
      </bottom>
      <diagonal/>
    </border>
    <border>
      <left/>
      <right style="thick">
        <color rgb="FF000000"/>
      </right>
      <top/>
      <bottom style="medium">
        <color theme="0"/>
      </bottom>
      <diagonal/>
    </border>
    <border>
      <left/>
      <right style="thick">
        <color theme="0"/>
      </right>
      <top/>
      <bottom style="thick">
        <color rgb="FF000000"/>
      </bottom>
      <diagonal/>
    </border>
    <border>
      <left/>
      <right style="medium">
        <color theme="0"/>
      </right>
      <top/>
      <bottom style="thick">
        <color rgb="FF000000"/>
      </bottom>
      <diagonal/>
    </border>
    <border>
      <left style="medium">
        <color theme="0"/>
      </left>
      <right/>
      <top style="medium">
        <color theme="0"/>
      </top>
      <bottom style="thick">
        <color rgb="FF000000"/>
      </bottom>
      <diagonal/>
    </border>
    <border>
      <left style="thin">
        <color theme="0"/>
      </left>
      <right/>
      <top style="thin">
        <color theme="0"/>
      </top>
      <bottom/>
      <diagonal/>
    </border>
    <border>
      <left style="medium">
        <color theme="0"/>
      </left>
      <right/>
      <top style="thin">
        <color theme="0"/>
      </top>
      <bottom/>
      <diagonal/>
    </border>
    <border>
      <left/>
      <right style="thin">
        <color theme="0"/>
      </right>
      <top style="thin">
        <color theme="0"/>
      </top>
      <bottom/>
      <diagonal/>
    </border>
    <border>
      <left style="thin">
        <color theme="0"/>
      </left>
      <right/>
      <top/>
      <bottom/>
      <diagonal/>
    </border>
    <border>
      <left style="medium">
        <color theme="0"/>
      </left>
      <right/>
      <top/>
      <bottom/>
      <diagonal/>
    </border>
    <border>
      <left style="thin">
        <color theme="0"/>
      </left>
      <right/>
      <top/>
      <bottom style="thin">
        <color theme="0"/>
      </bottom>
      <diagonal/>
    </border>
    <border>
      <left style="medium">
        <color theme="0"/>
      </left>
      <right/>
      <top/>
      <bottom style="thin">
        <color theme="0"/>
      </bottom>
      <diagonal/>
    </border>
    <border>
      <left/>
      <right style="thin">
        <color theme="0"/>
      </right>
      <top/>
      <bottom style="thin">
        <color theme="0"/>
      </bottom>
      <diagonal/>
    </border>
    <border>
      <left/>
      <right/>
      <top/>
      <bottom style="thick">
        <color rgb="FF000000"/>
      </bottom>
      <diagonal/>
    </border>
    <border>
      <left/>
      <right/>
      <top style="thick">
        <color rgb="FF000000"/>
      </top>
      <bottom style="thin">
        <color theme="0"/>
      </bottom>
      <diagonal/>
    </border>
    <border>
      <left/>
      <right style="thin">
        <color theme="0"/>
      </right>
      <top style="thick">
        <color rgb="FF000000"/>
      </top>
      <bottom style="thin">
        <color theme="0"/>
      </bottom>
      <diagonal/>
    </border>
    <border>
      <left/>
      <right/>
      <top style="thick">
        <color rgb="FF000000"/>
      </top>
      <bottom style="thin">
        <color theme="0"/>
      </bottom>
      <diagonal/>
    </border>
    <border>
      <left/>
      <right style="thick">
        <color rgb="FF000000"/>
      </right>
      <top style="thick">
        <color rgb="FF000000"/>
      </top>
      <bottom style="thin">
        <color theme="0"/>
      </bottom>
      <diagonal/>
    </border>
    <border>
      <left style="medium">
        <color theme="0"/>
      </left>
      <right/>
      <top/>
      <bottom style="medium">
        <color theme="0"/>
      </bottom>
      <diagonal/>
    </border>
    <border>
      <left style="thin">
        <color rgb="FF000000"/>
      </left>
      <right style="thin">
        <color rgb="FF000000"/>
      </right>
      <top/>
      <bottom/>
      <diagonal/>
    </border>
    <border>
      <left style="medium">
        <color theme="0"/>
      </left>
      <right style="thick">
        <color rgb="FF000000"/>
      </right>
      <top/>
      <bottom/>
      <diagonal/>
    </border>
    <border>
      <left style="medium">
        <color theme="0"/>
      </left>
      <right/>
      <top style="medium">
        <color theme="0"/>
      </top>
      <bottom/>
      <diagonal/>
    </border>
    <border>
      <left style="thin">
        <color rgb="FF000000"/>
      </left>
      <right style="thin">
        <color rgb="FF000000"/>
      </right>
      <top/>
      <bottom/>
      <diagonal/>
    </border>
    <border>
      <left style="medium">
        <color theme="0"/>
      </left>
      <right style="thick">
        <color rgb="FF000000"/>
      </right>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ck">
        <color rgb="FF000000"/>
      </right>
      <top style="thin">
        <color theme="0"/>
      </top>
      <bottom style="thin">
        <color theme="0"/>
      </bottom>
      <diagonal/>
    </border>
    <border>
      <left/>
      <right style="thin">
        <color rgb="FF000000"/>
      </right>
      <top/>
      <bottom/>
      <diagonal/>
    </border>
    <border>
      <left/>
      <right style="medium">
        <color theme="0"/>
      </right>
      <top style="thin">
        <color theme="0"/>
      </top>
      <bottom/>
      <diagonal/>
    </border>
    <border>
      <left style="medium">
        <color theme="0"/>
      </left>
      <right/>
      <top style="thin">
        <color theme="0"/>
      </top>
      <bottom style="medium">
        <color theme="0"/>
      </bottom>
      <diagonal/>
    </border>
    <border>
      <left style="medium">
        <color theme="0"/>
      </left>
      <right style="thin">
        <color rgb="FF000000"/>
      </right>
      <top style="thin">
        <color theme="0"/>
      </top>
      <bottom/>
      <diagonal/>
    </border>
    <border>
      <left/>
      <right/>
      <top style="thin">
        <color theme="0"/>
      </top>
      <bottom/>
      <diagonal/>
    </border>
    <border>
      <left style="medium">
        <color theme="0"/>
      </left>
      <right style="thick">
        <color rgb="FF000000"/>
      </right>
      <top style="thin">
        <color theme="0"/>
      </top>
      <bottom/>
      <diagonal/>
    </border>
    <border>
      <left style="medium">
        <color theme="0"/>
      </left>
      <right style="thin">
        <color rgb="FF000000"/>
      </right>
      <top/>
      <bottom style="thick">
        <color rgb="FF000000"/>
      </bottom>
      <diagonal/>
    </border>
    <border>
      <left style="medium">
        <color theme="0"/>
      </left>
      <right style="thick">
        <color rgb="FF000000"/>
      </right>
      <top/>
      <bottom style="thick">
        <color rgb="FF000000"/>
      </bottom>
      <diagonal/>
    </border>
    <border>
      <left style="thin">
        <color theme="0"/>
      </left>
      <right style="thin">
        <color theme="0"/>
      </right>
      <top style="thick">
        <color rgb="FF000000"/>
      </top>
      <bottom/>
      <diagonal/>
    </border>
    <border>
      <left style="thin">
        <color theme="0"/>
      </left>
      <right style="thick">
        <color rgb="FF000000"/>
      </right>
      <top style="thick">
        <color rgb="FF000000"/>
      </top>
      <bottom/>
      <diagonal/>
    </border>
    <border>
      <left/>
      <right style="thin">
        <color theme="0"/>
      </right>
      <top/>
      <bottom style="thick">
        <color rgb="FF000000"/>
      </bottom>
      <diagonal/>
    </border>
    <border>
      <left style="thin">
        <color theme="0"/>
      </left>
      <right style="thin">
        <color theme="0"/>
      </right>
      <top/>
      <bottom style="thick">
        <color rgb="FF000000"/>
      </bottom>
      <diagonal/>
    </border>
    <border>
      <left style="thin">
        <color theme="0"/>
      </left>
      <right style="thick">
        <color rgb="FF000000"/>
      </right>
      <top/>
      <bottom style="thick">
        <color rgb="FF000000"/>
      </bottom>
      <diagonal/>
    </border>
    <border>
      <left/>
      <right style="thick">
        <color theme="0"/>
      </right>
      <top style="thick">
        <color rgb="FF000000"/>
      </top>
      <bottom style="thick">
        <color rgb="FF000000"/>
      </bottom>
      <diagonal/>
    </border>
    <border>
      <left/>
      <right style="thin">
        <color theme="0"/>
      </right>
      <top style="thick">
        <color rgb="FF000000"/>
      </top>
      <bottom style="thick">
        <color rgb="FF000000"/>
      </bottom>
      <diagonal/>
    </border>
    <border>
      <left/>
      <right/>
      <top style="thick">
        <color rgb="FF000000"/>
      </top>
      <bottom style="thick">
        <color rgb="FF000000"/>
      </bottom>
      <diagonal/>
    </border>
    <border>
      <left style="thin">
        <color theme="0"/>
      </left>
      <right style="thin">
        <color theme="0"/>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681">
    <xf numFmtId="0" fontId="0" fillId="0" borderId="0" xfId="0"/>
    <xf numFmtId="1" fontId="1" fillId="3" borderId="1" xfId="0" applyNumberFormat="1" applyFont="1" applyFill="1" applyBorder="1" applyAlignment="1">
      <alignment horizontal="left" vertical="top"/>
    </xf>
    <xf numFmtId="1" fontId="2" fillId="3" borderId="1" xfId="0" applyNumberFormat="1" applyFont="1" applyFill="1" applyBorder="1" applyAlignment="1">
      <alignment horizontal="center" vertical="top" wrapText="1"/>
    </xf>
    <xf numFmtId="1" fontId="2" fillId="3" borderId="1" xfId="0" applyNumberFormat="1" applyFont="1" applyFill="1" applyBorder="1" applyAlignment="1">
      <alignment horizontal="center" vertical="top"/>
    </xf>
    <xf numFmtId="1" fontId="2" fillId="3" borderId="1" xfId="0" applyNumberFormat="1" applyFont="1" applyFill="1" applyBorder="1" applyAlignment="1">
      <alignment horizontal="right" vertical="center" wrapText="1"/>
    </xf>
    <xf numFmtId="164" fontId="5" fillId="3" borderId="1" xfId="0" applyNumberFormat="1" applyFont="1" applyFill="1" applyBorder="1" applyAlignment="1">
      <alignment horizontal="center" vertical="top" wrapText="1"/>
    </xf>
    <xf numFmtId="164" fontId="6" fillId="3" borderId="1" xfId="0" applyNumberFormat="1" applyFont="1" applyFill="1" applyBorder="1" applyAlignment="1">
      <alignment horizontal="center" vertical="center"/>
    </xf>
    <xf numFmtId="0" fontId="7" fillId="0" borderId="0" xfId="0" applyFont="1"/>
    <xf numFmtId="0" fontId="8" fillId="4" borderId="1" xfId="0" applyFont="1" applyFill="1" applyBorder="1" applyAlignment="1">
      <alignment horizontal="center"/>
    </xf>
    <xf numFmtId="165" fontId="8" fillId="0" borderId="0" xfId="0" applyNumberFormat="1" applyFont="1" applyAlignment="1">
      <alignment horizontal="center"/>
    </xf>
    <xf numFmtId="21" fontId="8" fillId="4" borderId="1" xfId="0" applyNumberFormat="1" applyFont="1" applyFill="1" applyBorder="1" applyAlignment="1">
      <alignment horizontal="center"/>
    </xf>
    <xf numFmtId="0" fontId="4" fillId="4" borderId="1" xfId="0" applyFont="1" applyFill="1" applyBorder="1" applyAlignment="1">
      <alignment horizontal="center" vertical="center"/>
    </xf>
    <xf numFmtId="0" fontId="7" fillId="0" borderId="8" xfId="0" applyFont="1" applyBorder="1" applyAlignment="1">
      <alignment horizontal="center"/>
    </xf>
    <xf numFmtId="166" fontId="7" fillId="0" borderId="0" xfId="0" applyNumberFormat="1" applyFont="1"/>
    <xf numFmtId="165" fontId="9" fillId="0" borderId="0" xfId="0" applyNumberFormat="1" applyFont="1"/>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14" fontId="7" fillId="4" borderId="1" xfId="0" applyNumberFormat="1" applyFont="1" applyFill="1" applyBorder="1" applyAlignment="1">
      <alignment vertical="center" wrapText="1"/>
    </xf>
    <xf numFmtId="14" fontId="4" fillId="4" borderId="1" xfId="0" applyNumberFormat="1" applyFont="1" applyFill="1" applyBorder="1" applyAlignment="1">
      <alignment horizontal="center" vertical="center" wrapText="1"/>
    </xf>
    <xf numFmtId="21" fontId="8" fillId="4" borderId="11" xfId="0" applyNumberFormat="1" applyFont="1" applyFill="1" applyBorder="1" applyAlignment="1">
      <alignment horizontal="left" vertical="center"/>
    </xf>
    <xf numFmtId="18" fontId="7" fillId="0" borderId="0" xfId="0" applyNumberFormat="1" applyFont="1"/>
    <xf numFmtId="18" fontId="8" fillId="4" borderId="11" xfId="0" applyNumberFormat="1" applyFont="1" applyFill="1" applyBorder="1" applyAlignment="1">
      <alignment horizontal="center" vertical="center"/>
    </xf>
    <xf numFmtId="167" fontId="8" fillId="4" borderId="12" xfId="0" applyNumberFormat="1" applyFont="1" applyFill="1" applyBorder="1" applyAlignment="1">
      <alignment horizontal="right" vertical="center"/>
    </xf>
    <xf numFmtId="0" fontId="9" fillId="0" borderId="0" xfId="0" applyFont="1"/>
    <xf numFmtId="21" fontId="9" fillId="0" borderId="0" xfId="0" applyNumberFormat="1" applyFont="1" applyAlignment="1">
      <alignment horizontal="left" vertical="center"/>
    </xf>
    <xf numFmtId="18" fontId="9" fillId="0" borderId="0" xfId="0" applyNumberFormat="1" applyFont="1" applyAlignment="1">
      <alignment horizontal="center" vertical="center"/>
    </xf>
    <xf numFmtId="167" fontId="9" fillId="0" borderId="0" xfId="0" applyNumberFormat="1" applyFont="1" applyAlignment="1">
      <alignment horizontal="right" vertical="center"/>
    </xf>
    <xf numFmtId="18" fontId="9" fillId="0" borderId="0" xfId="0" applyNumberFormat="1" applyFont="1" applyAlignment="1">
      <alignment horizontal="left" vertical="center"/>
    </xf>
    <xf numFmtId="18" fontId="10" fillId="0" borderId="0" xfId="0" applyNumberFormat="1"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top"/>
    </xf>
    <xf numFmtId="168" fontId="11" fillId="0" borderId="0" xfId="0" applyNumberFormat="1" applyFont="1" applyAlignment="1">
      <alignment vertical="center" wrapText="1"/>
    </xf>
    <xf numFmtId="0" fontId="7" fillId="0" borderId="0" xfId="0" applyFont="1" applyAlignment="1">
      <alignment wrapText="1"/>
    </xf>
    <xf numFmtId="0" fontId="4" fillId="0" borderId="0" xfId="0" applyFont="1" applyAlignment="1">
      <alignment horizontal="center" vertical="center"/>
    </xf>
    <xf numFmtId="0" fontId="12" fillId="5" borderId="8" xfId="0" applyFont="1" applyFill="1" applyBorder="1" applyAlignment="1">
      <alignment horizontal="center" vertical="center"/>
    </xf>
    <xf numFmtId="0" fontId="7" fillId="0" borderId="16" xfId="0" applyFont="1" applyBorder="1"/>
    <xf numFmtId="169" fontId="9" fillId="0" borderId="17" xfId="0" applyNumberFormat="1" applyFont="1" applyBorder="1" applyAlignment="1">
      <alignment horizontal="center" vertical="center" wrapText="1"/>
    </xf>
    <xf numFmtId="169" fontId="9" fillId="0" borderId="18" xfId="0" applyNumberFormat="1" applyFont="1" applyBorder="1" applyAlignment="1">
      <alignment horizontal="left" vertical="center" wrapText="1"/>
    </xf>
    <xf numFmtId="169" fontId="9" fillId="0" borderId="19" xfId="0" applyNumberFormat="1" applyFont="1" applyBorder="1" applyAlignment="1">
      <alignment horizontal="left" vertical="center" wrapText="1"/>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right"/>
    </xf>
    <xf numFmtId="0" fontId="7" fillId="6" borderId="8" xfId="0" applyFont="1" applyFill="1" applyBorder="1" applyAlignment="1">
      <alignment horizontal="center" vertical="center"/>
    </xf>
    <xf numFmtId="21" fontId="8" fillId="5" borderId="8" xfId="0" applyNumberFormat="1" applyFont="1" applyFill="1" applyBorder="1" applyAlignment="1">
      <alignment horizontal="left" vertical="center"/>
    </xf>
    <xf numFmtId="18" fontId="8" fillId="5" borderId="11" xfId="0" applyNumberFormat="1" applyFont="1" applyFill="1" applyBorder="1" applyAlignment="1">
      <alignment horizontal="center" vertical="center"/>
    </xf>
    <xf numFmtId="0" fontId="7" fillId="0" borderId="0" xfId="0" applyFont="1" applyAlignment="1">
      <alignment horizontal="right" vertical="center"/>
    </xf>
    <xf numFmtId="0" fontId="7" fillId="7" borderId="8" xfId="0" applyFont="1" applyFill="1" applyBorder="1" applyAlignment="1">
      <alignment horizontal="center" vertical="center"/>
    </xf>
    <xf numFmtId="0" fontId="7" fillId="3" borderId="8" xfId="0" applyFont="1" applyFill="1" applyBorder="1" applyAlignment="1">
      <alignment horizontal="center" vertical="center" wrapText="1"/>
    </xf>
    <xf numFmtId="0" fontId="7" fillId="0" borderId="24" xfId="0" applyFont="1" applyBorder="1" applyAlignment="1">
      <alignment horizontal="center" vertical="top"/>
    </xf>
    <xf numFmtId="168" fontId="11" fillId="0" borderId="25" xfId="0" applyNumberFormat="1" applyFont="1" applyBorder="1" applyAlignment="1">
      <alignment vertical="center" wrapText="1"/>
    </xf>
    <xf numFmtId="0" fontId="12" fillId="8" borderId="26" xfId="0" applyFont="1" applyFill="1" applyBorder="1" applyAlignment="1">
      <alignment horizontal="center" vertical="center"/>
    </xf>
    <xf numFmtId="169" fontId="8" fillId="8" borderId="26"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168" fontId="8" fillId="8" borderId="1" xfId="0" applyNumberFormat="1" applyFont="1" applyFill="1" applyBorder="1" applyAlignment="1">
      <alignment horizontal="center" vertical="center" wrapText="1"/>
    </xf>
    <xf numFmtId="169" fontId="8" fillId="8" borderId="27" xfId="0" applyNumberFormat="1" applyFont="1" applyFill="1" applyBorder="1" applyAlignment="1">
      <alignment horizontal="center" vertical="center" wrapText="1"/>
    </xf>
    <xf numFmtId="169" fontId="8" fillId="8" borderId="26" xfId="0" applyNumberFormat="1" applyFont="1" applyFill="1" applyBorder="1" applyAlignment="1">
      <alignment horizontal="left" vertical="center" wrapText="1"/>
    </xf>
    <xf numFmtId="169" fontId="8" fillId="8" borderId="28" xfId="0" applyNumberFormat="1" applyFont="1" applyFill="1" applyBorder="1" applyAlignment="1">
      <alignment horizontal="left" vertical="center" wrapText="1"/>
    </xf>
    <xf numFmtId="0" fontId="6" fillId="8" borderId="28" xfId="0" applyFont="1" applyFill="1" applyBorder="1" applyAlignment="1">
      <alignment horizontal="center" vertical="center"/>
    </xf>
    <xf numFmtId="1" fontId="8" fillId="4" borderId="8" xfId="0" applyNumberFormat="1" applyFont="1" applyFill="1" applyBorder="1" applyAlignment="1">
      <alignment horizontal="center" vertical="center" wrapText="1"/>
    </xf>
    <xf numFmtId="19" fontId="13" fillId="0" borderId="8" xfId="0" applyNumberFormat="1" applyFont="1" applyBorder="1" applyAlignment="1">
      <alignment horizontal="center" vertical="center" wrapText="1"/>
    </xf>
    <xf numFmtId="166" fontId="13" fillId="0" borderId="8" xfId="0" applyNumberFormat="1" applyFont="1" applyBorder="1" applyAlignment="1">
      <alignment horizontal="center" vertical="center" wrapText="1"/>
    </xf>
    <xf numFmtId="165" fontId="13" fillId="0" borderId="8" xfId="0" applyNumberFormat="1" applyFont="1" applyBorder="1" applyAlignment="1">
      <alignment horizontal="center" vertical="center" wrapText="1"/>
    </xf>
    <xf numFmtId="168" fontId="13" fillId="0" borderId="9" xfId="0" applyNumberFormat="1" applyFont="1" applyBorder="1" applyAlignment="1">
      <alignment horizontal="center" vertical="center" wrapText="1"/>
    </xf>
    <xf numFmtId="169" fontId="13" fillId="9" borderId="8" xfId="0" applyNumberFormat="1" applyFont="1" applyFill="1" applyBorder="1" applyAlignment="1">
      <alignment horizontal="center" vertical="center" wrapText="1"/>
    </xf>
    <xf numFmtId="169" fontId="13" fillId="0" borderId="8" xfId="0" applyNumberFormat="1" applyFont="1" applyBorder="1" applyAlignment="1">
      <alignment horizontal="center" vertical="center" wrapText="1"/>
    </xf>
    <xf numFmtId="169" fontId="13" fillId="0" borderId="9" xfId="0" applyNumberFormat="1" applyFont="1" applyBorder="1" applyAlignment="1">
      <alignment horizontal="center" vertical="center" wrapText="1"/>
    </xf>
    <xf numFmtId="0" fontId="4" fillId="10" borderId="29" xfId="0" applyFont="1" applyFill="1" applyBorder="1" applyAlignment="1">
      <alignment horizontal="center" vertical="center"/>
    </xf>
    <xf numFmtId="0" fontId="4" fillId="10" borderId="30" xfId="0" applyFont="1" applyFill="1" applyBorder="1" applyAlignment="1">
      <alignment horizontal="center" vertical="center"/>
    </xf>
    <xf numFmtId="1" fontId="5" fillId="4" borderId="8" xfId="0" applyNumberFormat="1" applyFont="1" applyFill="1" applyBorder="1" applyAlignment="1">
      <alignment horizontal="center" vertical="center" wrapText="1"/>
    </xf>
    <xf numFmtId="166" fontId="13" fillId="0" borderId="31" xfId="0" applyNumberFormat="1" applyFont="1" applyBorder="1" applyAlignment="1">
      <alignment horizontal="center" vertical="center" wrapText="1"/>
    </xf>
    <xf numFmtId="165" fontId="13" fillId="0" borderId="31" xfId="0" applyNumberFormat="1" applyFont="1" applyBorder="1" applyAlignment="1">
      <alignment horizontal="center" vertical="center" wrapText="1"/>
    </xf>
    <xf numFmtId="168" fontId="13" fillId="0" borderId="32" xfId="0" applyNumberFormat="1" applyFont="1" applyBorder="1" applyAlignment="1">
      <alignment horizontal="center" vertical="center" wrapText="1"/>
    </xf>
    <xf numFmtId="0" fontId="14" fillId="11" borderId="8" xfId="0" applyFont="1" applyFill="1" applyBorder="1" applyAlignment="1">
      <alignment horizontal="center" vertical="center"/>
    </xf>
    <xf numFmtId="0" fontId="14"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4" fillId="10" borderId="28" xfId="0" applyFont="1" applyFill="1" applyBorder="1" applyAlignment="1">
      <alignment horizontal="center" vertical="center"/>
    </xf>
    <xf numFmtId="0" fontId="4" fillId="10" borderId="27" xfId="0" applyFont="1" applyFill="1" applyBorder="1" applyAlignment="1">
      <alignment horizontal="center" vertical="center"/>
    </xf>
    <xf numFmtId="19" fontId="13" fillId="0" borderId="32" xfId="0" applyNumberFormat="1" applyFont="1" applyBorder="1" applyAlignment="1">
      <alignment horizontal="center" vertical="center" wrapText="1"/>
    </xf>
    <xf numFmtId="165" fontId="13" fillId="12" borderId="33" xfId="0" applyNumberFormat="1" applyFont="1" applyFill="1" applyBorder="1" applyAlignment="1">
      <alignment horizontal="center" vertical="center" wrapText="1"/>
    </xf>
    <xf numFmtId="168" fontId="13" fillId="0" borderId="31" xfId="0" applyNumberFormat="1" applyFont="1" applyBorder="1" applyAlignment="1">
      <alignment horizontal="center" vertical="center" wrapText="1"/>
    </xf>
    <xf numFmtId="169" fontId="13" fillId="12" borderId="1" xfId="0" applyNumberFormat="1" applyFont="1" applyFill="1" applyBorder="1" applyAlignment="1">
      <alignment horizontal="center" vertical="center" wrapText="1"/>
    </xf>
    <xf numFmtId="0" fontId="14" fillId="12" borderId="1" xfId="0" applyFont="1" applyFill="1" applyBorder="1" applyAlignment="1">
      <alignment horizontal="center" vertical="center" wrapText="1"/>
    </xf>
    <xf numFmtId="168" fontId="13" fillId="0" borderId="8" xfId="0" applyNumberFormat="1" applyFont="1" applyBorder="1" applyAlignment="1">
      <alignment horizontal="center" vertical="center" wrapText="1"/>
    </xf>
    <xf numFmtId="0" fontId="13" fillId="13" borderId="8" xfId="0" applyFont="1" applyFill="1" applyBorder="1" applyAlignment="1">
      <alignment horizontal="center" vertical="center" wrapText="1"/>
    </xf>
    <xf numFmtId="165" fontId="13" fillId="12" borderId="8" xfId="0" applyNumberFormat="1" applyFont="1" applyFill="1" applyBorder="1" applyAlignment="1">
      <alignment horizontal="center" vertical="center" wrapText="1"/>
    </xf>
    <xf numFmtId="0" fontId="14" fillId="11" borderId="8" xfId="0" applyFont="1" applyFill="1" applyBorder="1" applyAlignment="1">
      <alignment horizontal="center" vertical="center" wrapText="1"/>
    </xf>
    <xf numFmtId="0" fontId="5" fillId="5" borderId="34" xfId="0" applyFont="1" applyFill="1" applyBorder="1" applyAlignment="1">
      <alignment horizontal="center" vertical="center"/>
    </xf>
    <xf numFmtId="0" fontId="5" fillId="0" borderId="9" xfId="0" applyFont="1" applyBorder="1" applyAlignment="1">
      <alignment horizontal="center" vertical="center" wrapText="1"/>
    </xf>
    <xf numFmtId="0" fontId="14" fillId="7" borderId="8" xfId="0" applyFont="1" applyFill="1" applyBorder="1" applyAlignment="1">
      <alignment horizontal="center" vertical="center"/>
    </xf>
    <xf numFmtId="0" fontId="14" fillId="3" borderId="8" xfId="0" applyFont="1" applyFill="1" applyBorder="1" applyAlignment="1">
      <alignment horizontal="center" vertical="center" wrapText="1"/>
    </xf>
    <xf numFmtId="0" fontId="14" fillId="3" borderId="35"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4" fillId="7" borderId="36" xfId="0" applyFont="1" applyFill="1" applyBorder="1" applyAlignment="1">
      <alignment horizontal="center" vertical="center"/>
    </xf>
    <xf numFmtId="0" fontId="16" fillId="0" borderId="8" xfId="0" applyFont="1" applyBorder="1" applyAlignment="1">
      <alignment horizontal="center" vertical="center" wrapText="1"/>
    </xf>
    <xf numFmtId="0" fontId="14" fillId="7" borderId="34" xfId="0" applyFont="1" applyFill="1" applyBorder="1" applyAlignment="1">
      <alignment horizontal="center" vertical="center"/>
    </xf>
    <xf numFmtId="0" fontId="14" fillId="3" borderId="29"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4" fillId="7" borderId="33" xfId="0" applyFont="1" applyFill="1" applyBorder="1" applyAlignment="1">
      <alignment horizontal="center" vertical="center"/>
    </xf>
    <xf numFmtId="0" fontId="14" fillId="3" borderId="33"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12" borderId="35" xfId="0" applyFont="1" applyFill="1" applyBorder="1" applyAlignment="1">
      <alignment horizontal="center" vertical="center" wrapText="1"/>
    </xf>
    <xf numFmtId="165" fontId="13" fillId="12" borderId="35" xfId="0" applyNumberFormat="1" applyFont="1" applyFill="1" applyBorder="1" applyAlignment="1">
      <alignment horizontal="center" vertical="center" wrapText="1"/>
    </xf>
    <xf numFmtId="0" fontId="14" fillId="6" borderId="36" xfId="0" applyFont="1" applyFill="1" applyBorder="1" applyAlignment="1">
      <alignment horizontal="center" vertical="center" wrapText="1"/>
    </xf>
    <xf numFmtId="0" fontId="14" fillId="11" borderId="35" xfId="0" applyFont="1" applyFill="1" applyBorder="1" applyAlignment="1">
      <alignment horizontal="center" vertical="center" wrapText="1"/>
    </xf>
    <xf numFmtId="0" fontId="14" fillId="7" borderId="35" xfId="0" applyFont="1" applyFill="1" applyBorder="1" applyAlignment="1">
      <alignment horizontal="center" vertical="center"/>
    </xf>
    <xf numFmtId="0" fontId="4" fillId="12" borderId="28" xfId="0" applyFont="1" applyFill="1" applyBorder="1" applyAlignment="1">
      <alignment vertical="top" wrapText="1"/>
    </xf>
    <xf numFmtId="0" fontId="10" fillId="12" borderId="27" xfId="0" applyFont="1" applyFill="1" applyBorder="1"/>
    <xf numFmtId="0" fontId="14" fillId="7" borderId="29" xfId="0" applyFont="1" applyFill="1" applyBorder="1" applyAlignment="1">
      <alignment horizontal="center" vertical="center"/>
    </xf>
    <xf numFmtId="165" fontId="13" fillId="0" borderId="9" xfId="0" applyNumberFormat="1" applyFont="1" applyBorder="1" applyAlignment="1">
      <alignment horizontal="center" vertical="center" wrapText="1"/>
    </xf>
    <xf numFmtId="0" fontId="4" fillId="12" borderId="28" xfId="0" applyFont="1" applyFill="1" applyBorder="1" applyAlignment="1">
      <alignment horizontal="center" vertical="center" wrapText="1"/>
    </xf>
    <xf numFmtId="0" fontId="10" fillId="12" borderId="27" xfId="0" applyFont="1" applyFill="1" applyBorder="1" applyAlignment="1">
      <alignment horizontal="center" vertical="center"/>
    </xf>
    <xf numFmtId="0" fontId="13" fillId="12" borderId="1" xfId="0" applyFont="1" applyFill="1" applyBorder="1" applyAlignment="1">
      <alignment horizontal="center" vertical="center" wrapText="1"/>
    </xf>
    <xf numFmtId="0" fontId="13" fillId="15" borderId="8"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35" xfId="0" applyFont="1" applyFill="1" applyBorder="1" applyAlignment="1">
      <alignment horizontal="center" vertical="center"/>
    </xf>
    <xf numFmtId="165" fontId="13" fillId="12" borderId="26" xfId="0" applyNumberFormat="1" applyFont="1" applyFill="1" applyBorder="1" applyAlignment="1">
      <alignment horizontal="center" vertical="center" wrapText="1"/>
    </xf>
    <xf numFmtId="0" fontId="14" fillId="10" borderId="1" xfId="0" applyFont="1" applyFill="1" applyBorder="1" applyAlignment="1">
      <alignment vertical="center"/>
    </xf>
    <xf numFmtId="0" fontId="14" fillId="10" borderId="1" xfId="0" applyFont="1" applyFill="1" applyBorder="1" applyAlignment="1">
      <alignment vertical="center" wrapText="1"/>
    </xf>
    <xf numFmtId="0" fontId="13" fillId="13" borderId="35" xfId="0" applyFont="1" applyFill="1" applyBorder="1" applyAlignment="1">
      <alignment horizontal="center" vertical="center" wrapText="1"/>
    </xf>
    <xf numFmtId="0" fontId="5" fillId="2" borderId="35" xfId="0" applyFont="1" applyFill="1" applyBorder="1" applyAlignment="1">
      <alignment horizontal="center" vertical="center"/>
    </xf>
    <xf numFmtId="0" fontId="14" fillId="16" borderId="8" xfId="0" applyFont="1" applyFill="1" applyBorder="1" applyAlignment="1">
      <alignment horizontal="center" vertical="center"/>
    </xf>
    <xf numFmtId="0" fontId="14" fillId="16" borderId="11" xfId="0" applyFont="1" applyFill="1" applyBorder="1" applyAlignment="1">
      <alignment horizontal="center" vertical="center" wrapText="1"/>
    </xf>
    <xf numFmtId="0" fontId="14" fillId="16" borderId="12" xfId="0" applyFont="1" applyFill="1" applyBorder="1" applyAlignment="1">
      <alignment horizontal="center" vertical="center" wrapText="1"/>
    </xf>
    <xf numFmtId="0" fontId="14" fillId="10" borderId="1" xfId="0" applyFont="1" applyFill="1" applyBorder="1" applyAlignment="1">
      <alignment horizontal="center" vertical="center"/>
    </xf>
    <xf numFmtId="0" fontId="14" fillId="10" borderId="1" xfId="0" applyFont="1" applyFill="1" applyBorder="1" applyAlignment="1">
      <alignment horizontal="center" vertical="center" wrapText="1"/>
    </xf>
    <xf numFmtId="0" fontId="19" fillId="0" borderId="8" xfId="0" applyFont="1" applyBorder="1" applyAlignment="1">
      <alignment horizontal="center" vertical="center" wrapText="1"/>
    </xf>
    <xf numFmtId="165" fontId="18" fillId="0" borderId="8" xfId="0" applyNumberFormat="1" applyFont="1" applyBorder="1" applyAlignment="1">
      <alignment horizontal="center" vertical="center" wrapText="1"/>
    </xf>
    <xf numFmtId="0" fontId="19" fillId="11" borderId="39" xfId="0" quotePrefix="1" applyFont="1" applyFill="1" applyBorder="1" applyAlignment="1">
      <alignment horizontal="center" vertical="center" wrapText="1"/>
    </xf>
    <xf numFmtId="0" fontId="14" fillId="0" borderId="40" xfId="0" applyFont="1" applyBorder="1" applyAlignment="1">
      <alignment horizontal="center" vertical="center" wrapText="1"/>
    </xf>
    <xf numFmtId="0" fontId="15" fillId="14" borderId="8" xfId="0" applyFont="1" applyFill="1" applyBorder="1" applyAlignment="1">
      <alignment horizontal="center" vertical="center" wrapText="1"/>
    </xf>
    <xf numFmtId="0" fontId="15" fillId="0" borderId="8" xfId="0" applyFont="1" applyBorder="1" applyAlignment="1">
      <alignment horizontal="center" vertical="center" wrapText="1"/>
    </xf>
    <xf numFmtId="0" fontId="19" fillId="11" borderId="36" xfId="0" applyFont="1" applyFill="1" applyBorder="1" applyAlignment="1">
      <alignment horizontal="center" vertical="center" wrapText="1"/>
    </xf>
    <xf numFmtId="0" fontId="13" fillId="0" borderId="9" xfId="0" applyFont="1" applyBorder="1" applyAlignment="1">
      <alignment horizontal="center" vertical="center" wrapText="1"/>
    </xf>
    <xf numFmtId="0" fontId="20" fillId="0" borderId="8" xfId="0" applyFont="1" applyBorder="1" applyAlignment="1">
      <alignment horizontal="center" vertical="center" wrapText="1"/>
    </xf>
    <xf numFmtId="0" fontId="19" fillId="7" borderId="36" xfId="0" applyFont="1" applyFill="1" applyBorder="1" applyAlignment="1">
      <alignment horizontal="center" vertical="center" wrapText="1"/>
    </xf>
    <xf numFmtId="0" fontId="21" fillId="13" borderId="35" xfId="0" applyFont="1" applyFill="1" applyBorder="1" applyAlignment="1">
      <alignment horizontal="center" vertical="center" wrapText="1"/>
    </xf>
    <xf numFmtId="0" fontId="19" fillId="0" borderId="13" xfId="0" applyFont="1" applyBorder="1" applyAlignment="1">
      <alignment horizontal="center" vertical="center" wrapText="1"/>
    </xf>
    <xf numFmtId="0" fontId="14" fillId="6" borderId="8" xfId="0" applyFont="1" applyFill="1" applyBorder="1" applyAlignment="1">
      <alignment horizontal="center" vertical="center"/>
    </xf>
    <xf numFmtId="19" fontId="5" fillId="9" borderId="8" xfId="0" applyNumberFormat="1" applyFont="1" applyFill="1" applyBorder="1" applyAlignment="1">
      <alignment horizontal="center" vertical="center" wrapText="1"/>
    </xf>
    <xf numFmtId="166" fontId="5" fillId="9" borderId="8" xfId="0" applyNumberFormat="1" applyFont="1" applyFill="1" applyBorder="1" applyAlignment="1">
      <alignment horizontal="center" vertical="center" wrapText="1"/>
    </xf>
    <xf numFmtId="165" fontId="5" fillId="9" borderId="8" xfId="0" applyNumberFormat="1"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33"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9" borderId="28" xfId="0" applyFont="1" applyFill="1" applyBorder="1" applyAlignment="1">
      <alignment horizontal="center" vertical="center" wrapText="1"/>
    </xf>
    <xf numFmtId="0" fontId="6" fillId="9" borderId="27" xfId="0" applyFont="1" applyFill="1" applyBorder="1" applyAlignment="1">
      <alignment horizontal="center" vertical="center" wrapText="1"/>
    </xf>
    <xf numFmtId="166" fontId="13" fillId="17" borderId="8" xfId="0" applyNumberFormat="1" applyFont="1" applyFill="1" applyBorder="1" applyAlignment="1">
      <alignment horizontal="center" vertical="center" wrapText="1"/>
    </xf>
    <xf numFmtId="0" fontId="13" fillId="18" borderId="42"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169" fontId="13" fillId="12" borderId="42" xfId="0" applyNumberFormat="1" applyFont="1" applyFill="1" applyBorder="1" applyAlignment="1">
      <alignment horizontal="center" vertical="center" wrapText="1"/>
    </xf>
    <xf numFmtId="0" fontId="4" fillId="10" borderId="26" xfId="0" applyFont="1" applyFill="1" applyBorder="1" applyAlignment="1">
      <alignment horizontal="center" vertical="center"/>
    </xf>
    <xf numFmtId="49" fontId="15" fillId="14" borderId="8" xfId="0" applyNumberFormat="1" applyFont="1" applyFill="1" applyBorder="1" applyAlignment="1">
      <alignment horizontal="left" vertical="center" wrapText="1"/>
    </xf>
    <xf numFmtId="49" fontId="15" fillId="14" borderId="30" xfId="0" applyNumberFormat="1" applyFont="1" applyFill="1" applyBorder="1" applyAlignment="1">
      <alignment horizontal="center" vertical="top" wrapText="1"/>
    </xf>
    <xf numFmtId="0" fontId="13" fillId="19" borderId="8" xfId="0" applyFont="1" applyFill="1" applyBorder="1" applyAlignment="1">
      <alignment horizontal="center" vertical="center" wrapText="1"/>
    </xf>
    <xf numFmtId="0" fontId="4" fillId="0" borderId="43" xfId="0" applyFont="1" applyBorder="1" applyAlignment="1">
      <alignment horizontal="center" vertical="center"/>
    </xf>
    <xf numFmtId="0" fontId="4" fillId="0" borderId="8" xfId="0" applyFont="1" applyBorder="1" applyAlignment="1">
      <alignment horizontal="center" vertical="center"/>
    </xf>
    <xf numFmtId="0" fontId="5" fillId="0" borderId="8"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22" xfId="0" applyFont="1" applyBorder="1" applyAlignment="1">
      <alignment horizontal="center" vertical="center" wrapText="1"/>
    </xf>
    <xf numFmtId="0" fontId="4" fillId="20" borderId="28" xfId="0" applyFont="1" applyFill="1" applyBorder="1" applyAlignment="1">
      <alignment horizontal="center" vertical="center"/>
    </xf>
    <xf numFmtId="0" fontId="4" fillId="20" borderId="27" xfId="0" applyFont="1" applyFill="1" applyBorder="1" applyAlignment="1">
      <alignment horizontal="center" vertical="center"/>
    </xf>
    <xf numFmtId="0" fontId="15" fillId="3" borderId="33" xfId="0" applyFont="1" applyFill="1" applyBorder="1" applyAlignment="1">
      <alignment horizontal="center" vertical="center" wrapText="1"/>
    </xf>
    <xf numFmtId="0" fontId="14" fillId="20" borderId="1" xfId="0" applyFont="1" applyFill="1" applyBorder="1" applyAlignment="1">
      <alignment horizontal="center" vertical="center"/>
    </xf>
    <xf numFmtId="0" fontId="14" fillId="20" borderId="1" xfId="0" applyFont="1" applyFill="1" applyBorder="1" applyAlignment="1">
      <alignment horizontal="center" vertical="center" wrapText="1"/>
    </xf>
    <xf numFmtId="0" fontId="13" fillId="15" borderId="8" xfId="0" applyFont="1" applyFill="1" applyBorder="1" applyAlignment="1">
      <alignment horizontal="center" vertical="center" wrapText="1"/>
    </xf>
    <xf numFmtId="0" fontId="14" fillId="0" borderId="13" xfId="0" applyFont="1" applyBorder="1" applyAlignment="1">
      <alignment horizontal="center" vertical="center" wrapText="1"/>
    </xf>
    <xf numFmtId="0" fontId="13" fillId="13" borderId="11" xfId="0" applyFont="1" applyFill="1" applyBorder="1" applyAlignment="1">
      <alignment horizontal="center" vertical="center" wrapText="1"/>
    </xf>
    <xf numFmtId="0" fontId="13" fillId="9" borderId="34" xfId="0" applyFont="1" applyFill="1" applyBorder="1" applyAlignment="1">
      <alignment horizontal="center" vertical="center" wrapText="1"/>
    </xf>
    <xf numFmtId="0" fontId="13" fillId="9" borderId="42" xfId="0" applyFont="1" applyFill="1" applyBorder="1" applyAlignment="1">
      <alignment horizontal="center" vertical="center" wrapText="1"/>
    </xf>
    <xf numFmtId="0" fontId="10" fillId="9" borderId="28"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3" fillId="18" borderId="1" xfId="0" applyFont="1" applyFill="1" applyBorder="1" applyAlignment="1">
      <alignment horizontal="center" vertical="center" wrapText="1"/>
    </xf>
    <xf numFmtId="169" fontId="13" fillId="13" borderId="29" xfId="0" applyNumberFormat="1" applyFont="1" applyFill="1" applyBorder="1" applyAlignment="1">
      <alignment horizontal="center" vertical="center" wrapText="1"/>
    </xf>
    <xf numFmtId="0" fontId="4" fillId="0" borderId="31" xfId="0" applyFont="1" applyBorder="1" applyAlignment="1">
      <alignment horizontal="center" vertical="center"/>
    </xf>
    <xf numFmtId="0" fontId="4" fillId="0" borderId="31" xfId="0" applyFont="1" applyBorder="1" applyAlignment="1">
      <alignment horizontal="center" vertical="center" wrapText="1"/>
    </xf>
    <xf numFmtId="0" fontId="13" fillId="19" borderId="36" xfId="0" applyFont="1" applyFill="1" applyBorder="1" applyAlignment="1">
      <alignment horizontal="center" vertical="center" wrapText="1"/>
    </xf>
    <xf numFmtId="0" fontId="5" fillId="0" borderId="32" xfId="0" applyFont="1" applyBorder="1" applyAlignment="1">
      <alignment horizontal="center" vertical="center" wrapText="1"/>
    </xf>
    <xf numFmtId="168" fontId="13" fillId="0" borderId="43" xfId="0" applyNumberFormat="1" applyFont="1" applyBorder="1" applyAlignment="1">
      <alignment horizontal="center" vertical="center" wrapText="1"/>
    </xf>
    <xf numFmtId="0" fontId="4" fillId="20" borderId="12" xfId="0" applyFont="1" applyFill="1" applyBorder="1" applyAlignment="1">
      <alignment horizontal="center" vertical="center"/>
    </xf>
    <xf numFmtId="0" fontId="4" fillId="20" borderId="39" xfId="0" applyFont="1" applyFill="1" applyBorder="1" applyAlignment="1">
      <alignment horizontal="center" vertical="center"/>
    </xf>
    <xf numFmtId="0" fontId="5" fillId="21" borderId="1" xfId="0" applyFont="1" applyFill="1" applyBorder="1"/>
    <xf numFmtId="0" fontId="5" fillId="21" borderId="1" xfId="0" applyFont="1" applyFill="1" applyBorder="1" applyAlignment="1">
      <alignment horizontal="center"/>
    </xf>
    <xf numFmtId="43" fontId="5" fillId="21" borderId="1" xfId="0" applyNumberFormat="1" applyFont="1" applyFill="1" applyBorder="1" applyAlignment="1">
      <alignment horizontal="center"/>
    </xf>
    <xf numFmtId="0" fontId="5" fillId="21" borderId="1" xfId="0" applyFont="1" applyFill="1" applyBorder="1" applyAlignment="1">
      <alignment horizontal="center" vertical="center"/>
    </xf>
    <xf numFmtId="0" fontId="5" fillId="21" borderId="1" xfId="0" applyFont="1" applyFill="1" applyBorder="1" applyAlignment="1">
      <alignment wrapText="1"/>
    </xf>
    <xf numFmtId="0" fontId="6" fillId="21" borderId="1" xfId="0" applyFont="1" applyFill="1" applyBorder="1" applyAlignment="1">
      <alignment horizontal="center" vertical="center"/>
    </xf>
    <xf numFmtId="0" fontId="5" fillId="3" borderId="1" xfId="0" applyFont="1" applyFill="1" applyBorder="1"/>
    <xf numFmtId="0" fontId="5" fillId="3" borderId="1" xfId="0" applyFont="1" applyFill="1" applyBorder="1" applyAlignment="1">
      <alignment horizontal="center"/>
    </xf>
    <xf numFmtId="43" fontId="5" fillId="3" borderId="1" xfId="0" applyNumberFormat="1" applyFont="1" applyFill="1" applyBorder="1" applyAlignment="1">
      <alignment horizontal="center"/>
    </xf>
    <xf numFmtId="0" fontId="5" fillId="3" borderId="1" xfId="0" applyFont="1" applyFill="1" applyBorder="1" applyAlignment="1">
      <alignment horizontal="center" vertical="center"/>
    </xf>
    <xf numFmtId="0" fontId="5" fillId="3" borderId="1" xfId="0" applyFont="1" applyFill="1" applyBorder="1" applyAlignment="1">
      <alignment wrapText="1"/>
    </xf>
    <xf numFmtId="0" fontId="6" fillId="3" borderId="1" xfId="0" applyFont="1" applyFill="1" applyBorder="1" applyAlignment="1">
      <alignment horizontal="center" vertical="center"/>
    </xf>
    <xf numFmtId="0" fontId="5" fillId="0" borderId="0" xfId="0" applyFont="1"/>
    <xf numFmtId="0" fontId="14" fillId="0" borderId="0" xfId="0" applyFont="1"/>
    <xf numFmtId="0" fontId="23" fillId="5" borderId="8" xfId="0" applyFont="1" applyFill="1" applyBorder="1" applyAlignment="1">
      <alignment horizontal="center" vertical="center"/>
    </xf>
    <xf numFmtId="0" fontId="23" fillId="5" borderId="35" xfId="0" applyFont="1" applyFill="1" applyBorder="1" applyAlignment="1">
      <alignment horizontal="center" vertical="center"/>
    </xf>
    <xf numFmtId="0" fontId="23" fillId="5" borderId="1" xfId="0" applyFont="1" applyFill="1" applyBorder="1" applyAlignment="1">
      <alignment horizontal="center" vertical="center" wrapText="1"/>
    </xf>
    <xf numFmtId="0" fontId="24" fillId="5" borderId="1" xfId="0" applyFont="1" applyFill="1" applyBorder="1" applyAlignment="1">
      <alignment horizontal="center" vertical="center"/>
    </xf>
    <xf numFmtId="0" fontId="14" fillId="0" borderId="8" xfId="0" applyFont="1" applyBorder="1" applyAlignment="1">
      <alignment horizontal="center" vertical="center"/>
    </xf>
    <xf numFmtId="166" fontId="14" fillId="0" borderId="0" xfId="0" applyNumberFormat="1" applyFont="1"/>
    <xf numFmtId="165" fontId="13" fillId="0" borderId="0" xfId="0" applyNumberFormat="1" applyFont="1"/>
    <xf numFmtId="0" fontId="14" fillId="5" borderId="1" xfId="0" applyFont="1" applyFill="1" applyBorder="1" applyAlignment="1">
      <alignment wrapText="1"/>
    </xf>
    <xf numFmtId="0" fontId="6" fillId="5" borderId="1" xfId="0" applyFont="1" applyFill="1" applyBorder="1" applyAlignment="1">
      <alignment horizontal="center" vertical="center"/>
    </xf>
    <xf numFmtId="21" fontId="5" fillId="5" borderId="8" xfId="0" applyNumberFormat="1" applyFont="1" applyFill="1" applyBorder="1" applyAlignment="1">
      <alignment horizontal="left" vertical="center"/>
    </xf>
    <xf numFmtId="18" fontId="5" fillId="4" borderId="11" xfId="0" applyNumberFormat="1" applyFont="1" applyFill="1" applyBorder="1" applyAlignment="1">
      <alignment horizontal="center" vertical="center"/>
    </xf>
    <xf numFmtId="167" fontId="5" fillId="4" borderId="12" xfId="0" applyNumberFormat="1" applyFont="1" applyFill="1" applyBorder="1" applyAlignment="1">
      <alignment horizontal="right" vertical="center"/>
    </xf>
    <xf numFmtId="0" fontId="14" fillId="3" borderId="1" xfId="0" applyFont="1" applyFill="1" applyBorder="1"/>
    <xf numFmtId="168" fontId="18" fillId="0" borderId="25" xfId="0" applyNumberFormat="1" applyFont="1" applyBorder="1" applyAlignment="1">
      <alignment vertical="center" wrapText="1"/>
    </xf>
    <xf numFmtId="168" fontId="18" fillId="3" borderId="1" xfId="0" applyNumberFormat="1" applyFont="1" applyFill="1" applyBorder="1" applyAlignment="1">
      <alignment vertical="center" wrapText="1"/>
    </xf>
    <xf numFmtId="0" fontId="14" fillId="3" borderId="1" xfId="0" applyFont="1" applyFill="1" applyBorder="1" applyAlignment="1">
      <alignment wrapText="1"/>
    </xf>
    <xf numFmtId="169" fontId="5" fillId="8" borderId="26" xfId="0" applyNumberFormat="1" applyFont="1" applyFill="1" applyBorder="1" applyAlignment="1">
      <alignment horizontal="center" vertical="center"/>
    </xf>
    <xf numFmtId="165" fontId="5" fillId="8" borderId="1" xfId="0" applyNumberFormat="1" applyFont="1" applyFill="1" applyBorder="1" applyAlignment="1">
      <alignment horizontal="center" vertical="center"/>
    </xf>
    <xf numFmtId="168" fontId="5" fillId="8" borderId="1" xfId="0" applyNumberFormat="1" applyFont="1" applyFill="1" applyBorder="1" applyAlignment="1">
      <alignment horizontal="center" vertical="center" wrapText="1"/>
    </xf>
    <xf numFmtId="169" fontId="5" fillId="8" borderId="27" xfId="0" applyNumberFormat="1" applyFont="1" applyFill="1" applyBorder="1" applyAlignment="1">
      <alignment horizontal="center" vertical="center" wrapText="1"/>
    </xf>
    <xf numFmtId="169" fontId="5" fillId="8" borderId="26" xfId="0" applyNumberFormat="1" applyFont="1" applyFill="1" applyBorder="1" applyAlignment="1">
      <alignment horizontal="left" vertical="center" wrapText="1"/>
    </xf>
    <xf numFmtId="169" fontId="5" fillId="8" borderId="28" xfId="0" applyNumberFormat="1" applyFont="1" applyFill="1" applyBorder="1" applyAlignment="1">
      <alignment horizontal="left" vertical="center" wrapText="1"/>
    </xf>
    <xf numFmtId="1" fontId="5" fillId="5" borderId="8" xfId="0" applyNumberFormat="1" applyFont="1" applyFill="1" applyBorder="1" applyAlignment="1">
      <alignment horizontal="center" vertical="center" wrapText="1"/>
    </xf>
    <xf numFmtId="19" fontId="13" fillId="0" borderId="31" xfId="0" applyNumberFormat="1" applyFont="1" applyBorder="1" applyAlignment="1">
      <alignment horizontal="center" vertical="center" wrapText="1"/>
    </xf>
    <xf numFmtId="1" fontId="5" fillId="5" borderId="35" xfId="0" applyNumberFormat="1" applyFont="1" applyFill="1" applyBorder="1" applyAlignment="1">
      <alignment horizontal="center" vertical="center" wrapText="1"/>
    </xf>
    <xf numFmtId="0" fontId="14" fillId="11" borderId="36" xfId="0" applyFont="1" applyFill="1" applyBorder="1" applyAlignment="1">
      <alignment horizontal="center" vertical="center"/>
    </xf>
    <xf numFmtId="0" fontId="5" fillId="5" borderId="35"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6" fillId="5" borderId="28" xfId="0" applyFont="1" applyFill="1" applyBorder="1" applyAlignment="1">
      <alignment horizontal="center" vertical="center"/>
    </xf>
    <xf numFmtId="0" fontId="6" fillId="5" borderId="26" xfId="0" applyFont="1" applyFill="1" applyBorder="1" applyAlignment="1">
      <alignment horizontal="center" vertical="center"/>
    </xf>
    <xf numFmtId="0" fontId="25" fillId="3" borderId="35" xfId="0" applyFont="1" applyFill="1" applyBorder="1" applyAlignment="1">
      <alignment horizontal="center" vertical="center" wrapText="1"/>
    </xf>
    <xf numFmtId="169" fontId="13" fillId="12" borderId="8" xfId="0" applyNumberFormat="1" applyFont="1" applyFill="1" applyBorder="1" applyAlignment="1">
      <alignment horizontal="center" vertical="center" wrapText="1"/>
    </xf>
    <xf numFmtId="0" fontId="14" fillId="11" borderId="39" xfId="0" applyFont="1" applyFill="1" applyBorder="1" applyAlignment="1">
      <alignment horizontal="center" vertical="center"/>
    </xf>
    <xf numFmtId="0" fontId="14" fillId="6" borderId="36" xfId="0" applyFont="1" applyFill="1" applyBorder="1" applyAlignment="1">
      <alignment horizontal="center" vertical="center"/>
    </xf>
    <xf numFmtId="0" fontId="14" fillId="0" borderId="9" xfId="0" applyFont="1" applyBorder="1" applyAlignment="1">
      <alignment horizontal="center" vertical="center"/>
    </xf>
    <xf numFmtId="0" fontId="14" fillId="0" borderId="13" xfId="0" applyFont="1" applyBorder="1" applyAlignment="1">
      <alignment horizontal="center" vertical="center"/>
    </xf>
    <xf numFmtId="0" fontId="14" fillId="0" borderId="10" xfId="0" applyFont="1" applyBorder="1" applyAlignment="1">
      <alignment horizontal="center" vertical="center"/>
    </xf>
    <xf numFmtId="169" fontId="13" fillId="13" borderId="36"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14" fillId="22" borderId="8" xfId="0" applyFont="1" applyFill="1" applyBorder="1" applyAlignment="1">
      <alignment horizontal="center" vertical="center"/>
    </xf>
    <xf numFmtId="0" fontId="14" fillId="10" borderId="8" xfId="0" applyFont="1" applyFill="1" applyBorder="1" applyAlignment="1">
      <alignment horizontal="center" vertical="center" wrapText="1"/>
    </xf>
    <xf numFmtId="0" fontId="14" fillId="10" borderId="35" xfId="0" applyFont="1" applyFill="1" applyBorder="1" applyAlignment="1">
      <alignment horizontal="center" vertical="center" wrapText="1"/>
    </xf>
    <xf numFmtId="169" fontId="10" fillId="12" borderId="28" xfId="0" applyNumberFormat="1" applyFont="1" applyFill="1" applyBorder="1" applyAlignment="1">
      <alignment horizontal="center" vertical="center" wrapText="1"/>
    </xf>
    <xf numFmtId="169" fontId="10" fillId="12" borderId="27" xfId="0" applyNumberFormat="1" applyFont="1" applyFill="1" applyBorder="1" applyAlignment="1">
      <alignment horizontal="center" vertical="center" wrapText="1"/>
    </xf>
    <xf numFmtId="0" fontId="18" fillId="13" borderId="8" xfId="0" applyFont="1" applyFill="1" applyBorder="1" applyAlignment="1">
      <alignment horizontal="center" vertical="center"/>
    </xf>
    <xf numFmtId="169" fontId="10" fillId="0" borderId="8" xfId="0" applyNumberFormat="1" applyFont="1" applyBorder="1" applyAlignment="1">
      <alignment horizontal="center" vertical="center" wrapText="1"/>
    </xf>
    <xf numFmtId="0" fontId="14" fillId="3" borderId="11"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5" fillId="11" borderId="11" xfId="0" applyFont="1" applyFill="1" applyBorder="1" applyAlignment="1">
      <alignment horizontal="center" vertical="center" wrapText="1"/>
    </xf>
    <xf numFmtId="168" fontId="13" fillId="16" borderId="8" xfId="0" applyNumberFormat="1" applyFont="1" applyFill="1" applyBorder="1" applyAlignment="1">
      <alignment horizontal="center" vertical="center" wrapText="1"/>
    </xf>
    <xf numFmtId="0" fontId="14" fillId="16" borderId="8" xfId="0" applyFont="1" applyFill="1" applyBorder="1" applyAlignment="1">
      <alignment horizontal="center" vertical="center" wrapText="1"/>
    </xf>
    <xf numFmtId="0" fontId="14" fillId="16" borderId="35" xfId="0" applyFont="1" applyFill="1" applyBorder="1" applyAlignment="1">
      <alignment horizontal="center" vertical="center" wrapText="1"/>
    </xf>
    <xf numFmtId="0" fontId="4" fillId="16" borderId="8" xfId="0" applyFont="1" applyFill="1" applyBorder="1" applyAlignment="1">
      <alignment horizontal="center" vertical="center"/>
    </xf>
    <xf numFmtId="0" fontId="19" fillId="0" borderId="43" xfId="0" applyFont="1" applyBorder="1" applyAlignment="1">
      <alignment horizontal="center" vertical="center" wrapText="1"/>
    </xf>
    <xf numFmtId="168" fontId="13" fillId="13" borderId="8" xfId="0" applyNumberFormat="1"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5" fillId="14" borderId="8" xfId="0" applyFont="1" applyFill="1" applyBorder="1" applyAlignment="1">
      <alignment horizontal="left" vertical="center" wrapText="1"/>
    </xf>
    <xf numFmtId="0" fontId="20" fillId="0" borderId="8" xfId="0" applyFont="1" applyBorder="1" applyAlignment="1">
      <alignment horizontal="left" vertical="center" wrapText="1"/>
    </xf>
    <xf numFmtId="0" fontId="4" fillId="10" borderId="28" xfId="0" applyFont="1" applyFill="1" applyBorder="1" applyAlignment="1">
      <alignment horizontal="left" vertical="center"/>
    </xf>
    <xf numFmtId="0" fontId="4" fillId="10" borderId="27" xfId="0" applyFont="1" applyFill="1" applyBorder="1" applyAlignment="1">
      <alignment horizontal="left" vertical="center"/>
    </xf>
    <xf numFmtId="0" fontId="22" fillId="10" borderId="28" xfId="0" applyFont="1" applyFill="1" applyBorder="1" applyAlignment="1">
      <alignment horizontal="center" vertical="center"/>
    </xf>
    <xf numFmtId="0" fontId="22" fillId="10" borderId="27" xfId="0" applyFont="1" applyFill="1" applyBorder="1" applyAlignment="1">
      <alignment horizontal="center" vertical="center"/>
    </xf>
    <xf numFmtId="49" fontId="15" fillId="14" borderId="33" xfId="0" applyNumberFormat="1" applyFont="1" applyFill="1" applyBorder="1" applyAlignment="1">
      <alignment horizontal="center" vertical="center" wrapText="1"/>
    </xf>
    <xf numFmtId="49" fontId="15" fillId="14" borderId="30" xfId="0" applyNumberFormat="1" applyFont="1" applyFill="1" applyBorder="1" applyAlignment="1">
      <alignment horizontal="center" vertical="center" wrapText="1"/>
    </xf>
    <xf numFmtId="0" fontId="4" fillId="13" borderId="8" xfId="0" applyFont="1" applyFill="1" applyBorder="1" applyAlignment="1">
      <alignment horizontal="center" vertical="center"/>
    </xf>
    <xf numFmtId="0" fontId="5" fillId="0" borderId="4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25" fillId="3" borderId="12" xfId="0" applyFont="1" applyFill="1" applyBorder="1" applyAlignment="1">
      <alignment horizontal="center" vertical="center" wrapText="1"/>
    </xf>
    <xf numFmtId="0" fontId="15" fillId="13" borderId="8" xfId="0" applyFont="1" applyFill="1" applyBorder="1" applyAlignment="1">
      <alignment horizontal="center" vertical="center" wrapText="1"/>
    </xf>
    <xf numFmtId="49" fontId="15" fillId="13" borderId="8" xfId="0" applyNumberFormat="1" applyFont="1" applyFill="1" applyBorder="1" applyAlignment="1">
      <alignment horizontal="center" vertical="center" wrapText="1"/>
    </xf>
    <xf numFmtId="0" fontId="14" fillId="12" borderId="1" xfId="0" applyFont="1" applyFill="1" applyBorder="1" applyAlignment="1">
      <alignment horizontal="center" vertical="center"/>
    </xf>
    <xf numFmtId="0" fontId="4" fillId="12" borderId="28" xfId="0" applyFont="1" applyFill="1" applyBorder="1" applyAlignment="1">
      <alignment horizontal="center" vertical="center"/>
    </xf>
    <xf numFmtId="0" fontId="10" fillId="9" borderId="26" xfId="0" applyFont="1" applyFill="1" applyBorder="1" applyAlignment="1">
      <alignment horizontal="center" vertical="center" wrapText="1"/>
    </xf>
    <xf numFmtId="0" fontId="4" fillId="10" borderId="12" xfId="0" applyFont="1" applyFill="1" applyBorder="1" applyAlignment="1">
      <alignment horizontal="center" vertical="center"/>
    </xf>
    <xf numFmtId="0" fontId="4" fillId="10" borderId="39" xfId="0" applyFont="1" applyFill="1" applyBorder="1" applyAlignment="1">
      <alignment horizontal="center" vertical="center"/>
    </xf>
    <xf numFmtId="0" fontId="27" fillId="0" borderId="10" xfId="0" applyFont="1" applyBorder="1"/>
    <xf numFmtId="0" fontId="28" fillId="0" borderId="9" xfId="0" applyFont="1" applyBorder="1" applyAlignment="1">
      <alignment horizontal="center" vertical="top" wrapText="1"/>
    </xf>
    <xf numFmtId="166" fontId="9" fillId="0" borderId="8" xfId="0" applyNumberFormat="1" applyFont="1" applyBorder="1" applyAlignment="1">
      <alignment horizontal="center" vertical="center" wrapText="1"/>
    </xf>
    <xf numFmtId="165" fontId="9" fillId="0" borderId="8" xfId="0" applyNumberFormat="1" applyFont="1" applyBorder="1" applyAlignment="1">
      <alignment horizontal="center" vertical="center" wrapText="1"/>
    </xf>
    <xf numFmtId="168" fontId="9" fillId="0" borderId="8" xfId="0" applyNumberFormat="1" applyFont="1" applyBorder="1" applyAlignment="1">
      <alignment horizontal="center" vertical="center" wrapText="1"/>
    </xf>
    <xf numFmtId="0" fontId="9" fillId="13" borderId="8" xfId="0" applyFont="1" applyFill="1" applyBorder="1" applyAlignment="1">
      <alignment horizontal="center" vertical="center" wrapText="1"/>
    </xf>
    <xf numFmtId="0" fontId="29" fillId="0" borderId="8" xfId="0" applyFont="1" applyBorder="1" applyAlignment="1">
      <alignment horizontal="center" vertical="center" wrapText="1"/>
    </xf>
    <xf numFmtId="165" fontId="9" fillId="23" borderId="8" xfId="0" applyNumberFormat="1" applyFont="1" applyFill="1" applyBorder="1" applyAlignment="1">
      <alignment horizontal="center" vertical="center" wrapText="1"/>
    </xf>
    <xf numFmtId="0" fontId="27" fillId="0" borderId="8" xfId="0" applyFont="1" applyBorder="1" applyAlignment="1">
      <alignment horizontal="center" vertical="center" wrapText="1"/>
    </xf>
    <xf numFmtId="0" fontId="4" fillId="10" borderId="8" xfId="0" applyFont="1" applyFill="1" applyBorder="1" applyAlignment="1">
      <alignment horizontal="center" vertical="center"/>
    </xf>
    <xf numFmtId="0" fontId="14" fillId="26" borderId="1" xfId="0" applyFont="1" applyFill="1" applyBorder="1" applyAlignment="1">
      <alignment vertical="top"/>
    </xf>
    <xf numFmtId="0" fontId="14" fillId="26" borderId="1" xfId="0" applyFont="1" applyFill="1" applyBorder="1" applyAlignment="1">
      <alignment horizontal="center" vertical="top"/>
    </xf>
    <xf numFmtId="0" fontId="14" fillId="26" borderId="1" xfId="0" applyFont="1" applyFill="1" applyBorder="1" applyAlignment="1">
      <alignment horizontal="center" vertical="center"/>
    </xf>
    <xf numFmtId="0" fontId="14" fillId="26" borderId="1" xfId="0" applyFont="1" applyFill="1" applyBorder="1" applyAlignment="1">
      <alignment vertical="top" wrapText="1"/>
    </xf>
    <xf numFmtId="0" fontId="4" fillId="26" borderId="1" xfId="0" applyFont="1" applyFill="1" applyBorder="1" applyAlignment="1">
      <alignment horizontal="center" vertical="center"/>
    </xf>
    <xf numFmtId="0" fontId="14" fillId="0" borderId="0" xfId="0" applyFont="1" applyAlignment="1">
      <alignment vertical="top"/>
    </xf>
    <xf numFmtId="0" fontId="14" fillId="0" borderId="0" xfId="0" applyFont="1" applyAlignment="1">
      <alignment horizontal="center" vertical="top"/>
    </xf>
    <xf numFmtId="0" fontId="14" fillId="0" borderId="0" xfId="0" applyFont="1" applyAlignment="1">
      <alignment horizontal="center" vertical="center"/>
    </xf>
    <xf numFmtId="0" fontId="14" fillId="0" borderId="0" xfId="0" applyFont="1" applyAlignment="1">
      <alignment vertical="top" wrapText="1"/>
    </xf>
    <xf numFmtId="0" fontId="30" fillId="0" borderId="0" xfId="0" applyFont="1" applyAlignment="1">
      <alignment vertical="top"/>
    </xf>
    <xf numFmtId="0" fontId="31" fillId="0" borderId="0" xfId="0" applyFont="1" applyAlignment="1">
      <alignment horizontal="center" vertical="top"/>
    </xf>
    <xf numFmtId="0" fontId="31" fillId="0" borderId="0" xfId="0" applyFont="1" applyAlignment="1">
      <alignment vertical="top"/>
    </xf>
    <xf numFmtId="0" fontId="31" fillId="0" borderId="0" xfId="0" applyFont="1" applyAlignment="1">
      <alignment horizontal="center" vertical="center"/>
    </xf>
    <xf numFmtId="0" fontId="4" fillId="0" borderId="0" xfId="0" applyFont="1" applyAlignment="1">
      <alignment vertical="top" wrapText="1"/>
    </xf>
    <xf numFmtId="0" fontId="5" fillId="2" borderId="1" xfId="0" applyFont="1" applyFill="1" applyBorder="1"/>
    <xf numFmtId="0" fontId="29" fillId="2" borderId="1" xfId="0" applyFont="1" applyFill="1" applyBorder="1"/>
    <xf numFmtId="0" fontId="29"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29" fillId="2" borderId="1" xfId="0" applyFont="1" applyFill="1" applyBorder="1" applyAlignment="1">
      <alignment vertical="top"/>
    </xf>
    <xf numFmtId="0" fontId="29" fillId="0" borderId="0" xfId="0" applyFont="1" applyAlignment="1">
      <alignment horizontal="center" vertical="center"/>
    </xf>
    <xf numFmtId="0" fontId="7" fillId="0" borderId="0" xfId="0" applyFont="1" applyAlignment="1">
      <alignment horizontal="center" vertical="center"/>
    </xf>
    <xf numFmtId="0" fontId="29" fillId="0" borderId="0" xfId="0" applyFont="1" applyAlignment="1">
      <alignment vertical="top" wrapText="1"/>
    </xf>
    <xf numFmtId="0" fontId="13" fillId="0" borderId="0" xfId="0" applyFont="1" applyAlignment="1">
      <alignment horizontal="center" vertical="center"/>
    </xf>
    <xf numFmtId="0" fontId="10" fillId="13" borderId="1" xfId="0" applyFont="1" applyFill="1" applyBorder="1" applyAlignment="1">
      <alignment horizontal="center" vertical="top" wrapText="1"/>
    </xf>
    <xf numFmtId="0" fontId="32" fillId="2" borderId="1" xfId="0" applyFont="1" applyFill="1" applyBorder="1" applyAlignment="1">
      <alignment horizontal="center" vertical="center"/>
    </xf>
    <xf numFmtId="0" fontId="32" fillId="0" borderId="0" xfId="0" applyFont="1"/>
    <xf numFmtId="0" fontId="32" fillId="2" borderId="1" xfId="0" applyFont="1" applyFill="1" applyBorder="1"/>
    <xf numFmtId="0" fontId="29" fillId="0" borderId="0" xfId="0" applyFont="1"/>
    <xf numFmtId="20" fontId="29" fillId="0" borderId="0" xfId="0" applyNumberFormat="1" applyFont="1"/>
    <xf numFmtId="0" fontId="29" fillId="0" borderId="0" xfId="0" applyFont="1" applyAlignment="1">
      <alignment wrapText="1"/>
    </xf>
    <xf numFmtId="0" fontId="27" fillId="0" borderId="0" xfId="0" applyFont="1"/>
    <xf numFmtId="0" fontId="29" fillId="13" borderId="1" xfId="0" applyFont="1" applyFill="1" applyBorder="1"/>
    <xf numFmtId="0" fontId="29" fillId="13" borderId="1" xfId="0" applyFont="1" applyFill="1" applyBorder="1" applyAlignment="1">
      <alignment vertical="top"/>
    </xf>
    <xf numFmtId="0" fontId="29" fillId="0" borderId="0" xfId="0" applyFont="1" applyAlignment="1">
      <alignment vertical="top"/>
    </xf>
    <xf numFmtId="0" fontId="29" fillId="27" borderId="1" xfId="0" applyFont="1" applyFill="1" applyBorder="1"/>
    <xf numFmtId="0" fontId="33" fillId="0" borderId="0" xfId="0" applyFont="1"/>
    <xf numFmtId="20" fontId="27" fillId="0" borderId="0" xfId="0" applyNumberFormat="1" applyFont="1"/>
    <xf numFmtId="0" fontId="34" fillId="0" borderId="0" xfId="0" applyFont="1"/>
    <xf numFmtId="0" fontId="34" fillId="0" borderId="0" xfId="0" applyFont="1" applyAlignment="1">
      <alignment horizontal="center"/>
    </xf>
    <xf numFmtId="0" fontId="35" fillId="0" borderId="0" xfId="0" applyFont="1" applyAlignment="1">
      <alignment horizontal="center"/>
    </xf>
    <xf numFmtId="0" fontId="8" fillId="0" borderId="0" xfId="0" applyFont="1" applyAlignment="1">
      <alignment horizontal="center"/>
    </xf>
    <xf numFmtId="0" fontId="5" fillId="0" borderId="0" xfId="0" applyFont="1" applyAlignment="1">
      <alignment horizontal="center"/>
    </xf>
    <xf numFmtId="0" fontId="36" fillId="0" borderId="31" xfId="0" applyFont="1" applyBorder="1" applyAlignment="1">
      <alignment horizontal="center"/>
    </xf>
    <xf numFmtId="0" fontId="36" fillId="0" borderId="9" xfId="0" applyFont="1" applyBorder="1" applyAlignment="1">
      <alignment horizontal="center"/>
    </xf>
    <xf numFmtId="0" fontId="36" fillId="0" borderId="10" xfId="0" applyFont="1" applyBorder="1" applyAlignment="1">
      <alignment horizontal="center"/>
    </xf>
    <xf numFmtId="0" fontId="36" fillId="0" borderId="13" xfId="0" applyFont="1" applyBorder="1" applyAlignment="1">
      <alignment horizontal="center"/>
    </xf>
    <xf numFmtId="0" fontId="36" fillId="0" borderId="8" xfId="0" applyFont="1" applyBorder="1"/>
    <xf numFmtId="0" fontId="37" fillId="0" borderId="0" xfId="0" applyFont="1" applyAlignment="1">
      <alignment horizontal="center" vertical="center"/>
    </xf>
    <xf numFmtId="0" fontId="34" fillId="0" borderId="45" xfId="0" applyFont="1" applyBorder="1"/>
    <xf numFmtId="0" fontId="36" fillId="0" borderId="31" xfId="0" applyFont="1" applyBorder="1" applyAlignment="1">
      <alignment horizontal="center" wrapText="1"/>
    </xf>
    <xf numFmtId="0" fontId="36" fillId="0" borderId="43" xfId="0" applyFont="1" applyBorder="1" applyAlignment="1">
      <alignment horizontal="center" wrapText="1"/>
    </xf>
    <xf numFmtId="0" fontId="38" fillId="0" borderId="0" xfId="0" applyFont="1"/>
    <xf numFmtId="0" fontId="34" fillId="0" borderId="8" xfId="0" applyFont="1" applyBorder="1" applyAlignment="1">
      <alignment horizontal="center"/>
    </xf>
    <xf numFmtId="0" fontId="35" fillId="0" borderId="9" xfId="0" applyFont="1" applyBorder="1"/>
    <xf numFmtId="0" fontId="34" fillId="0" borderId="8" xfId="0" applyFont="1" applyBorder="1"/>
    <xf numFmtId="0" fontId="35" fillId="0" borderId="0" xfId="0" applyFont="1"/>
    <xf numFmtId="0" fontId="34" fillId="0" borderId="31" xfId="0" applyFont="1" applyBorder="1" applyAlignment="1">
      <alignment horizontal="center"/>
    </xf>
    <xf numFmtId="0" fontId="35" fillId="0" borderId="31" xfId="0" applyFont="1" applyBorder="1" applyAlignment="1">
      <alignment horizontal="center" vertical="center"/>
    </xf>
    <xf numFmtId="0" fontId="35" fillId="0" borderId="31" xfId="0" applyFont="1" applyBorder="1" applyAlignment="1">
      <alignment horizontal="center" vertical="center" wrapText="1"/>
    </xf>
    <xf numFmtId="0" fontId="34" fillId="0" borderId="25" xfId="0" applyFont="1" applyBorder="1"/>
    <xf numFmtId="0" fontId="34" fillId="0" borderId="47" xfId="0" applyFont="1" applyBorder="1"/>
    <xf numFmtId="0" fontId="34" fillId="0" borderId="48" xfId="0" applyFont="1" applyBorder="1" applyAlignment="1">
      <alignment horizontal="center"/>
    </xf>
    <xf numFmtId="0" fontId="35" fillId="0" borderId="48" xfId="0" applyFont="1" applyBorder="1" applyAlignment="1">
      <alignment horizontal="center" vertical="center"/>
    </xf>
    <xf numFmtId="0" fontId="35" fillId="0" borderId="46" xfId="0" applyFont="1" applyBorder="1" applyAlignment="1">
      <alignment horizontal="center" vertical="center" wrapText="1"/>
    </xf>
    <xf numFmtId="0" fontId="36" fillId="0" borderId="49" xfId="0" applyFont="1" applyBorder="1"/>
    <xf numFmtId="0" fontId="36" fillId="0" borderId="50" xfId="0" applyFont="1" applyBorder="1"/>
    <xf numFmtId="0" fontId="34" fillId="0" borderId="50" xfId="0" applyFont="1" applyBorder="1" applyAlignment="1">
      <alignment horizontal="center"/>
    </xf>
    <xf numFmtId="0" fontId="35" fillId="0" borderId="50" xfId="0" applyFont="1" applyBorder="1" applyAlignment="1">
      <alignment horizontal="center"/>
    </xf>
    <xf numFmtId="0" fontId="34" fillId="0" borderId="51" xfId="0" applyFont="1" applyBorder="1"/>
    <xf numFmtId="0" fontId="34" fillId="0" borderId="50" xfId="0" applyFont="1" applyBorder="1"/>
    <xf numFmtId="0" fontId="34" fillId="0" borderId="52" xfId="0" applyFont="1" applyBorder="1"/>
    <xf numFmtId="0" fontId="34" fillId="0" borderId="43" xfId="0" applyFont="1" applyBorder="1"/>
    <xf numFmtId="0" fontId="29" fillId="0" borderId="43" xfId="0" applyFont="1" applyBorder="1"/>
    <xf numFmtId="0" fontId="34" fillId="28" borderId="11" xfId="0" applyFont="1" applyFill="1" applyBorder="1" applyAlignment="1">
      <alignment horizontal="center"/>
    </xf>
    <xf numFmtId="0" fontId="35" fillId="0" borderId="43" xfId="0" applyFont="1" applyBorder="1" applyAlignment="1">
      <alignment horizontal="center"/>
    </xf>
    <xf numFmtId="0" fontId="34" fillId="0" borderId="43" xfId="0" applyFont="1" applyBorder="1" applyAlignment="1">
      <alignment horizontal="center"/>
    </xf>
    <xf numFmtId="0" fontId="34" fillId="0" borderId="40" xfId="0" applyFont="1" applyBorder="1"/>
    <xf numFmtId="168" fontId="29" fillId="0" borderId="0" xfId="0" applyNumberFormat="1" applyFont="1"/>
    <xf numFmtId="0" fontId="34" fillId="0" borderId="53" xfId="0" applyFont="1" applyBorder="1"/>
    <xf numFmtId="0" fontId="29" fillId="16" borderId="8" xfId="0" applyFont="1" applyFill="1" applyBorder="1"/>
    <xf numFmtId="0" fontId="29" fillId="0" borderId="8" xfId="0" applyFont="1" applyBorder="1"/>
    <xf numFmtId="0" fontId="35" fillId="0" borderId="8" xfId="0" applyFont="1" applyBorder="1" applyAlignment="1">
      <alignment horizontal="center"/>
    </xf>
    <xf numFmtId="0" fontId="34" fillId="29" borderId="8" xfId="0" applyFont="1" applyFill="1" applyBorder="1" applyAlignment="1">
      <alignment horizontal="center"/>
    </xf>
    <xf numFmtId="0" fontId="34" fillId="28" borderId="8" xfId="0" applyFont="1" applyFill="1" applyBorder="1" applyAlignment="1">
      <alignment horizontal="center"/>
    </xf>
    <xf numFmtId="0" fontId="34" fillId="0" borderId="9" xfId="0" applyFont="1" applyBorder="1"/>
    <xf numFmtId="0" fontId="36" fillId="28" borderId="8" xfId="0" applyFont="1" applyFill="1" applyBorder="1" applyAlignment="1">
      <alignment horizontal="center"/>
    </xf>
    <xf numFmtId="0" fontId="34" fillId="30" borderId="8" xfId="0" applyFont="1" applyFill="1" applyBorder="1" applyAlignment="1">
      <alignment horizontal="center"/>
    </xf>
    <xf numFmtId="0" fontId="29" fillId="31" borderId="8" xfId="0" applyFont="1" applyFill="1" applyBorder="1"/>
    <xf numFmtId="0" fontId="39" fillId="14" borderId="8" xfId="0" applyFont="1" applyFill="1" applyBorder="1"/>
    <xf numFmtId="0" fontId="40" fillId="0" borderId="8" xfId="0" applyFont="1" applyBorder="1"/>
    <xf numFmtId="0" fontId="41" fillId="16" borderId="8" xfId="0" applyFont="1" applyFill="1" applyBorder="1"/>
    <xf numFmtId="0" fontId="35" fillId="0" borderId="8" xfId="0" applyFont="1" applyBorder="1"/>
    <xf numFmtId="0" fontId="34" fillId="13" borderId="8" xfId="0" applyFont="1" applyFill="1" applyBorder="1"/>
    <xf numFmtId="0" fontId="41" fillId="0" borderId="8" xfId="0" applyFont="1" applyBorder="1"/>
    <xf numFmtId="0" fontId="34" fillId="30" borderId="8" xfId="0" applyFont="1" applyFill="1" applyBorder="1"/>
    <xf numFmtId="0" fontId="34" fillId="28" borderId="8" xfId="0" applyFont="1" applyFill="1" applyBorder="1"/>
    <xf numFmtId="0" fontId="34" fillId="0" borderId="54" xfId="0" applyFont="1" applyBorder="1"/>
    <xf numFmtId="0" fontId="34" fillId="0" borderId="55" xfId="0" applyFont="1" applyBorder="1"/>
    <xf numFmtId="0" fontId="41" fillId="0" borderId="55" xfId="0" applyFont="1" applyBorder="1"/>
    <xf numFmtId="0" fontId="29" fillId="0" borderId="55" xfId="0" applyFont="1" applyBorder="1"/>
    <xf numFmtId="0" fontId="34" fillId="30" borderId="55" xfId="0" applyFont="1" applyFill="1" applyBorder="1" applyAlignment="1">
      <alignment horizontal="center"/>
    </xf>
    <xf numFmtId="0" fontId="35" fillId="0" borderId="55" xfId="0" applyFont="1" applyBorder="1" applyAlignment="1">
      <alignment horizontal="center"/>
    </xf>
    <xf numFmtId="0" fontId="34" fillId="0" borderId="55" xfId="0" applyFont="1" applyBorder="1" applyAlignment="1">
      <alignment horizontal="center"/>
    </xf>
    <xf numFmtId="0" fontId="34" fillId="0" borderId="56" xfId="0" applyFont="1" applyBorder="1"/>
    <xf numFmtId="0" fontId="34" fillId="30" borderId="55" xfId="0" applyFont="1" applyFill="1" applyBorder="1"/>
    <xf numFmtId="0" fontId="41" fillId="0" borderId="0" xfId="0" applyFont="1"/>
    <xf numFmtId="0" fontId="36" fillId="0" borderId="57" xfId="0" applyFont="1" applyBorder="1"/>
    <xf numFmtId="0" fontId="36" fillId="0" borderId="58" xfId="0" applyFont="1" applyBorder="1"/>
    <xf numFmtId="165" fontId="29" fillId="0" borderId="0" xfId="0" applyNumberFormat="1" applyFont="1"/>
    <xf numFmtId="49" fontId="42" fillId="14" borderId="59" xfId="0" applyNumberFormat="1" applyFont="1" applyFill="1" applyBorder="1" applyAlignment="1">
      <alignment horizontal="left" vertical="center"/>
    </xf>
    <xf numFmtId="49" fontId="42" fillId="14" borderId="1" xfId="0" applyNumberFormat="1" applyFont="1" applyFill="1" applyBorder="1" applyAlignment="1">
      <alignment horizontal="left" vertical="center"/>
    </xf>
    <xf numFmtId="0" fontId="43" fillId="0" borderId="0" xfId="0" applyFont="1"/>
    <xf numFmtId="0" fontId="43" fillId="0" borderId="0" xfId="0" applyFont="1" applyAlignment="1">
      <alignment horizontal="left" vertical="center"/>
    </xf>
    <xf numFmtId="0" fontId="7" fillId="0" borderId="0" xfId="0" applyFont="1" applyAlignment="1">
      <alignment horizontal="left" vertical="center"/>
    </xf>
    <xf numFmtId="0" fontId="44" fillId="8" borderId="1" xfId="0" applyFont="1" applyFill="1" applyBorder="1" applyAlignment="1">
      <alignment horizontal="center" vertical="center"/>
    </xf>
    <xf numFmtId="170" fontId="44" fillId="8"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165" fontId="44" fillId="8" borderId="1" xfId="0" applyNumberFormat="1" applyFont="1" applyFill="1" applyBorder="1" applyAlignment="1">
      <alignment horizontal="center" vertical="center"/>
    </xf>
    <xf numFmtId="16" fontId="29" fillId="0" borderId="0" xfId="0" applyNumberFormat="1" applyFont="1" applyAlignment="1">
      <alignment horizontal="center"/>
    </xf>
    <xf numFmtId="18" fontId="29" fillId="0" borderId="0" xfId="0" applyNumberFormat="1" applyFont="1"/>
    <xf numFmtId="170" fontId="29" fillId="0" borderId="0" xfId="0" applyNumberFormat="1" applyFont="1" applyAlignment="1">
      <alignment horizontal="center" vertical="center"/>
    </xf>
    <xf numFmtId="0" fontId="29" fillId="0" borderId="0" xfId="0" applyFont="1" applyAlignment="1">
      <alignment horizontal="center"/>
    </xf>
    <xf numFmtId="170" fontId="29" fillId="0" borderId="0" xfId="0" applyNumberFormat="1" applyFont="1"/>
    <xf numFmtId="0" fontId="45" fillId="3" borderId="1" xfId="0" applyFont="1" applyFill="1" applyBorder="1" applyAlignment="1">
      <alignment horizontal="center" vertical="top"/>
    </xf>
    <xf numFmtId="0" fontId="10" fillId="3" borderId="1" xfId="0" applyFont="1" applyFill="1" applyBorder="1" applyAlignment="1">
      <alignment horizontal="center" vertical="top"/>
    </xf>
    <xf numFmtId="0" fontId="28" fillId="3" borderId="1" xfId="0" applyFont="1" applyFill="1" applyBorder="1" applyAlignment="1">
      <alignment horizontal="center"/>
    </xf>
    <xf numFmtId="0" fontId="28" fillId="3" borderId="1" xfId="0" applyFont="1" applyFill="1" applyBorder="1" applyAlignment="1">
      <alignment horizontal="center" vertical="top"/>
    </xf>
    <xf numFmtId="0" fontId="6" fillId="34" borderId="69" xfId="0" applyFont="1" applyFill="1" applyBorder="1" applyAlignment="1">
      <alignment horizontal="center" vertical="center"/>
    </xf>
    <xf numFmtId="0" fontId="6" fillId="8" borderId="70" xfId="0" applyFont="1" applyFill="1" applyBorder="1" applyAlignment="1">
      <alignment horizontal="center" vertical="center"/>
    </xf>
    <xf numFmtId="0" fontId="6" fillId="35" borderId="71" xfId="0" applyFont="1" applyFill="1" applyBorder="1" applyAlignment="1">
      <alignment horizontal="center" vertical="center"/>
    </xf>
    <xf numFmtId="0" fontId="47" fillId="8" borderId="72" xfId="0" applyFont="1" applyFill="1" applyBorder="1" applyAlignment="1">
      <alignment horizontal="center" vertical="center"/>
    </xf>
    <xf numFmtId="0" fontId="45" fillId="36" borderId="1" xfId="0" applyFont="1" applyFill="1" applyBorder="1" applyAlignment="1">
      <alignment horizontal="center" vertical="top"/>
    </xf>
    <xf numFmtId="0" fontId="10" fillId="36" borderId="1" xfId="0" applyFont="1" applyFill="1" applyBorder="1" applyAlignment="1">
      <alignment horizontal="center" vertical="top"/>
    </xf>
    <xf numFmtId="0" fontId="22" fillId="14" borderId="74" xfId="0" applyFont="1" applyFill="1" applyBorder="1" applyAlignment="1">
      <alignment horizontal="left" vertical="center"/>
    </xf>
    <xf numFmtId="0" fontId="47" fillId="8" borderId="75" xfId="0" applyFont="1" applyFill="1" applyBorder="1" applyAlignment="1">
      <alignment horizontal="center"/>
    </xf>
    <xf numFmtId="0" fontId="45" fillId="37" borderId="76" xfId="0" applyFont="1" applyFill="1" applyBorder="1" applyAlignment="1">
      <alignment horizontal="center" vertical="top"/>
    </xf>
    <xf numFmtId="0" fontId="45" fillId="37" borderId="77" xfId="0" applyFont="1" applyFill="1" applyBorder="1" applyAlignment="1">
      <alignment horizontal="center" vertical="top"/>
    </xf>
    <xf numFmtId="0" fontId="48" fillId="14" borderId="74" xfId="0" applyFont="1" applyFill="1" applyBorder="1" applyAlignment="1">
      <alignment horizontal="center" vertical="top"/>
    </xf>
    <xf numFmtId="0" fontId="47" fillId="8" borderId="78" xfId="0" applyFont="1" applyFill="1" applyBorder="1" applyAlignment="1">
      <alignment horizontal="center" vertical="center"/>
    </xf>
    <xf numFmtId="0" fontId="22" fillId="0" borderId="0" xfId="0" applyFont="1" applyAlignment="1">
      <alignment horizontal="left" vertical="center"/>
    </xf>
    <xf numFmtId="0" fontId="47" fillId="8" borderId="80" xfId="0" applyFont="1" applyFill="1" applyBorder="1" applyAlignment="1">
      <alignment horizontal="center"/>
    </xf>
    <xf numFmtId="0" fontId="45" fillId="37" borderId="81" xfId="0" applyFont="1" applyFill="1" applyBorder="1" applyAlignment="1">
      <alignment horizontal="center" vertical="top"/>
    </xf>
    <xf numFmtId="0" fontId="45" fillId="37" borderId="82" xfId="0" applyFont="1" applyFill="1" applyBorder="1" applyAlignment="1">
      <alignment horizontal="center" vertical="top"/>
    </xf>
    <xf numFmtId="0" fontId="48" fillId="3" borderId="1" xfId="0" applyFont="1" applyFill="1" applyBorder="1" applyAlignment="1">
      <alignment horizontal="center" vertical="top"/>
    </xf>
    <xf numFmtId="0" fontId="47" fillId="8" borderId="83" xfId="0" applyFont="1" applyFill="1" applyBorder="1" applyAlignment="1">
      <alignment horizontal="center" vertical="center"/>
    </xf>
    <xf numFmtId="0" fontId="22" fillId="14" borderId="1" xfId="0" applyFont="1" applyFill="1" applyBorder="1" applyAlignment="1">
      <alignment horizontal="left" vertical="center"/>
    </xf>
    <xf numFmtId="0" fontId="49" fillId="36" borderId="84" xfId="0" applyFont="1" applyFill="1" applyBorder="1" applyAlignment="1">
      <alignment horizontal="center" vertical="center"/>
    </xf>
    <xf numFmtId="0" fontId="47" fillId="8" borderId="85" xfId="0" applyFont="1" applyFill="1" applyBorder="1" applyAlignment="1">
      <alignment horizontal="center" vertical="center"/>
    </xf>
    <xf numFmtId="0" fontId="48" fillId="14" borderId="1" xfId="0" applyFont="1" applyFill="1" applyBorder="1" applyAlignment="1">
      <alignment horizontal="center" vertical="top"/>
    </xf>
    <xf numFmtId="0" fontId="47" fillId="8" borderId="86" xfId="0" applyFont="1" applyFill="1" applyBorder="1" applyAlignment="1">
      <alignment horizontal="center" vertical="center"/>
    </xf>
    <xf numFmtId="0" fontId="47" fillId="8" borderId="87" xfId="0" applyFont="1" applyFill="1" applyBorder="1" applyAlignment="1">
      <alignment horizontal="center"/>
    </xf>
    <xf numFmtId="0" fontId="9" fillId="37" borderId="1" xfId="0" applyFont="1" applyFill="1" applyBorder="1" applyAlignment="1">
      <alignment horizontal="center" vertical="top"/>
    </xf>
    <xf numFmtId="0" fontId="9" fillId="37" borderId="88" xfId="0" applyFont="1" applyFill="1" applyBorder="1" applyAlignment="1">
      <alignment horizontal="center" vertical="top"/>
    </xf>
    <xf numFmtId="0" fontId="48" fillId="3" borderId="89" xfId="0" applyFont="1" applyFill="1" applyBorder="1" applyAlignment="1">
      <alignment horizontal="center" vertical="top"/>
    </xf>
    <xf numFmtId="0" fontId="47" fillId="8" borderId="90" xfId="0" applyFont="1" applyFill="1" applyBorder="1" applyAlignment="1">
      <alignment horizontal="center" vertical="center"/>
    </xf>
    <xf numFmtId="0" fontId="22" fillId="36" borderId="92" xfId="0" applyFont="1" applyFill="1" applyBorder="1" applyAlignment="1">
      <alignment horizontal="left" vertical="center"/>
    </xf>
    <xf numFmtId="0" fontId="47" fillId="8" borderId="93" xfId="0" applyFont="1" applyFill="1" applyBorder="1" applyAlignment="1">
      <alignment horizontal="center"/>
    </xf>
    <xf numFmtId="0" fontId="45" fillId="37" borderId="94" xfId="0" applyFont="1" applyFill="1" applyBorder="1" applyAlignment="1">
      <alignment horizontal="center" vertical="top"/>
    </xf>
    <xf numFmtId="0" fontId="45" fillId="37" borderId="92" xfId="0" applyFont="1" applyFill="1" applyBorder="1" applyAlignment="1">
      <alignment horizontal="center" vertical="top"/>
    </xf>
    <xf numFmtId="0" fontId="28" fillId="37" borderId="95" xfId="0" applyFont="1" applyFill="1" applyBorder="1" applyAlignment="1">
      <alignment horizontal="center" vertical="top"/>
    </xf>
    <xf numFmtId="0" fontId="45" fillId="3" borderId="1" xfId="0" applyFont="1" applyFill="1" applyBorder="1" applyAlignment="1">
      <alignment horizontal="left" vertical="top"/>
    </xf>
    <xf numFmtId="0" fontId="47" fillId="8" borderId="96" xfId="0" applyFont="1" applyFill="1" applyBorder="1" applyAlignment="1">
      <alignment horizontal="center"/>
    </xf>
    <xf numFmtId="0" fontId="9" fillId="37" borderId="74" xfId="0" applyFont="1" applyFill="1" applyBorder="1" applyAlignment="1">
      <alignment vertical="top"/>
    </xf>
    <xf numFmtId="0" fontId="48" fillId="14" borderId="97" xfId="0" applyFont="1" applyFill="1" applyBorder="1" applyAlignment="1">
      <alignment horizontal="center" vertical="top"/>
    </xf>
    <xf numFmtId="0" fontId="47" fillId="8" borderId="98" xfId="0" applyFont="1" applyFill="1" applyBorder="1" applyAlignment="1">
      <alignment horizontal="center" vertical="center"/>
    </xf>
    <xf numFmtId="0" fontId="47" fillId="8" borderId="99" xfId="0" applyFont="1" applyFill="1" applyBorder="1" applyAlignment="1">
      <alignment horizontal="center"/>
    </xf>
    <xf numFmtId="0" fontId="9" fillId="37" borderId="1" xfId="0" applyFont="1" applyFill="1" applyBorder="1" applyAlignment="1">
      <alignment vertical="top"/>
    </xf>
    <xf numFmtId="0" fontId="48" fillId="3" borderId="100" xfId="0" applyFont="1" applyFill="1" applyBorder="1" applyAlignment="1">
      <alignment horizontal="center" vertical="top"/>
    </xf>
    <xf numFmtId="0" fontId="47" fillId="8" borderId="101" xfId="0" applyFont="1" applyFill="1" applyBorder="1" applyAlignment="1">
      <alignment horizontal="center" vertical="center"/>
    </xf>
    <xf numFmtId="0" fontId="49" fillId="36" borderId="102" xfId="0" applyFont="1" applyFill="1" applyBorder="1" applyAlignment="1">
      <alignment horizontal="center" vertical="center"/>
    </xf>
    <xf numFmtId="0" fontId="47" fillId="8" borderId="103" xfId="0" applyFont="1" applyFill="1" applyBorder="1" applyAlignment="1">
      <alignment horizontal="center" vertical="center"/>
    </xf>
    <xf numFmtId="0" fontId="48" fillId="14" borderId="100" xfId="0" applyFont="1" applyFill="1" applyBorder="1" applyAlignment="1">
      <alignment horizontal="center" vertical="top"/>
    </xf>
    <xf numFmtId="0" fontId="48" fillId="3" borderId="104" xfId="0" applyFont="1" applyFill="1" applyBorder="1" applyAlignment="1">
      <alignment horizontal="center" vertical="top"/>
    </xf>
    <xf numFmtId="0" fontId="22" fillId="14" borderId="92" xfId="0" applyFont="1" applyFill="1" applyBorder="1" applyAlignment="1">
      <alignment horizontal="left" vertical="center"/>
    </xf>
    <xf numFmtId="0" fontId="47" fillId="8" borderId="105" xfId="0" applyFont="1" applyFill="1" applyBorder="1" applyAlignment="1">
      <alignment horizontal="center"/>
    </xf>
    <xf numFmtId="0" fontId="9" fillId="37" borderId="92" xfId="0" applyFont="1" applyFill="1" applyBorder="1" applyAlignment="1">
      <alignment vertical="top"/>
    </xf>
    <xf numFmtId="0" fontId="45" fillId="37" borderId="92" xfId="0" applyFont="1" applyFill="1" applyBorder="1" applyAlignment="1">
      <alignment vertical="top"/>
    </xf>
    <xf numFmtId="0" fontId="28" fillId="37" borderId="95" xfId="0" applyFont="1" applyFill="1" applyBorder="1" applyAlignment="1">
      <alignment vertical="top"/>
    </xf>
    <xf numFmtId="0" fontId="9" fillId="37" borderId="74" xfId="0" applyFont="1" applyFill="1" applyBorder="1" applyAlignment="1">
      <alignment vertical="center"/>
    </xf>
    <xf numFmtId="0" fontId="28" fillId="37" borderId="107" xfId="0" applyFont="1" applyFill="1" applyBorder="1" applyAlignment="1">
      <alignment vertical="center"/>
    </xf>
    <xf numFmtId="0" fontId="22" fillId="0" borderId="109" xfId="0" applyFont="1" applyBorder="1" applyAlignment="1">
      <alignment horizontal="left" vertical="center"/>
    </xf>
    <xf numFmtId="0" fontId="22" fillId="36" borderId="116" xfId="0" applyFont="1" applyFill="1" applyBorder="1" applyAlignment="1">
      <alignment horizontal="left" vertical="center"/>
    </xf>
    <xf numFmtId="0" fontId="22" fillId="36" borderId="121" xfId="0" applyFont="1" applyFill="1" applyBorder="1" applyAlignment="1">
      <alignment horizontal="left" vertical="center"/>
    </xf>
    <xf numFmtId="0" fontId="47" fillId="8" borderId="122" xfId="0" applyFont="1" applyFill="1" applyBorder="1" applyAlignment="1">
      <alignment horizontal="center"/>
    </xf>
    <xf numFmtId="0" fontId="9" fillId="37" borderId="92" xfId="0" applyFont="1" applyFill="1" applyBorder="1" applyAlignment="1">
      <alignment vertical="center"/>
    </xf>
    <xf numFmtId="0" fontId="28" fillId="37" borderId="95" xfId="0" applyFont="1" applyFill="1" applyBorder="1" applyAlignment="1">
      <alignment vertical="center"/>
    </xf>
    <xf numFmtId="0" fontId="22" fillId="36" borderId="1" xfId="0" applyFont="1" applyFill="1" applyBorder="1" applyAlignment="1">
      <alignment horizontal="left" vertical="center"/>
    </xf>
    <xf numFmtId="0" fontId="22" fillId="0" borderId="131" xfId="0" applyFont="1" applyBorder="1" applyAlignment="1">
      <alignment horizontal="left" vertical="center"/>
    </xf>
    <xf numFmtId="0" fontId="47" fillId="8" borderId="136" xfId="0" applyFont="1" applyFill="1" applyBorder="1" applyAlignment="1">
      <alignment horizontal="center"/>
    </xf>
    <xf numFmtId="0" fontId="47" fillId="8" borderId="139" xfId="0" applyFont="1" applyFill="1" applyBorder="1" applyAlignment="1">
      <alignment horizontal="center"/>
    </xf>
    <xf numFmtId="0" fontId="18" fillId="36" borderId="116" xfId="0" applyFont="1" applyFill="1" applyBorder="1" applyAlignment="1">
      <alignment horizontal="left" vertical="center"/>
    </xf>
    <xf numFmtId="0" fontId="18" fillId="0" borderId="0" xfId="0" applyFont="1" applyAlignment="1">
      <alignment horizontal="left" vertical="center"/>
    </xf>
    <xf numFmtId="0" fontId="18" fillId="36" borderId="148" xfId="0" applyFont="1" applyFill="1" applyBorder="1" applyAlignment="1">
      <alignment horizontal="left" vertical="center"/>
    </xf>
    <xf numFmtId="0" fontId="47" fillId="8" borderId="149" xfId="0" applyFont="1" applyFill="1" applyBorder="1" applyAlignment="1">
      <alignment horizontal="center"/>
    </xf>
    <xf numFmtId="0" fontId="48" fillId="14" borderId="151" xfId="0" applyFont="1" applyFill="1" applyBorder="1" applyAlignment="1">
      <alignment horizontal="center" vertical="center"/>
    </xf>
    <xf numFmtId="0" fontId="18" fillId="0" borderId="131" xfId="0" applyFont="1" applyBorder="1" applyAlignment="1">
      <alignment horizontal="left" vertical="center"/>
    </xf>
    <xf numFmtId="0" fontId="48" fillId="3" borderId="92" xfId="0" applyFont="1" applyFill="1" applyBorder="1" applyAlignment="1">
      <alignment horizontal="center" vertical="top"/>
    </xf>
    <xf numFmtId="0" fontId="18" fillId="36" borderId="77" xfId="0" applyFont="1" applyFill="1" applyBorder="1" applyAlignment="1">
      <alignment horizontal="left" vertical="center"/>
    </xf>
    <xf numFmtId="0" fontId="18" fillId="0" borderId="157" xfId="0" applyFont="1" applyBorder="1" applyAlignment="1">
      <alignment horizontal="left" vertical="center"/>
    </xf>
    <xf numFmtId="0" fontId="6" fillId="8" borderId="160" xfId="0" applyFont="1" applyFill="1" applyBorder="1" applyAlignment="1">
      <alignment horizontal="left" vertical="center" wrapText="1"/>
    </xf>
    <xf numFmtId="0" fontId="18" fillId="36" borderId="161" xfId="0" applyFont="1" applyFill="1" applyBorder="1" applyAlignment="1">
      <alignment horizontal="left" vertical="center"/>
    </xf>
    <xf numFmtId="0" fontId="47" fillId="8" borderId="162" xfId="0" applyFont="1" applyFill="1" applyBorder="1" applyAlignment="1">
      <alignment horizontal="center"/>
    </xf>
    <xf numFmtId="0" fontId="49" fillId="36" borderId="163" xfId="0" applyFont="1" applyFill="1" applyBorder="1" applyAlignment="1">
      <alignment horizontal="center" vertical="center"/>
    </xf>
    <xf numFmtId="0" fontId="47" fillId="8" borderId="163" xfId="0" applyFont="1" applyFill="1" applyBorder="1" applyAlignment="1">
      <alignment horizontal="center" vertical="center"/>
    </xf>
    <xf numFmtId="0" fontId="48" fillId="3" borderId="163" xfId="0" applyFont="1" applyFill="1" applyBorder="1" applyAlignment="1">
      <alignment horizontal="center" vertical="center"/>
    </xf>
    <xf numFmtId="0" fontId="47" fillId="8" borderId="164" xfId="0" applyFont="1" applyFill="1" applyBorder="1" applyAlignment="1">
      <alignment horizontal="center" vertical="center"/>
    </xf>
    <xf numFmtId="0" fontId="10" fillId="0" borderId="0" xfId="0" applyFont="1" applyAlignment="1">
      <alignment wrapText="1"/>
    </xf>
    <xf numFmtId="0" fontId="45" fillId="0" borderId="0" xfId="0" applyFont="1" applyAlignment="1">
      <alignment horizontal="center" vertical="center"/>
    </xf>
    <xf numFmtId="0" fontId="52" fillId="0" borderId="0" xfId="0" applyFont="1" applyAlignment="1">
      <alignment horizontal="center"/>
    </xf>
    <xf numFmtId="0" fontId="52" fillId="0" borderId="0" xfId="0" applyFont="1"/>
    <xf numFmtId="0" fontId="29" fillId="3" borderId="1" xfId="0" applyFont="1" applyFill="1" applyBorder="1"/>
    <xf numFmtId="0" fontId="53" fillId="3" borderId="116" xfId="0" applyFont="1" applyFill="1" applyBorder="1" applyAlignment="1">
      <alignment horizontal="center" vertical="top"/>
    </xf>
    <xf numFmtId="0" fontId="7" fillId="11" borderId="1" xfId="0" applyFont="1" applyFill="1" applyBorder="1" applyAlignment="1">
      <alignment horizontal="center" vertical="center" wrapText="1"/>
    </xf>
    <xf numFmtId="20" fontId="29" fillId="13" borderId="1" xfId="0" applyNumberFormat="1" applyFont="1" applyFill="1" applyBorder="1"/>
    <xf numFmtId="0" fontId="55" fillId="0" borderId="10" xfId="0" applyFont="1" applyBorder="1"/>
    <xf numFmtId="0" fontId="55" fillId="0" borderId="13" xfId="0" applyFont="1" applyBorder="1"/>
    <xf numFmtId="0" fontId="56" fillId="0" borderId="8" xfId="0" applyFont="1" applyBorder="1" applyAlignment="1">
      <alignment horizontal="center" vertical="center" wrapText="1"/>
    </xf>
    <xf numFmtId="0" fontId="57" fillId="0" borderId="0" xfId="0" applyFont="1"/>
    <xf numFmtId="49" fontId="4" fillId="19" borderId="8" xfId="0" applyNumberFormat="1" applyFont="1" applyFill="1" applyBorder="1" applyAlignment="1">
      <alignment horizontal="center" vertical="center" wrapText="1"/>
    </xf>
    <xf numFmtId="49" fontId="58" fillId="14" borderId="8" xfId="0" applyNumberFormat="1" applyFont="1" applyFill="1" applyBorder="1" applyAlignment="1">
      <alignment horizontal="left" vertical="center"/>
    </xf>
    <xf numFmtId="49" fontId="58" fillId="14" borderId="8" xfId="0" applyNumberFormat="1" applyFont="1" applyFill="1" applyBorder="1" applyAlignment="1">
      <alignment horizontal="left" vertical="top" wrapText="1"/>
    </xf>
    <xf numFmtId="49" fontId="58" fillId="14" borderId="8" xfId="0" applyNumberFormat="1" applyFont="1" applyFill="1" applyBorder="1" applyAlignment="1">
      <alignment horizontal="left" vertical="center" wrapText="1"/>
    </xf>
    <xf numFmtId="49" fontId="59" fillId="14" borderId="8" xfId="0" applyNumberFormat="1" applyFont="1" applyFill="1" applyBorder="1" applyAlignment="1">
      <alignment wrapText="1"/>
    </xf>
    <xf numFmtId="49" fontId="58" fillId="14" borderId="8" xfId="0" applyNumberFormat="1" applyFont="1" applyFill="1" applyBorder="1" applyAlignment="1">
      <alignment vertical="top" wrapText="1"/>
    </xf>
    <xf numFmtId="0" fontId="58" fillId="14" borderId="8" xfId="0" applyFont="1" applyFill="1" applyBorder="1" applyAlignment="1">
      <alignment horizontal="left" vertical="center"/>
    </xf>
    <xf numFmtId="49" fontId="60" fillId="14" borderId="8" xfId="0" applyNumberFormat="1" applyFont="1" applyFill="1" applyBorder="1" applyAlignment="1">
      <alignment horizontal="left" vertical="top" wrapText="1"/>
    </xf>
    <xf numFmtId="49" fontId="32" fillId="14" borderId="8" xfId="0" applyNumberFormat="1" applyFont="1" applyFill="1" applyBorder="1" applyAlignment="1">
      <alignment horizontal="left" vertical="top" wrapText="1"/>
    </xf>
    <xf numFmtId="49" fontId="58" fillId="14" borderId="8" xfId="0" applyNumberFormat="1" applyFont="1" applyFill="1" applyBorder="1" applyAlignment="1">
      <alignment horizontal="left" vertical="top"/>
    </xf>
    <xf numFmtId="49" fontId="32" fillId="14" borderId="8" xfId="0" applyNumberFormat="1" applyFont="1" applyFill="1" applyBorder="1" applyAlignment="1">
      <alignment horizontal="left" vertical="top" wrapText="1" readingOrder="2"/>
    </xf>
    <xf numFmtId="49" fontId="61" fillId="14" borderId="8" xfId="0" applyNumberFormat="1" applyFont="1" applyFill="1" applyBorder="1" applyAlignment="1">
      <alignment wrapText="1"/>
    </xf>
    <xf numFmtId="49" fontId="32" fillId="14" borderId="8" xfId="0" applyNumberFormat="1" applyFont="1" applyFill="1" applyBorder="1" applyAlignment="1">
      <alignment horizontal="left" vertical="center" wrapText="1"/>
    </xf>
    <xf numFmtId="49" fontId="32" fillId="14" borderId="8" xfId="0" applyNumberFormat="1" applyFont="1" applyFill="1" applyBorder="1" applyAlignment="1">
      <alignment horizontal="left" vertical="center" wrapText="1" readingOrder="2"/>
    </xf>
    <xf numFmtId="49" fontId="58" fillId="14" borderId="8" xfId="0" applyNumberFormat="1" applyFont="1" applyFill="1" applyBorder="1" applyAlignment="1">
      <alignment horizontal="left" vertical="top" wrapText="1" readingOrder="2"/>
    </xf>
    <xf numFmtId="49" fontId="63" fillId="14" borderId="8" xfId="0" applyNumberFormat="1" applyFont="1" applyFill="1" applyBorder="1" applyAlignment="1">
      <alignment horizontal="left" vertical="top" wrapText="1"/>
    </xf>
    <xf numFmtId="0" fontId="32" fillId="14" borderId="60" xfId="0" applyFont="1" applyFill="1" applyBorder="1" applyAlignment="1">
      <alignment horizontal="left" vertical="center"/>
    </xf>
    <xf numFmtId="0" fontId="4" fillId="14" borderId="60" xfId="0" applyFont="1" applyFill="1" applyBorder="1" applyAlignment="1">
      <alignment horizontal="left" vertical="top"/>
    </xf>
    <xf numFmtId="0" fontId="32" fillId="14" borderId="60" xfId="0" applyFont="1" applyFill="1" applyBorder="1" applyAlignment="1">
      <alignment horizontal="left" vertical="top"/>
    </xf>
    <xf numFmtId="49" fontId="58" fillId="14" borderId="11" xfId="0" applyNumberFormat="1" applyFont="1" applyFill="1" applyBorder="1" applyAlignment="1">
      <alignment horizontal="left" vertical="top" wrapText="1"/>
    </xf>
    <xf numFmtId="0" fontId="59" fillId="0" borderId="61" xfId="0" applyFont="1" applyBorder="1"/>
    <xf numFmtId="49" fontId="58" fillId="14" borderId="33" xfId="0" applyNumberFormat="1" applyFont="1" applyFill="1" applyBorder="1" applyAlignment="1">
      <alignment horizontal="left" vertical="top" wrapText="1"/>
    </xf>
    <xf numFmtId="49" fontId="59" fillId="14" borderId="8" xfId="0" applyNumberFormat="1" applyFont="1" applyFill="1" applyBorder="1" applyAlignment="1">
      <alignment horizontal="left" vertical="top" wrapText="1"/>
    </xf>
    <xf numFmtId="49" fontId="59" fillId="14" borderId="35" xfId="0" applyNumberFormat="1" applyFont="1" applyFill="1" applyBorder="1" applyAlignment="1">
      <alignment horizontal="left" vertical="top" wrapText="1"/>
    </xf>
    <xf numFmtId="0" fontId="32" fillId="0" borderId="8" xfId="0" applyFont="1" applyBorder="1"/>
    <xf numFmtId="0" fontId="32" fillId="14" borderId="8" xfId="0" applyFont="1" applyFill="1" applyBorder="1" applyAlignment="1">
      <alignment horizontal="left" vertical="top"/>
    </xf>
    <xf numFmtId="49" fontId="58" fillId="14" borderId="1" xfId="0" applyNumberFormat="1" applyFont="1" applyFill="1" applyBorder="1" applyAlignment="1">
      <alignment horizontal="left" vertical="center"/>
    </xf>
    <xf numFmtId="49" fontId="58" fillId="14" borderId="1" xfId="0" applyNumberFormat="1" applyFont="1" applyFill="1" applyBorder="1" applyAlignment="1">
      <alignment horizontal="left" vertical="top" wrapText="1"/>
    </xf>
    <xf numFmtId="0" fontId="58" fillId="14" borderId="1" xfId="0" applyFont="1" applyFill="1" applyBorder="1" applyAlignment="1">
      <alignment horizontal="left" vertical="top" wrapText="1"/>
    </xf>
    <xf numFmtId="49" fontId="32" fillId="0" borderId="0" xfId="0" applyNumberFormat="1" applyFont="1"/>
    <xf numFmtId="0" fontId="32" fillId="14" borderId="60" xfId="0" applyFont="1" applyFill="1" applyBorder="1" applyAlignment="1">
      <alignment vertical="center"/>
    </xf>
    <xf numFmtId="0" fontId="32" fillId="0" borderId="60" xfId="0" applyFont="1" applyBorder="1"/>
    <xf numFmtId="0" fontId="32" fillId="14" borderId="59" xfId="0" applyFont="1" applyFill="1" applyBorder="1" applyAlignment="1">
      <alignment vertical="center"/>
    </xf>
    <xf numFmtId="0" fontId="32" fillId="0" borderId="59" xfId="0" applyFont="1" applyBorder="1"/>
    <xf numFmtId="49" fontId="59" fillId="14" borderId="8" xfId="0" applyNumberFormat="1" applyFont="1" applyFill="1" applyBorder="1" applyAlignment="1">
      <alignment horizontal="left" vertical="center"/>
    </xf>
    <xf numFmtId="0" fontId="4" fillId="0" borderId="0" xfId="0" applyFont="1"/>
    <xf numFmtId="49" fontId="15" fillId="7" borderId="8" xfId="0" applyNumberFormat="1" applyFont="1" applyFill="1" applyBorder="1" applyAlignment="1">
      <alignment horizontal="left" vertical="center"/>
    </xf>
    <xf numFmtId="49" fontId="15" fillId="7" borderId="8" xfId="0" applyNumberFormat="1" applyFont="1" applyFill="1" applyBorder="1" applyAlignment="1">
      <alignment horizontal="left" vertical="center" wrapText="1"/>
    </xf>
    <xf numFmtId="0" fontId="15" fillId="7" borderId="8" xfId="0" applyFont="1" applyFill="1" applyBorder="1" applyAlignment="1">
      <alignment horizontal="left" vertical="center"/>
    </xf>
    <xf numFmtId="49" fontId="15" fillId="14" borderId="8" xfId="0" applyNumberFormat="1" applyFont="1" applyFill="1" applyBorder="1" applyAlignment="1">
      <alignment horizontal="left" vertical="center"/>
    </xf>
    <xf numFmtId="49" fontId="15" fillId="12" borderId="8" xfId="0" applyNumberFormat="1" applyFont="1" applyFill="1" applyBorder="1" applyAlignment="1">
      <alignment horizontal="left" vertical="center"/>
    </xf>
    <xf numFmtId="49" fontId="15" fillId="12" borderId="8" xfId="0" applyNumberFormat="1" applyFont="1" applyFill="1" applyBorder="1" applyAlignment="1">
      <alignment horizontal="left" vertical="center" wrapText="1"/>
    </xf>
    <xf numFmtId="49" fontId="26" fillId="14" borderId="8" xfId="0" applyNumberFormat="1" applyFont="1" applyFill="1" applyBorder="1" applyAlignment="1">
      <alignment horizontal="left" vertical="center" wrapText="1"/>
    </xf>
    <xf numFmtId="49" fontId="15" fillId="11" borderId="8" xfId="0" applyNumberFormat="1" applyFont="1" applyFill="1" applyBorder="1" applyAlignment="1">
      <alignment horizontal="left" vertical="center"/>
    </xf>
    <xf numFmtId="49" fontId="15" fillId="11" borderId="8" xfId="0" applyNumberFormat="1" applyFont="1" applyFill="1" applyBorder="1" applyAlignment="1">
      <alignment horizontal="left" vertical="center" wrapText="1"/>
    </xf>
    <xf numFmtId="49" fontId="65" fillId="29" borderId="8" xfId="0" applyNumberFormat="1" applyFont="1" applyFill="1" applyBorder="1" applyAlignment="1">
      <alignment horizontal="left" vertical="center"/>
    </xf>
    <xf numFmtId="49" fontId="65" fillId="29" borderId="8" xfId="0" applyNumberFormat="1" applyFont="1" applyFill="1" applyBorder="1" applyAlignment="1">
      <alignment horizontal="left" vertical="top" wrapText="1"/>
    </xf>
    <xf numFmtId="49" fontId="65" fillId="29" borderId="8" xfId="0" applyNumberFormat="1" applyFont="1" applyFill="1" applyBorder="1" applyAlignment="1">
      <alignment vertical="top" wrapText="1"/>
    </xf>
    <xf numFmtId="49" fontId="15" fillId="14" borderId="8" xfId="0" applyNumberFormat="1" applyFont="1" applyFill="1" applyBorder="1" applyAlignment="1">
      <alignment horizontal="left" vertical="top" wrapText="1"/>
    </xf>
    <xf numFmtId="49" fontId="15" fillId="14" borderId="8" xfId="0" applyNumberFormat="1" applyFont="1" applyFill="1" applyBorder="1" applyAlignment="1">
      <alignment vertical="top" wrapText="1"/>
    </xf>
    <xf numFmtId="49" fontId="4" fillId="14" borderId="8" xfId="0" applyNumberFormat="1" applyFont="1" applyFill="1" applyBorder="1" applyAlignment="1">
      <alignment horizontal="left" vertical="top" wrapText="1"/>
    </xf>
    <xf numFmtId="0" fontId="15" fillId="3" borderId="9" xfId="0" applyFont="1" applyFill="1" applyBorder="1" applyAlignment="1">
      <alignment horizontal="center" vertical="center" wrapText="1"/>
    </xf>
    <xf numFmtId="0" fontId="3" fillId="0" borderId="13" xfId="0" applyFont="1" applyBorder="1"/>
    <xf numFmtId="0" fontId="15" fillId="14" borderId="9" xfId="0" applyFont="1" applyFill="1" applyBorder="1" applyAlignment="1">
      <alignment horizontal="center" vertical="center" wrapText="1"/>
    </xf>
    <xf numFmtId="0" fontId="20" fillId="0" borderId="9" xfId="0" quotePrefix="1" applyFont="1" applyBorder="1" applyAlignment="1">
      <alignment horizontal="center" vertical="center" wrapText="1"/>
    </xf>
    <xf numFmtId="0" fontId="4" fillId="13" borderId="9" xfId="0" applyFont="1" applyFill="1" applyBorder="1" applyAlignment="1">
      <alignment horizontal="center" vertical="center" wrapText="1"/>
    </xf>
    <xf numFmtId="0" fontId="15"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5" fillId="3" borderId="15" xfId="0" applyFont="1" applyFill="1" applyBorder="1" applyAlignment="1">
      <alignment horizontal="center" vertical="center" wrapText="1"/>
    </xf>
    <xf numFmtId="0" fontId="3" fillId="0" borderId="44" xfId="0" applyFont="1" applyBorder="1"/>
    <xf numFmtId="0" fontId="26" fillId="3" borderId="9" xfId="0" applyFont="1" applyFill="1" applyBorder="1" applyAlignment="1">
      <alignment horizontal="center" vertical="center" wrapText="1"/>
    </xf>
    <xf numFmtId="0" fontId="15" fillId="11" borderId="9" xfId="0" applyFont="1" applyFill="1" applyBorder="1" applyAlignment="1">
      <alignment horizontal="center" vertical="center" wrapText="1"/>
    </xf>
    <xf numFmtId="18" fontId="5" fillId="4" borderId="9" xfId="0" applyNumberFormat="1" applyFont="1" applyFill="1" applyBorder="1" applyAlignment="1">
      <alignment horizontal="left" vertical="center"/>
    </xf>
    <xf numFmtId="0" fontId="3" fillId="0" borderId="10" xfId="0" applyFont="1" applyBorder="1"/>
    <xf numFmtId="0" fontId="22" fillId="0" borderId="9" xfId="0" applyFont="1" applyBorder="1" applyAlignment="1">
      <alignment horizontal="center" vertical="center"/>
    </xf>
    <xf numFmtId="0" fontId="20" fillId="0" borderId="40" xfId="0" applyFont="1" applyBorder="1" applyAlignment="1">
      <alignment horizontal="center" vertical="center" wrapText="1"/>
    </xf>
    <xf numFmtId="0" fontId="3" fillId="0" borderId="41" xfId="0" applyFont="1" applyBorder="1"/>
    <xf numFmtId="0" fontId="4" fillId="0" borderId="37" xfId="0" applyFont="1" applyBorder="1" applyAlignment="1">
      <alignment horizontal="center" vertical="center"/>
    </xf>
    <xf numFmtId="0" fontId="3" fillId="0" borderId="38" xfId="0" applyFont="1" applyBorder="1"/>
    <xf numFmtId="0" fontId="4" fillId="16" borderId="9" xfId="0" applyFont="1" applyFill="1" applyBorder="1" applyAlignment="1">
      <alignment horizontal="center" vertical="center"/>
    </xf>
    <xf numFmtId="0" fontId="9" fillId="0" borderId="0" xfId="0" applyFont="1" applyAlignment="1">
      <alignment horizontal="center"/>
    </xf>
    <xf numFmtId="0" fontId="0" fillId="0" borderId="0" xfId="0"/>
    <xf numFmtId="0" fontId="12" fillId="5" borderId="15" xfId="0" applyFont="1" applyFill="1" applyBorder="1" applyAlignment="1">
      <alignment horizontal="center" vertical="center"/>
    </xf>
    <xf numFmtId="0" fontId="3" fillId="0" borderId="4" xfId="0" applyFont="1" applyBorder="1"/>
    <xf numFmtId="0" fontId="3" fillId="0" borderId="3" xfId="0" applyFont="1" applyBorder="1"/>
    <xf numFmtId="0" fontId="8" fillId="4" borderId="5" xfId="0" applyFont="1" applyFill="1" applyBorder="1" applyAlignment="1">
      <alignment horizontal="left"/>
    </xf>
    <xf numFmtId="0" fontId="3" fillId="0" borderId="6" xfId="0" applyFont="1" applyBorder="1"/>
    <xf numFmtId="0" fontId="3" fillId="0" borderId="7" xfId="0" applyFont="1" applyBorder="1"/>
    <xf numFmtId="14" fontId="7" fillId="0" borderId="9" xfId="0" applyNumberFormat="1" applyFont="1" applyBorder="1" applyAlignment="1">
      <alignment horizontal="center" vertical="center" wrapText="1"/>
    </xf>
    <xf numFmtId="18" fontId="8" fillId="4" borderId="9" xfId="0" applyNumberFormat="1" applyFont="1" applyFill="1" applyBorder="1" applyAlignment="1">
      <alignment horizontal="left" vertical="center"/>
    </xf>
    <xf numFmtId="0" fontId="5" fillId="5" borderId="14" xfId="0" applyFont="1" applyFill="1" applyBorder="1" applyAlignment="1">
      <alignment horizontal="center" vertical="center" wrapText="1" readingOrder="1"/>
    </xf>
    <xf numFmtId="0" fontId="3" fillId="0" borderId="21" xfId="0" applyFont="1" applyBorder="1"/>
    <xf numFmtId="0" fontId="3" fillId="0" borderId="23" xfId="0" applyFont="1" applyBorder="1"/>
    <xf numFmtId="0" fontId="4" fillId="3" borderId="9" xfId="0" applyFont="1" applyFill="1" applyBorder="1" applyAlignment="1">
      <alignment horizontal="center" vertical="top" wrapText="1"/>
    </xf>
    <xf numFmtId="0" fontId="7" fillId="0" borderId="22" xfId="0" applyFont="1" applyBorder="1" applyAlignment="1">
      <alignment horizontal="center" vertical="center" wrapText="1"/>
    </xf>
    <xf numFmtId="167" fontId="9" fillId="5" borderId="15" xfId="0" applyNumberFormat="1" applyFont="1" applyFill="1" applyBorder="1" applyAlignment="1">
      <alignment horizontal="center" vertical="center"/>
    </xf>
    <xf numFmtId="0" fontId="54" fillId="0" borderId="13" xfId="0" applyFont="1" applyBorder="1"/>
    <xf numFmtId="0" fontId="10" fillId="0" borderId="9" xfId="0" applyFont="1" applyBorder="1" applyAlignment="1">
      <alignment horizontal="center" vertical="top" wrapText="1"/>
    </xf>
    <xf numFmtId="0" fontId="54" fillId="0" borderId="13" xfId="0" applyFont="1" applyBorder="1" applyAlignment="1">
      <alignment horizontal="center"/>
    </xf>
    <xf numFmtId="0" fontId="10" fillId="0" borderId="9" xfId="0" applyFont="1" applyBorder="1" applyAlignment="1">
      <alignment horizontal="center" vertical="center" wrapText="1"/>
    </xf>
    <xf numFmtId="0" fontId="54" fillId="0" borderId="13" xfId="0" applyFont="1" applyBorder="1" applyAlignment="1">
      <alignment horizontal="center" vertical="center"/>
    </xf>
    <xf numFmtId="0" fontId="10" fillId="24" borderId="9" xfId="0" applyFont="1" applyFill="1" applyBorder="1" applyAlignment="1">
      <alignment horizontal="center" vertical="center" wrapText="1"/>
    </xf>
    <xf numFmtId="0" fontId="10" fillId="25" borderId="9" xfId="0" applyFont="1" applyFill="1" applyBorder="1" applyAlignment="1">
      <alignment horizontal="center" vertical="center" wrapText="1"/>
    </xf>
    <xf numFmtId="0" fontId="24" fillId="32" borderId="2" xfId="0" applyFont="1" applyFill="1" applyBorder="1" applyAlignment="1">
      <alignment horizontal="center" vertical="center"/>
    </xf>
    <xf numFmtId="0" fontId="54" fillId="0" borderId="3" xfId="0" applyFont="1" applyBorder="1"/>
    <xf numFmtId="0" fontId="54" fillId="0" borderId="4" xfId="0" applyFont="1" applyBorder="1"/>
    <xf numFmtId="0" fontId="5" fillId="8" borderId="2" xfId="0" applyFont="1" applyFill="1" applyBorder="1" applyAlignment="1">
      <alignment horizontal="center"/>
    </xf>
    <xf numFmtId="0" fontId="34" fillId="0" borderId="31" xfId="0" applyFont="1" applyBorder="1"/>
    <xf numFmtId="0" fontId="3" fillId="0" borderId="43" xfId="0" applyFont="1" applyBorder="1"/>
    <xf numFmtId="0" fontId="34" fillId="0" borderId="31" xfId="0" applyFont="1" applyBorder="1" applyAlignment="1">
      <alignment horizontal="center"/>
    </xf>
    <xf numFmtId="0" fontId="3" fillId="0" borderId="48" xfId="0" applyFont="1" applyBorder="1"/>
    <xf numFmtId="0" fontId="35" fillId="0" borderId="31" xfId="0" applyFont="1" applyBorder="1" applyAlignment="1">
      <alignment horizontal="center" wrapText="1"/>
    </xf>
    <xf numFmtId="0" fontId="35" fillId="0" borderId="31" xfId="0" applyFont="1" applyBorder="1"/>
    <xf numFmtId="0" fontId="36" fillId="0" borderId="31" xfId="0" applyFont="1" applyBorder="1" applyAlignment="1">
      <alignment horizontal="center" wrapText="1"/>
    </xf>
    <xf numFmtId="0" fontId="35" fillId="0" borderId="46" xfId="0" applyFont="1" applyBorder="1"/>
    <xf numFmtId="0" fontId="3" fillId="0" borderId="46" xfId="0" applyFont="1" applyBorder="1"/>
    <xf numFmtId="0" fontId="36" fillId="0" borderId="31" xfId="0" applyFont="1" applyBorder="1" applyAlignment="1">
      <alignment wrapText="1"/>
    </xf>
    <xf numFmtId="0" fontId="34" fillId="0" borderId="0" xfId="0" applyFont="1"/>
    <xf numFmtId="0" fontId="36" fillId="0" borderId="9" xfId="0" applyFont="1" applyBorder="1" applyAlignment="1">
      <alignment horizontal="center"/>
    </xf>
    <xf numFmtId="0" fontId="36" fillId="0" borderId="46" xfId="0" applyFont="1" applyBorder="1" applyAlignment="1">
      <alignment wrapText="1"/>
    </xf>
    <xf numFmtId="0" fontId="48" fillId="0" borderId="155" xfId="0" applyFont="1" applyBorder="1" applyAlignment="1">
      <alignment horizontal="center" vertical="center"/>
    </xf>
    <xf numFmtId="0" fontId="3" fillId="0" borderId="158" xfId="0" applyFont="1" applyBorder="1"/>
    <xf numFmtId="0" fontId="47" fillId="8" borderId="156" xfId="0" applyFont="1" applyFill="1" applyBorder="1" applyAlignment="1">
      <alignment horizontal="center" vertical="center"/>
    </xf>
    <xf numFmtId="0" fontId="3" fillId="0" borderId="159" xfId="0" applyFont="1" applyBorder="1"/>
    <xf numFmtId="0" fontId="47" fillId="8" borderId="124" xfId="0" applyFont="1" applyFill="1" applyBorder="1" applyAlignment="1">
      <alignment horizontal="center" vertical="center"/>
    </xf>
    <xf numFmtId="0" fontId="3" fillId="0" borderId="127" xfId="0" applyFont="1" applyBorder="1"/>
    <xf numFmtId="0" fontId="3" fillId="0" borderId="129" xfId="0" applyFont="1" applyBorder="1"/>
    <xf numFmtId="0" fontId="51" fillId="36" borderId="125" xfId="0" applyFont="1" applyFill="1" applyBorder="1" applyAlignment="1">
      <alignment horizontal="center" vertical="center"/>
    </xf>
    <xf numFmtId="0" fontId="3" fillId="0" borderId="79" xfId="0" applyFont="1" applyBorder="1"/>
    <xf numFmtId="0" fontId="3" fillId="0" borderId="130" xfId="0" applyFont="1" applyBorder="1"/>
    <xf numFmtId="0" fontId="47" fillId="8" borderId="137" xfId="0" applyFont="1" applyFill="1" applyBorder="1" applyAlignment="1">
      <alignment horizontal="center" vertical="center"/>
    </xf>
    <xf numFmtId="0" fontId="3" fillId="0" borderId="140" xfId="0" applyFont="1" applyBorder="1"/>
    <xf numFmtId="0" fontId="48" fillId="0" borderId="46" xfId="0" applyFont="1" applyBorder="1" applyAlignment="1">
      <alignment horizontal="center" vertical="center"/>
    </xf>
    <xf numFmtId="0" fontId="47" fillId="8" borderId="138" xfId="0" applyFont="1" applyFill="1" applyBorder="1" applyAlignment="1">
      <alignment horizontal="center" vertical="center"/>
    </xf>
    <xf numFmtId="0" fontId="3" fillId="0" borderId="141" xfId="0" applyFont="1" applyBorder="1"/>
    <xf numFmtId="0" fontId="47" fillId="8" borderId="152" xfId="0" applyFont="1" applyFill="1" applyBorder="1" applyAlignment="1">
      <alignment horizontal="center" vertical="center"/>
    </xf>
    <xf numFmtId="0" fontId="3" fillId="0" borderId="154" xfId="0" applyFont="1" applyBorder="1"/>
    <xf numFmtId="0" fontId="46" fillId="33" borderId="62" xfId="0" applyFont="1" applyFill="1" applyBorder="1" applyAlignment="1">
      <alignment horizontal="center" vertical="center"/>
    </xf>
    <xf numFmtId="0" fontId="3" fillId="0" borderId="63" xfId="0" applyFont="1" applyBorder="1"/>
    <xf numFmtId="0" fontId="3" fillId="0" borderId="67" xfId="0" applyFont="1" applyBorder="1"/>
    <xf numFmtId="0" fontId="3" fillId="0" borderId="68" xfId="0" applyFont="1" applyBorder="1"/>
    <xf numFmtId="0" fontId="46" fillId="5" borderId="64" xfId="0" applyFont="1" applyFill="1" applyBorder="1" applyAlignment="1">
      <alignment horizontal="center" vertical="center"/>
    </xf>
    <xf numFmtId="0" fontId="3" fillId="0" borderId="65" xfId="0" applyFont="1" applyBorder="1"/>
    <xf numFmtId="0" fontId="3" fillId="0" borderId="66" xfId="0" applyFont="1" applyBorder="1"/>
    <xf numFmtId="0" fontId="6" fillId="8" borderId="73" xfId="0" applyFont="1" applyFill="1" applyBorder="1" applyAlignment="1">
      <alignment horizontal="center" vertical="center" wrapText="1"/>
    </xf>
    <xf numFmtId="0" fontId="3" fillId="0" borderId="91" xfId="0" applyFont="1" applyBorder="1"/>
    <xf numFmtId="0" fontId="6" fillId="8" borderId="106" xfId="0" applyFont="1" applyFill="1" applyBorder="1" applyAlignment="1">
      <alignment horizontal="center" vertical="center" wrapText="1"/>
    </xf>
    <xf numFmtId="0" fontId="3" fillId="0" borderId="108" xfId="0" applyFont="1" applyBorder="1"/>
    <xf numFmtId="0" fontId="3" fillId="0" borderId="120" xfId="0" applyFont="1" applyBorder="1"/>
    <xf numFmtId="0" fontId="47" fillId="8" borderId="111" xfId="0" applyFont="1" applyFill="1" applyBorder="1" applyAlignment="1">
      <alignment horizontal="center" vertical="center"/>
    </xf>
    <xf numFmtId="0" fontId="3" fillId="0" borderId="114" xfId="0" applyFont="1" applyBorder="1"/>
    <xf numFmtId="0" fontId="3" fillId="0" borderId="118" xfId="0" applyFont="1" applyBorder="1"/>
    <xf numFmtId="0" fontId="49" fillId="36" borderId="137" xfId="0" applyFont="1" applyFill="1" applyBorder="1" applyAlignment="1">
      <alignment horizontal="center" vertical="center"/>
    </xf>
    <xf numFmtId="0" fontId="49" fillId="36" borderId="155" xfId="0" applyFont="1" applyFill="1" applyBorder="1" applyAlignment="1">
      <alignment horizontal="center" vertical="center"/>
    </xf>
    <xf numFmtId="0" fontId="6" fillId="33" borderId="132" xfId="0" applyFont="1" applyFill="1" applyBorder="1" applyAlignment="1">
      <alignment horizontal="center" vertical="center"/>
    </xf>
    <xf numFmtId="0" fontId="3" fillId="0" borderId="133" xfId="0" applyFont="1" applyBorder="1"/>
    <xf numFmtId="0" fontId="6" fillId="5" borderId="132" xfId="0" applyFont="1" applyFill="1" applyBorder="1" applyAlignment="1">
      <alignment horizontal="center" vertical="center"/>
    </xf>
    <xf numFmtId="0" fontId="3" fillId="0" borderId="134" xfId="0" applyFont="1" applyBorder="1"/>
    <xf numFmtId="0" fontId="3" fillId="0" borderId="135" xfId="0" applyFont="1" applyBorder="1"/>
    <xf numFmtId="0" fontId="6" fillId="33" borderId="142" xfId="0" applyFont="1" applyFill="1" applyBorder="1" applyAlignment="1">
      <alignment horizontal="center" vertical="center"/>
    </xf>
    <xf numFmtId="0" fontId="3" fillId="0" borderId="143" xfId="0" applyFont="1" applyBorder="1"/>
    <xf numFmtId="0" fontId="6" fillId="5" borderId="144" xfId="0" applyFont="1" applyFill="1" applyBorder="1" applyAlignment="1">
      <alignment horizontal="center" vertical="center"/>
    </xf>
    <xf numFmtId="0" fontId="3" fillId="0" borderId="145" xfId="0" applyFont="1" applyBorder="1"/>
    <xf numFmtId="0" fontId="3" fillId="0" borderId="146" xfId="0" applyFont="1" applyBorder="1"/>
    <xf numFmtId="0" fontId="47" fillId="8" borderId="112" xfId="0" applyFont="1" applyFill="1" applyBorder="1" applyAlignment="1">
      <alignment horizontal="center" vertical="center"/>
    </xf>
    <xf numFmtId="0" fontId="3" fillId="0" borderId="115" xfId="0" applyFont="1" applyBorder="1"/>
    <xf numFmtId="0" fontId="3" fillId="0" borderId="119" xfId="0" applyFont="1" applyBorder="1"/>
    <xf numFmtId="0" fontId="47" fillId="8" borderId="147" xfId="0" applyFont="1" applyFill="1" applyBorder="1" applyAlignment="1">
      <alignment horizontal="center" vertical="center"/>
    </xf>
    <xf numFmtId="0" fontId="47" fillId="8" borderId="150" xfId="0" applyFont="1" applyFill="1" applyBorder="1" applyAlignment="1">
      <alignment horizontal="center" vertical="center"/>
    </xf>
    <xf numFmtId="0" fontId="3" fillId="0" borderId="153" xfId="0" applyFont="1" applyBorder="1"/>
    <xf numFmtId="0" fontId="47" fillId="8" borderId="155" xfId="0" applyFont="1" applyFill="1" applyBorder="1" applyAlignment="1">
      <alignment horizontal="center" vertical="center"/>
    </xf>
    <xf numFmtId="0" fontId="51" fillId="36" borderId="110" xfId="0" applyFont="1" applyFill="1" applyBorder="1" applyAlignment="1">
      <alignment horizontal="center" vertical="center"/>
    </xf>
    <xf numFmtId="0" fontId="3" fillId="0" borderId="113" xfId="0" applyFont="1" applyBorder="1"/>
    <xf numFmtId="0" fontId="3" fillId="0" borderId="117" xfId="0" applyFont="1" applyBorder="1"/>
    <xf numFmtId="0" fontId="50" fillId="36" borderId="110" xfId="0" applyFont="1" applyFill="1" applyBorder="1" applyAlignment="1">
      <alignment horizontal="center" vertical="center"/>
    </xf>
    <xf numFmtId="0" fontId="50" fillId="36" borderId="123" xfId="0" applyFont="1" applyFill="1" applyBorder="1" applyAlignment="1">
      <alignment horizontal="center" vertical="center"/>
    </xf>
    <xf numFmtId="0" fontId="3" fillId="0" borderId="126" xfId="0" applyFont="1" applyBorder="1"/>
    <xf numFmtId="0" fontId="3" fillId="0" borderId="128" xfId="0" applyFont="1" applyBorder="1"/>
    <xf numFmtId="0" fontId="4" fillId="0" borderId="32"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5" fillId="39" borderId="8" xfId="0" applyFont="1" applyFill="1" applyBorder="1" applyAlignment="1">
      <alignment horizontal="center" vertical="center" wrapText="1"/>
    </xf>
    <xf numFmtId="1" fontId="66" fillId="38" borderId="1" xfId="0" applyNumberFormat="1" applyFont="1" applyFill="1" applyBorder="1" applyAlignment="1">
      <alignment horizontal="left" vertical="top"/>
    </xf>
    <xf numFmtId="1" fontId="67" fillId="38" borderId="1" xfId="0" applyNumberFormat="1" applyFont="1" applyFill="1" applyBorder="1" applyAlignment="1">
      <alignment horizontal="center" vertical="top" wrapText="1"/>
    </xf>
    <xf numFmtId="1" fontId="67" fillId="38" borderId="1" xfId="0" applyNumberFormat="1" applyFont="1" applyFill="1" applyBorder="1" applyAlignment="1">
      <alignment horizontal="center" vertical="top"/>
    </xf>
    <xf numFmtId="1" fontId="67" fillId="38" borderId="1" xfId="0" applyNumberFormat="1" applyFont="1" applyFill="1" applyBorder="1" applyAlignment="1">
      <alignment horizontal="right" vertical="center" wrapText="1"/>
    </xf>
    <xf numFmtId="164" fontId="67" fillId="38" borderId="2" xfId="0" applyNumberFormat="1" applyFont="1" applyFill="1" applyBorder="1" applyAlignment="1">
      <alignment horizontal="left" vertical="center" wrapText="1"/>
    </xf>
    <xf numFmtId="0" fontId="27" fillId="40" borderId="3" xfId="0" applyFont="1" applyFill="1" applyBorder="1"/>
    <xf numFmtId="0" fontId="27" fillId="40" borderId="4" xfId="0" applyFont="1" applyFill="1" applyBorder="1"/>
    <xf numFmtId="0" fontId="22" fillId="38" borderId="1" xfId="0" applyFont="1" applyFill="1" applyBorder="1" applyAlignment="1">
      <alignment horizontal="center" vertical="center"/>
    </xf>
  </cellXfs>
  <cellStyles count="1">
    <cellStyle name="Normal" xfId="0" builtinId="0"/>
  </cellStyles>
  <dxfs count="1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solid">
          <fgColor rgb="FFF4B083"/>
          <bgColor rgb="FFF4B083"/>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ill>
        <patternFill patternType="solid">
          <fgColor rgb="FFFFD965"/>
          <bgColor rgb="FFFFD965"/>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theme="1"/>
      </font>
      <fill>
        <patternFill patternType="solid">
          <fgColor rgb="FFF4B083"/>
          <bgColor rgb="FFF4B08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117</xdr:row>
      <xdr:rowOff>0</xdr:rowOff>
    </xdr:from>
    <xdr:ext cx="1790700" cy="742950"/>
    <xdr:sp macro="" textlink="">
      <xdr:nvSpPr>
        <xdr:cNvPr id="3" name="Shape 3">
          <a:extLst>
            <a:ext uri="{FF2B5EF4-FFF2-40B4-BE49-F238E27FC236}">
              <a16:creationId xmlns:a16="http://schemas.microsoft.com/office/drawing/2014/main" id="{00000000-0008-0000-0000-000003000000}"/>
            </a:ext>
          </a:extLst>
        </xdr:cNvPr>
        <xdr:cNvSpPr/>
      </xdr:nvSpPr>
      <xdr:spPr>
        <a:xfrm>
          <a:off x="4455413" y="3413288"/>
          <a:ext cx="1781175" cy="733425"/>
        </a:xfrm>
        <a:prstGeom prst="rect">
          <a:avLst/>
        </a:prstGeom>
        <a:solidFill>
          <a:srgbClr val="385623"/>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400" b="1" cap="none">
              <a:solidFill>
                <a:schemeClr val="lt1"/>
              </a:solidFill>
              <a:latin typeface="Calibri"/>
              <a:ea typeface="Calibri"/>
              <a:cs typeface="Calibri"/>
              <a:sym typeface="Calibri"/>
            </a:rPr>
            <a:t>2nd Match</a:t>
          </a:r>
          <a:endParaRPr sz="1600">
            <a:solidFill>
              <a:schemeClr val="lt1"/>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016"/>
  <sheetViews>
    <sheetView showGridLines="0" tabSelected="1" zoomScaleNormal="100" workbookViewId="0">
      <pane xSplit="2" ySplit="15" topLeftCell="C16" activePane="bottomRight" state="frozen"/>
      <selection pane="topRight" activeCell="C1" sqref="C1"/>
      <selection pane="bottomLeft" activeCell="A16" sqref="A16"/>
      <selection pane="bottomRight" activeCell="G19" sqref="G19"/>
    </sheetView>
  </sheetViews>
  <sheetFormatPr baseColWidth="10" defaultColWidth="11.1640625" defaultRowHeight="15" customHeight="1" outlineLevelRow="1" outlineLevelCol="1" x14ac:dyDescent="0.2"/>
  <cols>
    <col min="1" max="1" width="8.5" customWidth="1"/>
    <col min="2" max="2" width="14.33203125" customWidth="1"/>
    <col min="3" max="3" width="15.6640625" customWidth="1" collapsed="1"/>
    <col min="4" max="4" width="8.33203125" hidden="1" customWidth="1" outlineLevel="1"/>
    <col min="5" max="5" width="8.6640625" hidden="1" customWidth="1" outlineLevel="1"/>
    <col min="6" max="6" width="17" customWidth="1"/>
    <col min="7" max="7" width="57.5" customWidth="1"/>
    <col min="8" max="10" width="21.6640625" customWidth="1"/>
    <col min="11" max="11" width="106.1640625" customWidth="1"/>
    <col min="12" max="12" width="93" customWidth="1"/>
    <col min="13" max="27" width="11.1640625" customWidth="1"/>
  </cols>
  <sheetData>
    <row r="1" spans="1:12" ht="25.5" customHeight="1" x14ac:dyDescent="0.2">
      <c r="A1" s="673" t="s">
        <v>0</v>
      </c>
      <c r="B1" s="674"/>
      <c r="C1" s="674"/>
      <c r="D1" s="674"/>
      <c r="E1" s="674"/>
      <c r="F1" s="675"/>
      <c r="G1" s="676"/>
      <c r="H1" s="677">
        <f>VLOOKUP(C4,'Match Database '!$A:$G,2,FALSE)</f>
        <v>45739</v>
      </c>
      <c r="I1" s="678"/>
      <c r="J1" s="678"/>
      <c r="K1" s="679"/>
      <c r="L1" s="680" t="s">
        <v>1087</v>
      </c>
    </row>
    <row r="2" spans="1:12" ht="13.5" customHeight="1" x14ac:dyDescent="0.2">
      <c r="A2" s="1"/>
      <c r="B2" s="2"/>
      <c r="C2" s="2"/>
      <c r="D2" s="2"/>
      <c r="E2" s="2"/>
      <c r="F2" s="3"/>
      <c r="G2" s="4"/>
      <c r="H2" s="5"/>
      <c r="I2" s="5"/>
      <c r="J2" s="5"/>
      <c r="K2" s="6"/>
      <c r="L2" s="6"/>
    </row>
    <row r="3" spans="1:12" ht="13.5" customHeight="1" x14ac:dyDescent="0.2">
      <c r="A3" s="7"/>
      <c r="B3" s="7"/>
      <c r="C3" s="8" t="s">
        <v>1</v>
      </c>
      <c r="D3" s="9"/>
      <c r="E3" s="9"/>
      <c r="F3" s="8" t="s">
        <v>2</v>
      </c>
      <c r="G3" s="10" t="s">
        <v>3</v>
      </c>
      <c r="H3" s="577" t="s">
        <v>4</v>
      </c>
      <c r="I3" s="578"/>
      <c r="J3" s="578"/>
      <c r="K3" s="579"/>
      <c r="L3" s="11"/>
    </row>
    <row r="4" spans="1:12" ht="13.5" customHeight="1" x14ac:dyDescent="0.2">
      <c r="A4" s="7"/>
      <c r="B4" s="7"/>
      <c r="C4" s="12" t="s">
        <v>5</v>
      </c>
      <c r="D4" s="13"/>
      <c r="E4" s="14" t="s">
        <v>6</v>
      </c>
      <c r="F4" s="15" t="str">
        <f>VLOOKUP(C4,'Match Database '!$A:$G,6,FALSE)</f>
        <v>🇨🇦Canada (CAN)</v>
      </c>
      <c r="G4" s="16" t="str">
        <f>VLOOKUP(C4,'Match Database '!$A:$G,7,FALSE)</f>
        <v>🇺🇸 USA (USA)</v>
      </c>
      <c r="H4" s="580" t="str">
        <f>VLOOKUP(C4,'Match Database '!$A:$G,5,FALSE)</f>
        <v>SOFI</v>
      </c>
      <c r="I4" s="565"/>
      <c r="J4" s="17"/>
      <c r="K4" s="18"/>
      <c r="L4" s="11"/>
    </row>
    <row r="5" spans="1:12" ht="13.5" customHeight="1" x14ac:dyDescent="0.2">
      <c r="A5" s="7"/>
      <c r="B5" s="7"/>
      <c r="C5" s="19" t="s">
        <v>7</v>
      </c>
      <c r="D5" s="20">
        <f>B72</f>
        <v>0.62500000000000144</v>
      </c>
      <c r="E5" s="7"/>
      <c r="F5" s="21">
        <f>VLOOKUP(C4,'Match Database '!$A:$G,4,FALSE)</f>
        <v>0.625</v>
      </c>
      <c r="G5" s="22" t="s">
        <v>8</v>
      </c>
      <c r="H5" s="581">
        <f>VLOOKUP(C4,'Match Database '!$A:$G,3,FALSE)</f>
        <v>0.58333333333333337</v>
      </c>
      <c r="I5" s="565"/>
      <c r="J5" s="565"/>
      <c r="K5" s="554"/>
      <c r="L5" s="11"/>
    </row>
    <row r="6" spans="1:12" ht="13.5" customHeight="1" collapsed="1" x14ac:dyDescent="0.2">
      <c r="A6" s="23"/>
      <c r="B6" s="23"/>
      <c r="C6" s="24"/>
      <c r="D6" s="23"/>
      <c r="E6" s="23"/>
      <c r="F6" s="25"/>
      <c r="G6" s="26"/>
      <c r="H6" s="27"/>
      <c r="I6" s="27"/>
      <c r="J6" s="27"/>
      <c r="K6" s="28"/>
      <c r="L6" s="29"/>
    </row>
    <row r="7" spans="1:12" ht="13.5" hidden="1" customHeight="1" outlineLevel="1" x14ac:dyDescent="0.2">
      <c r="A7" s="572" t="s">
        <v>9</v>
      </c>
      <c r="B7" s="573"/>
      <c r="C7" s="573"/>
      <c r="D7" s="573"/>
      <c r="E7" s="23"/>
      <c r="F7" s="25"/>
      <c r="G7" s="26"/>
      <c r="H7" s="27"/>
      <c r="I7" s="27"/>
      <c r="J7" s="27"/>
      <c r="K7" s="28"/>
      <c r="L7" s="29"/>
    </row>
    <row r="8" spans="1:12" ht="13.5" hidden="1" customHeight="1" outlineLevel="1" x14ac:dyDescent="0.2">
      <c r="A8" s="572" t="s">
        <v>10</v>
      </c>
      <c r="B8" s="573"/>
      <c r="C8" s="573"/>
      <c r="D8" s="573"/>
      <c r="E8" s="23"/>
      <c r="F8" s="25"/>
      <c r="G8" s="26"/>
      <c r="H8" s="27"/>
      <c r="I8" s="27"/>
      <c r="J8" s="27"/>
      <c r="K8" s="28"/>
      <c r="L8" s="29"/>
    </row>
    <row r="9" spans="1:12" ht="13.5" hidden="1" customHeight="1" outlineLevel="1" x14ac:dyDescent="0.2">
      <c r="A9" s="572" t="s">
        <v>11</v>
      </c>
      <c r="B9" s="573"/>
      <c r="C9" s="573"/>
      <c r="D9" s="573"/>
      <c r="E9" s="23"/>
      <c r="F9" s="25"/>
      <c r="G9" s="26"/>
      <c r="H9" s="27"/>
      <c r="I9" s="27"/>
      <c r="J9" s="27"/>
      <c r="K9" s="28"/>
      <c r="L9" s="29"/>
    </row>
    <row r="10" spans="1:12" ht="13.5" hidden="1" customHeight="1" outlineLevel="1" x14ac:dyDescent="0.2">
      <c r="A10" s="30"/>
      <c r="B10" s="30"/>
      <c r="C10" s="7"/>
      <c r="D10" s="31" t="str">
        <f>IF($F$5-$B$72&gt;=0,TEXT(ABS($F$5-$B$72),"-mm:ss"),TEXT(ABS($F$5-$B$72),"+mm:ss"))</f>
        <v>+00:00</v>
      </c>
      <c r="E10" s="7"/>
      <c r="F10" s="7"/>
      <c r="G10" s="7"/>
      <c r="H10" s="32" t="s">
        <v>12</v>
      </c>
      <c r="I10" s="32"/>
      <c r="J10" s="32"/>
      <c r="K10" s="33"/>
      <c r="L10" s="33"/>
    </row>
    <row r="11" spans="1:12" ht="13.5" hidden="1" customHeight="1" outlineLevel="1" x14ac:dyDescent="0.2">
      <c r="A11" s="582" t="s">
        <v>13</v>
      </c>
      <c r="B11" s="34" t="s">
        <v>1</v>
      </c>
      <c r="C11" s="34" t="s">
        <v>2</v>
      </c>
      <c r="D11" s="574" t="s">
        <v>3</v>
      </c>
      <c r="E11" s="575"/>
      <c r="F11" s="35"/>
      <c r="G11" s="36" t="s">
        <v>14</v>
      </c>
      <c r="H11" s="37" t="s">
        <v>15</v>
      </c>
      <c r="I11" s="38" t="s">
        <v>16</v>
      </c>
      <c r="J11" s="38" t="s">
        <v>17</v>
      </c>
      <c r="K11" s="39" t="s">
        <v>18</v>
      </c>
      <c r="L11" s="40" t="s">
        <v>19</v>
      </c>
    </row>
    <row r="12" spans="1:12" ht="13.5" hidden="1" customHeight="1" outlineLevel="1" x14ac:dyDescent="0.2">
      <c r="A12" s="583"/>
      <c r="B12" s="41" t="s">
        <v>20</v>
      </c>
      <c r="C12" s="15" t="str">
        <f>VLOOKUP(B12,'Match Database '!$A:$G,6,FALSE)</f>
        <v>🇲🇽 Mexico (MEX)</v>
      </c>
      <c r="D12" s="586" t="str">
        <f>VLOOKUP(B12,'Match Database '!$A:$G,7,FALSE)</f>
        <v>🇵🇦 Panama (PAN)</v>
      </c>
      <c r="E12" s="573"/>
      <c r="F12" s="42" t="s">
        <v>21</v>
      </c>
      <c r="G12" s="43" t="s">
        <v>22</v>
      </c>
      <c r="H12" s="15" t="str">
        <f>VLOOKUP(G12,'Digital Content'!$C:$L,6,0)</f>
        <v>x</v>
      </c>
      <c r="I12" s="15" t="str">
        <f>VLOOKUP(G12,'Digital Content'!$C:$L,7,0)</f>
        <v>x</v>
      </c>
      <c r="J12" s="15">
        <f>VLOOKUP(G12,'Digital Content'!$C:$L,8,0)</f>
        <v>0</v>
      </c>
      <c r="K12" s="33" t="str">
        <f>VLOOKUP(G12,'Digital Content'!$C:$L,9,0)</f>
        <v>x</v>
      </c>
      <c r="L12" s="33" t="str">
        <f>VLOOKUP(G12,'Digital Content'!$C:$L,10,0)</f>
        <v>x</v>
      </c>
    </row>
    <row r="13" spans="1:12" ht="13.5" hidden="1" customHeight="1" outlineLevel="1" x14ac:dyDescent="0.2">
      <c r="A13" s="584"/>
      <c r="B13" s="44" t="s">
        <v>7</v>
      </c>
      <c r="C13" s="45">
        <f>VLOOKUP(B12,'Match Database '!$A:$G,4,FALSE)</f>
        <v>0.77083333333333337</v>
      </c>
      <c r="D13" s="587"/>
      <c r="E13" s="575"/>
      <c r="F13" s="46" t="s">
        <v>23</v>
      </c>
      <c r="G13" s="47" t="s">
        <v>24</v>
      </c>
      <c r="H13" s="48" t="e">
        <f>VLOOKUP(G13,Sponsors!$A:$H,3,0)</f>
        <v>#N/A</v>
      </c>
      <c r="I13" s="48" t="e">
        <f>VLOOKUP(G13,Sponsors!$A:$H,4,0)</f>
        <v>#N/A</v>
      </c>
      <c r="J13" s="48" t="e">
        <f>VLOOKUP(G13,Sponsors!$A:$H,5,0)</f>
        <v>#N/A</v>
      </c>
      <c r="K13" s="585" t="e">
        <f>VLOOKUP(G13,Sponsors!$A:$H,7,0)</f>
        <v>#N/A</v>
      </c>
      <c r="L13" s="554"/>
    </row>
    <row r="14" spans="1:12" ht="13.5" hidden="1" customHeight="1" outlineLevel="1" x14ac:dyDescent="0.2">
      <c r="A14" s="49"/>
      <c r="B14" s="49"/>
      <c r="C14" s="50" t="str">
        <f>IF($C$13-$B$207&gt;=0,TEXT(ABS($C$13-$B$207),"-mm:ss"),TEXT(ABS($C$13-$B$207),"+mm:ss"))</f>
        <v>+00:00</v>
      </c>
      <c r="D14" s="13">
        <f>D119</f>
        <v>0</v>
      </c>
      <c r="E14" s="14" t="s">
        <v>6</v>
      </c>
      <c r="F14" s="7"/>
      <c r="G14" s="50"/>
      <c r="H14" s="46" t="s">
        <v>25</v>
      </c>
      <c r="I14" s="15" t="s">
        <v>26</v>
      </c>
      <c r="J14" s="15" t="s">
        <v>27</v>
      </c>
      <c r="K14" s="33"/>
      <c r="L14" s="33"/>
    </row>
    <row r="15" spans="1:12" ht="13.5" customHeight="1" x14ac:dyDescent="0.2">
      <c r="A15" s="51" t="s">
        <v>28</v>
      </c>
      <c r="B15" s="52" t="s">
        <v>29</v>
      </c>
      <c r="C15" s="52" t="s">
        <v>30</v>
      </c>
      <c r="D15" s="53" t="s">
        <v>31</v>
      </c>
      <c r="E15" s="53" t="s">
        <v>32</v>
      </c>
      <c r="F15" s="54" t="s">
        <v>33</v>
      </c>
      <c r="G15" s="55" t="s">
        <v>14</v>
      </c>
      <c r="H15" s="56" t="s">
        <v>15</v>
      </c>
      <c r="I15" s="57" t="s">
        <v>16</v>
      </c>
      <c r="J15" s="57" t="s">
        <v>17</v>
      </c>
      <c r="K15" s="58" t="s">
        <v>18</v>
      </c>
      <c r="L15" s="58" t="s">
        <v>19</v>
      </c>
    </row>
    <row r="16" spans="1:12" ht="22.5" customHeight="1" x14ac:dyDescent="0.2">
      <c r="A16" s="59">
        <v>1</v>
      </c>
      <c r="B16" s="60">
        <f>$H$5</f>
        <v>0.58333333333333337</v>
      </c>
      <c r="C16" s="61">
        <f>$F$5-B16</f>
        <v>4.166666666666663E-2</v>
      </c>
      <c r="D16" s="62"/>
      <c r="E16" s="62"/>
      <c r="F16" s="63">
        <v>0</v>
      </c>
      <c r="G16" s="64" t="s">
        <v>34</v>
      </c>
      <c r="H16" s="65" t="s">
        <v>35</v>
      </c>
      <c r="I16" s="65" t="s">
        <v>36</v>
      </c>
      <c r="J16" s="66" t="s">
        <v>37</v>
      </c>
      <c r="K16" s="67"/>
      <c r="L16" s="68"/>
    </row>
    <row r="17" spans="1:12" ht="24" customHeight="1" outlineLevel="1" x14ac:dyDescent="0.2">
      <c r="A17" s="69">
        <f t="shared" ref="A17:A115" si="0">A16+1</f>
        <v>2</v>
      </c>
      <c r="B17" s="60">
        <f t="shared" ref="B17:B115" si="1">B16+F16</f>
        <v>0.58333333333333337</v>
      </c>
      <c r="C17" s="70">
        <f t="shared" ref="C17:C71" si="2">C16-F16</f>
        <v>4.166666666666663E-2</v>
      </c>
      <c r="D17" s="71">
        <v>30</v>
      </c>
      <c r="E17" s="71">
        <v>0</v>
      </c>
      <c r="F17" s="72">
        <f t="shared" ref="F17:F25" si="3">TIME(0,D17,E17)</f>
        <v>2.0833333333333332E-2</v>
      </c>
      <c r="G17" s="73" t="s">
        <v>38</v>
      </c>
      <c r="H17" s="74" t="s">
        <v>35</v>
      </c>
      <c r="I17" s="75" t="s">
        <v>36</v>
      </c>
      <c r="J17" s="76" t="s">
        <v>37</v>
      </c>
      <c r="K17" s="77"/>
      <c r="L17" s="78"/>
    </row>
    <row r="18" spans="1:12" ht="24" customHeight="1" outlineLevel="1" x14ac:dyDescent="0.2">
      <c r="A18" s="69">
        <f t="shared" si="0"/>
        <v>3</v>
      </c>
      <c r="B18" s="79">
        <f t="shared" si="1"/>
        <v>0.60416666666666674</v>
      </c>
      <c r="C18" s="70">
        <f t="shared" si="2"/>
        <v>2.0833333333333297E-2</v>
      </c>
      <c r="D18" s="80"/>
      <c r="E18" s="80"/>
      <c r="F18" s="81">
        <f t="shared" si="3"/>
        <v>0</v>
      </c>
      <c r="G18" s="82"/>
      <c r="H18" s="83"/>
      <c r="I18" s="83"/>
      <c r="J18" s="83"/>
      <c r="K18" s="77"/>
      <c r="L18" s="78"/>
    </row>
    <row r="19" spans="1:12" ht="196.5" customHeight="1" outlineLevel="1" x14ac:dyDescent="0.2">
      <c r="A19" s="69">
        <f t="shared" si="0"/>
        <v>4</v>
      </c>
      <c r="B19" s="79">
        <f t="shared" si="1"/>
        <v>0.60416666666666674</v>
      </c>
      <c r="C19" s="70">
        <f t="shared" si="2"/>
        <v>2.0833333333333297E-2</v>
      </c>
      <c r="D19" s="62">
        <v>1</v>
      </c>
      <c r="E19" s="62">
        <v>30</v>
      </c>
      <c r="F19" s="84">
        <f t="shared" si="3"/>
        <v>1.0416666666666667E-3</v>
      </c>
      <c r="G19" s="85" t="s">
        <v>39</v>
      </c>
      <c r="H19" s="74" t="s">
        <v>40</v>
      </c>
      <c r="I19" s="74" t="s">
        <v>41</v>
      </c>
      <c r="J19" s="76" t="s">
        <v>37</v>
      </c>
      <c r="K19" s="555" t="s">
        <v>42</v>
      </c>
      <c r="L19" s="554"/>
    </row>
    <row r="20" spans="1:12" ht="24" customHeight="1" outlineLevel="1" x14ac:dyDescent="0.2">
      <c r="A20" s="69">
        <f t="shared" si="0"/>
        <v>5</v>
      </c>
      <c r="B20" s="79">
        <f t="shared" si="1"/>
        <v>0.60520833333333346</v>
      </c>
      <c r="C20" s="70">
        <f t="shared" si="2"/>
        <v>1.9791666666666631E-2</v>
      </c>
      <c r="D20" s="80"/>
      <c r="E20" s="80"/>
      <c r="F20" s="81">
        <f t="shared" si="3"/>
        <v>0</v>
      </c>
      <c r="G20" s="82"/>
      <c r="H20" s="83"/>
      <c r="I20" s="83"/>
      <c r="J20" s="83"/>
      <c r="K20" s="77"/>
      <c r="L20" s="78"/>
    </row>
    <row r="21" spans="1:12" ht="42" customHeight="1" outlineLevel="1" x14ac:dyDescent="0.2">
      <c r="A21" s="69">
        <f t="shared" si="0"/>
        <v>6</v>
      </c>
      <c r="B21" s="79">
        <f t="shared" si="1"/>
        <v>0.60520833333333346</v>
      </c>
      <c r="C21" s="70">
        <f t="shared" si="2"/>
        <v>1.9791666666666631E-2</v>
      </c>
      <c r="D21" s="86">
        <v>1</v>
      </c>
      <c r="E21" s="86"/>
      <c r="F21" s="84">
        <f t="shared" si="3"/>
        <v>6.9444444444444447E-4</v>
      </c>
      <c r="G21" s="87" t="s">
        <v>43</v>
      </c>
      <c r="H21" s="74" t="s">
        <v>35</v>
      </c>
      <c r="I21" s="75" t="s">
        <v>44</v>
      </c>
      <c r="J21" s="76" t="s">
        <v>37</v>
      </c>
      <c r="K21" s="77"/>
      <c r="L21" s="78"/>
    </row>
    <row r="22" spans="1:12" ht="24" customHeight="1" outlineLevel="1" x14ac:dyDescent="0.2">
      <c r="A22" s="69">
        <f t="shared" si="0"/>
        <v>7</v>
      </c>
      <c r="B22" s="79">
        <f t="shared" si="1"/>
        <v>0.6059027777777779</v>
      </c>
      <c r="C22" s="70">
        <f t="shared" si="2"/>
        <v>1.9097222222222186E-2</v>
      </c>
      <c r="D22" s="80"/>
      <c r="E22" s="80"/>
      <c r="F22" s="81">
        <f t="shared" si="3"/>
        <v>0</v>
      </c>
      <c r="G22" s="82"/>
      <c r="H22" s="83"/>
      <c r="I22" s="83"/>
      <c r="J22" s="83"/>
      <c r="K22" s="77"/>
      <c r="L22" s="78"/>
    </row>
    <row r="23" spans="1:12" ht="24" customHeight="1" outlineLevel="1" x14ac:dyDescent="0.2">
      <c r="A23" s="69">
        <f t="shared" si="0"/>
        <v>8</v>
      </c>
      <c r="B23" s="79">
        <f t="shared" si="1"/>
        <v>0.6059027777777779</v>
      </c>
      <c r="C23" s="70">
        <f t="shared" si="2"/>
        <v>1.9097222222222186E-2</v>
      </c>
      <c r="D23" s="62"/>
      <c r="E23" s="62"/>
      <c r="F23" s="84">
        <f t="shared" si="3"/>
        <v>0</v>
      </c>
      <c r="G23" s="88" t="s">
        <v>45</v>
      </c>
      <c r="H23" s="89"/>
      <c r="I23" s="89"/>
      <c r="J23" s="89"/>
      <c r="K23" s="77"/>
      <c r="L23" s="78"/>
    </row>
    <row r="24" spans="1:12" ht="78" customHeight="1" outlineLevel="1" x14ac:dyDescent="0.2">
      <c r="A24" s="69">
        <f t="shared" si="0"/>
        <v>9</v>
      </c>
      <c r="B24" s="79">
        <f t="shared" si="1"/>
        <v>0.6059027777777779</v>
      </c>
      <c r="C24" s="70">
        <f t="shared" si="2"/>
        <v>1.9097222222222186E-2</v>
      </c>
      <c r="D24" s="62"/>
      <c r="E24" s="62">
        <v>15</v>
      </c>
      <c r="F24" s="84">
        <f t="shared" si="3"/>
        <v>1.7361111111111112E-4</v>
      </c>
      <c r="G24" s="90" t="s">
        <v>46</v>
      </c>
      <c r="H24" s="91" t="str">
        <f>VLOOKUP(G24,Sponsors!$A:$H,3,0)</f>
        <v>PA+BGM</v>
      </c>
      <c r="I24" s="91" t="s">
        <v>47</v>
      </c>
      <c r="J24" s="92" t="s">
        <v>48</v>
      </c>
      <c r="K24" s="93" t="s">
        <v>49</v>
      </c>
      <c r="L24" s="93" t="s">
        <v>50</v>
      </c>
    </row>
    <row r="25" spans="1:12" ht="120.75" customHeight="1" outlineLevel="1" x14ac:dyDescent="0.2">
      <c r="A25" s="69">
        <f t="shared" si="0"/>
        <v>10</v>
      </c>
      <c r="B25" s="79">
        <f t="shared" si="1"/>
        <v>0.60607638888888904</v>
      </c>
      <c r="C25" s="70">
        <f t="shared" si="2"/>
        <v>1.8923611111111075E-2</v>
      </c>
      <c r="D25" s="62"/>
      <c r="E25" s="62">
        <v>15</v>
      </c>
      <c r="F25" s="84">
        <f t="shared" si="3"/>
        <v>1.7361111111111112E-4</v>
      </c>
      <c r="G25" s="94" t="s">
        <v>51</v>
      </c>
      <c r="H25" s="91" t="str">
        <f>VLOOKUP(G25,Sponsors!$A:$H,3,0)</f>
        <v>PA+BGM</v>
      </c>
      <c r="I25" s="92" t="str">
        <f>VLOOKUP(G25,Sponsors!$A:$H,4,0)</f>
        <v xml:space="preserve">Valvoline Still </v>
      </c>
      <c r="J25" s="92" t="str">
        <f>VLOOKUP(G25,Sponsors!$A:$H,5,0)</f>
        <v>Valvoline</v>
      </c>
      <c r="K25" s="95" t="s">
        <v>52</v>
      </c>
      <c r="L25" s="95" t="s">
        <v>53</v>
      </c>
    </row>
    <row r="26" spans="1:12" ht="105" customHeight="1" outlineLevel="1" x14ac:dyDescent="0.2">
      <c r="A26" s="69">
        <f t="shared" si="0"/>
        <v>11</v>
      </c>
      <c r="B26" s="79">
        <f t="shared" si="1"/>
        <v>0.60625000000000018</v>
      </c>
      <c r="C26" s="70">
        <f t="shared" si="2"/>
        <v>1.8749999999999965E-2</v>
      </c>
      <c r="D26" s="62"/>
      <c r="E26" s="62">
        <v>15</v>
      </c>
      <c r="F26" s="84">
        <v>1.7361111111111112E-4</v>
      </c>
      <c r="G26" s="96" t="s">
        <v>54</v>
      </c>
      <c r="H26" s="91" t="str">
        <f>VLOOKUP(G26,Sponsors!$A:$H,3,0)</f>
        <v>PA+BGM</v>
      </c>
      <c r="I26" s="92" t="s">
        <v>55</v>
      </c>
      <c r="J26" s="92" t="s">
        <v>37</v>
      </c>
      <c r="K26" s="553" t="s">
        <v>56</v>
      </c>
      <c r="L26" s="554"/>
    </row>
    <row r="27" spans="1:12" ht="126" customHeight="1" outlineLevel="1" x14ac:dyDescent="0.2">
      <c r="A27" s="69">
        <f t="shared" si="0"/>
        <v>12</v>
      </c>
      <c r="B27" s="79">
        <f t="shared" si="1"/>
        <v>0.60642361111111132</v>
      </c>
      <c r="C27" s="70">
        <f t="shared" si="2"/>
        <v>1.8576388888888854E-2</v>
      </c>
      <c r="D27" s="62"/>
      <c r="E27" s="62">
        <v>15</v>
      </c>
      <c r="F27" s="84">
        <v>1.7361111111111112E-4</v>
      </c>
      <c r="G27" s="96" t="s">
        <v>57</v>
      </c>
      <c r="H27" s="91" t="str">
        <f>VLOOKUP(G27,Sponsors!$A:$H,3,0)</f>
        <v>PA+BGM</v>
      </c>
      <c r="I27" s="92" t="s">
        <v>58</v>
      </c>
      <c r="J27" s="92" t="s">
        <v>37</v>
      </c>
      <c r="K27" s="553" t="s">
        <v>59</v>
      </c>
      <c r="L27" s="554"/>
    </row>
    <row r="28" spans="1:12" ht="105" customHeight="1" outlineLevel="1" x14ac:dyDescent="0.2">
      <c r="A28" s="69">
        <f t="shared" si="0"/>
        <v>13</v>
      </c>
      <c r="B28" s="79">
        <f t="shared" si="1"/>
        <v>0.60659722222222245</v>
      </c>
      <c r="C28" s="70">
        <f t="shared" si="2"/>
        <v>1.8402777777777744E-2</v>
      </c>
      <c r="D28" s="62"/>
      <c r="E28" s="62">
        <v>30</v>
      </c>
      <c r="F28" s="84">
        <f t="shared" ref="F28:F62" si="4">TIME(0,D28,E28)</f>
        <v>3.4722222222222224E-4</v>
      </c>
      <c r="G28" s="94" t="s">
        <v>60</v>
      </c>
      <c r="H28" s="91" t="str">
        <f>VLOOKUP(G28,Sponsors!$A:$H,3,0)</f>
        <v>PA+BGM</v>
      </c>
      <c r="I28" s="91" t="s">
        <v>61</v>
      </c>
      <c r="J28" s="97" t="s">
        <v>62</v>
      </c>
      <c r="K28" s="558" t="s">
        <v>63</v>
      </c>
      <c r="L28" s="554"/>
    </row>
    <row r="29" spans="1:12" ht="99.75" customHeight="1" outlineLevel="1" x14ac:dyDescent="0.2">
      <c r="A29" s="69">
        <f t="shared" si="0"/>
        <v>14</v>
      </c>
      <c r="B29" s="79">
        <f t="shared" si="1"/>
        <v>0.60694444444444473</v>
      </c>
      <c r="C29" s="70">
        <f t="shared" si="2"/>
        <v>1.8055555555555523E-2</v>
      </c>
      <c r="D29" s="62"/>
      <c r="E29" s="62">
        <v>15</v>
      </c>
      <c r="F29" s="84">
        <f t="shared" si="4"/>
        <v>1.7361111111111112E-4</v>
      </c>
      <c r="G29" s="94" t="s">
        <v>64</v>
      </c>
      <c r="H29" s="91" t="s">
        <v>65</v>
      </c>
      <c r="I29" s="92" t="s">
        <v>66</v>
      </c>
      <c r="J29" s="92" t="s">
        <v>67</v>
      </c>
      <c r="K29" s="559" t="s">
        <v>68</v>
      </c>
      <c r="L29" s="554"/>
    </row>
    <row r="30" spans="1:12" ht="54" customHeight="1" outlineLevel="1" x14ac:dyDescent="0.2">
      <c r="A30" s="69">
        <f t="shared" si="0"/>
        <v>15</v>
      </c>
      <c r="B30" s="79">
        <f t="shared" si="1"/>
        <v>0.60711805555555587</v>
      </c>
      <c r="C30" s="70">
        <f t="shared" si="2"/>
        <v>1.7881944444444412E-2</v>
      </c>
      <c r="D30" s="62"/>
      <c r="E30" s="62">
        <v>15</v>
      </c>
      <c r="F30" s="84">
        <f t="shared" si="4"/>
        <v>1.7361111111111112E-4</v>
      </c>
      <c r="G30" s="94" t="s">
        <v>69</v>
      </c>
      <c r="H30" s="91" t="str">
        <f>VLOOKUP(G30,Sponsors!$A:$H,3,0)</f>
        <v>PA+BGM</v>
      </c>
      <c r="I30" s="91" t="str">
        <f>VLOOKUP(G30,Sponsors!$A:$H,4,0)</f>
        <v>Molten Still</v>
      </c>
      <c r="J30" s="98" t="str">
        <f>VLOOKUP(G30,Sponsors!$A:$H,5,0)</f>
        <v xml:space="preserve">Molten </v>
      </c>
      <c r="K30" s="553" t="s">
        <v>70</v>
      </c>
      <c r="L30" s="554"/>
    </row>
    <row r="31" spans="1:12" ht="39" customHeight="1" outlineLevel="1" x14ac:dyDescent="0.2">
      <c r="A31" s="69">
        <f t="shared" si="0"/>
        <v>16</v>
      </c>
      <c r="B31" s="79">
        <f t="shared" si="1"/>
        <v>0.60729166666666701</v>
      </c>
      <c r="C31" s="70">
        <f t="shared" si="2"/>
        <v>1.7708333333333302E-2</v>
      </c>
      <c r="D31" s="62"/>
      <c r="E31" s="62">
        <v>15</v>
      </c>
      <c r="F31" s="84">
        <f t="shared" si="4"/>
        <v>1.7361111111111112E-4</v>
      </c>
      <c r="G31" s="90" t="s">
        <v>71</v>
      </c>
      <c r="H31" s="99" t="str">
        <f>VLOOKUP(G31,Sponsors!$A:$H,3,0)</f>
        <v>PA+Audio File from DJ</v>
      </c>
      <c r="I31" s="91" t="str">
        <f>VLOOKUP(G31,Sponsors!$A:$H,4,0)</f>
        <v>Neau Water Still</v>
      </c>
      <c r="J31" s="92" t="str">
        <f>VLOOKUP(G31,Sponsors!$A:$H,5,0)</f>
        <v>Neau Water</v>
      </c>
      <c r="K31" s="77"/>
      <c r="L31" s="78"/>
    </row>
    <row r="32" spans="1:12" ht="114" customHeight="1" outlineLevel="1" x14ac:dyDescent="0.2">
      <c r="A32" s="69">
        <f t="shared" si="0"/>
        <v>17</v>
      </c>
      <c r="B32" s="79">
        <f t="shared" si="1"/>
        <v>0.60746527777777815</v>
      </c>
      <c r="C32" s="70">
        <f t="shared" si="2"/>
        <v>1.7534722222222191E-2</v>
      </c>
      <c r="D32" s="62"/>
      <c r="E32" s="62">
        <v>15</v>
      </c>
      <c r="F32" s="84">
        <f t="shared" si="4"/>
        <v>1.7361111111111112E-4</v>
      </c>
      <c r="G32" s="90" t="s">
        <v>72</v>
      </c>
      <c r="H32" s="91" t="str">
        <f>VLOOKUP(G32,Sponsors!$A:$H,3,0)</f>
        <v>PA+BGM</v>
      </c>
      <c r="I32" s="91" t="s">
        <v>72</v>
      </c>
      <c r="J32" s="92" t="s">
        <v>37</v>
      </c>
      <c r="K32" s="558" t="s">
        <v>73</v>
      </c>
      <c r="L32" s="554"/>
    </row>
    <row r="33" spans="1:12" ht="203" customHeight="1" outlineLevel="1" x14ac:dyDescent="0.2">
      <c r="A33" s="69">
        <f t="shared" si="0"/>
        <v>18</v>
      </c>
      <c r="B33" s="79">
        <f t="shared" si="1"/>
        <v>0.60763888888888928</v>
      </c>
      <c r="C33" s="70">
        <f t="shared" si="2"/>
        <v>1.7361111111111081E-2</v>
      </c>
      <c r="D33" s="71"/>
      <c r="E33" s="71">
        <v>15</v>
      </c>
      <c r="F33" s="81">
        <f t="shared" si="4"/>
        <v>1.7361111111111112E-4</v>
      </c>
      <c r="G33" s="100" t="s">
        <v>74</v>
      </c>
      <c r="H33" s="101" t="s">
        <v>65</v>
      </c>
      <c r="I33" s="101" t="s">
        <v>74</v>
      </c>
      <c r="J33" s="97" t="s">
        <v>37</v>
      </c>
      <c r="K33" s="670" t="s">
        <v>1083</v>
      </c>
      <c r="L33" s="671"/>
    </row>
    <row r="34" spans="1:12" ht="30.75" customHeight="1" outlineLevel="1" x14ac:dyDescent="0.2">
      <c r="A34" s="69">
        <f t="shared" si="0"/>
        <v>19</v>
      </c>
      <c r="B34" s="60">
        <f t="shared" si="1"/>
        <v>0.60781250000000042</v>
      </c>
      <c r="C34" s="61">
        <f t="shared" si="2"/>
        <v>1.718749999999997E-2</v>
      </c>
      <c r="D34" s="86"/>
      <c r="E34" s="86"/>
      <c r="F34" s="84">
        <f t="shared" si="4"/>
        <v>0</v>
      </c>
      <c r="G34" s="102"/>
      <c r="H34" s="102"/>
      <c r="I34" s="102"/>
      <c r="J34" s="103"/>
      <c r="K34" s="77"/>
      <c r="L34" s="78"/>
    </row>
    <row r="35" spans="1:12" ht="42" customHeight="1" outlineLevel="1" x14ac:dyDescent="0.2">
      <c r="A35" s="69">
        <f t="shared" si="0"/>
        <v>20</v>
      </c>
      <c r="B35" s="60">
        <f t="shared" si="1"/>
        <v>0.60781250000000042</v>
      </c>
      <c r="C35" s="61">
        <f t="shared" si="2"/>
        <v>1.718749999999997E-2</v>
      </c>
      <c r="D35" s="86">
        <v>1</v>
      </c>
      <c r="E35" s="86"/>
      <c r="F35" s="84">
        <f t="shared" si="4"/>
        <v>6.9444444444444447E-4</v>
      </c>
      <c r="G35" s="87" t="s">
        <v>75</v>
      </c>
      <c r="H35" s="74" t="s">
        <v>35</v>
      </c>
      <c r="I35" s="75" t="s">
        <v>76</v>
      </c>
      <c r="J35" s="76" t="s">
        <v>37</v>
      </c>
      <c r="K35" s="77"/>
      <c r="L35" s="78"/>
    </row>
    <row r="36" spans="1:12" ht="30.75" customHeight="1" outlineLevel="1" x14ac:dyDescent="0.2">
      <c r="A36" s="69">
        <f t="shared" si="0"/>
        <v>21</v>
      </c>
      <c r="B36" s="60">
        <f t="shared" si="1"/>
        <v>0.60850694444444486</v>
      </c>
      <c r="C36" s="61">
        <f t="shared" si="2"/>
        <v>1.6493055555555525E-2</v>
      </c>
      <c r="D36" s="86"/>
      <c r="E36" s="104">
        <v>10</v>
      </c>
      <c r="F36" s="84">
        <f t="shared" si="4"/>
        <v>1.1574074074074075E-4</v>
      </c>
      <c r="G36" s="105" t="s">
        <v>77</v>
      </c>
      <c r="H36" s="74" t="s">
        <v>78</v>
      </c>
      <c r="I36" s="74" t="s">
        <v>79</v>
      </c>
      <c r="J36" s="76" t="s">
        <v>80</v>
      </c>
      <c r="K36" s="77"/>
      <c r="L36" s="78"/>
    </row>
    <row r="37" spans="1:12" ht="42" customHeight="1" outlineLevel="1" x14ac:dyDescent="0.2">
      <c r="A37" s="69">
        <f t="shared" si="0"/>
        <v>22</v>
      </c>
      <c r="B37" s="60">
        <f t="shared" si="1"/>
        <v>0.60862268518518559</v>
      </c>
      <c r="C37" s="61">
        <f t="shared" si="2"/>
        <v>1.6377314814814786E-2</v>
      </c>
      <c r="D37" s="86">
        <v>1</v>
      </c>
      <c r="E37" s="86"/>
      <c r="F37" s="84">
        <f t="shared" si="4"/>
        <v>6.9444444444444447E-4</v>
      </c>
      <c r="G37" s="106" t="s">
        <v>81</v>
      </c>
      <c r="H37" s="74" t="s">
        <v>35</v>
      </c>
      <c r="I37" s="75" t="s">
        <v>76</v>
      </c>
      <c r="J37" s="76" t="s">
        <v>37</v>
      </c>
      <c r="K37" s="77"/>
      <c r="L37" s="78"/>
    </row>
    <row r="38" spans="1:12" ht="34.5" customHeight="1" outlineLevel="1" x14ac:dyDescent="0.2">
      <c r="A38" s="69">
        <f t="shared" si="0"/>
        <v>23</v>
      </c>
      <c r="B38" s="60">
        <f t="shared" si="1"/>
        <v>0.60931712962963003</v>
      </c>
      <c r="C38" s="61">
        <f t="shared" si="2"/>
        <v>1.568287037037034E-2</v>
      </c>
      <c r="D38" s="86"/>
      <c r="E38" s="104">
        <v>10</v>
      </c>
      <c r="F38" s="84">
        <f t="shared" si="4"/>
        <v>1.1574074074074075E-4</v>
      </c>
      <c r="G38" s="105" t="s">
        <v>82</v>
      </c>
      <c r="H38" s="74" t="s">
        <v>78</v>
      </c>
      <c r="I38" s="74" t="s">
        <v>79</v>
      </c>
      <c r="J38" s="76" t="s">
        <v>80</v>
      </c>
      <c r="K38" s="77"/>
      <c r="L38" s="78"/>
    </row>
    <row r="39" spans="1:12" ht="30.75" customHeight="1" outlineLevel="1" x14ac:dyDescent="0.25">
      <c r="A39" s="69">
        <f t="shared" si="0"/>
        <v>24</v>
      </c>
      <c r="B39" s="60">
        <f t="shared" si="1"/>
        <v>0.60943287037037075</v>
      </c>
      <c r="C39" s="61">
        <f t="shared" si="2"/>
        <v>1.5567129629629599E-2</v>
      </c>
      <c r="D39" s="62"/>
      <c r="E39" s="62">
        <v>30</v>
      </c>
      <c r="F39" s="84">
        <f t="shared" si="4"/>
        <v>3.4722222222222224E-4</v>
      </c>
      <c r="G39" s="107" t="s">
        <v>83</v>
      </c>
      <c r="H39" s="91" t="s">
        <v>84</v>
      </c>
      <c r="I39" s="91" t="s">
        <v>83</v>
      </c>
      <c r="J39" s="92" t="s">
        <v>48</v>
      </c>
      <c r="K39" s="108"/>
      <c r="L39" s="109"/>
    </row>
    <row r="40" spans="1:12" ht="30.75" customHeight="1" outlineLevel="1" x14ac:dyDescent="0.25">
      <c r="A40" s="69">
        <f t="shared" si="0"/>
        <v>25</v>
      </c>
      <c r="B40" s="79">
        <f t="shared" si="1"/>
        <v>0.60978009259259303</v>
      </c>
      <c r="C40" s="70">
        <f t="shared" si="2"/>
        <v>1.5219907407407376E-2</v>
      </c>
      <c r="D40" s="62"/>
      <c r="E40" s="62">
        <v>30</v>
      </c>
      <c r="F40" s="84">
        <f t="shared" si="4"/>
        <v>3.4722222222222224E-4</v>
      </c>
      <c r="G40" s="107" t="s">
        <v>85</v>
      </c>
      <c r="H40" s="91" t="s">
        <v>86</v>
      </c>
      <c r="I40" s="91" t="s">
        <v>85</v>
      </c>
      <c r="J40" s="92" t="s">
        <v>67</v>
      </c>
      <c r="K40" s="108"/>
      <c r="L40" s="109"/>
    </row>
    <row r="41" spans="1:12" ht="30.75" customHeight="1" outlineLevel="1" x14ac:dyDescent="0.25">
      <c r="A41" s="69">
        <f t="shared" si="0"/>
        <v>26</v>
      </c>
      <c r="B41" s="79">
        <f t="shared" si="1"/>
        <v>0.6101273148148153</v>
      </c>
      <c r="C41" s="70">
        <f t="shared" si="2"/>
        <v>1.4872685185185154E-2</v>
      </c>
      <c r="D41" s="62"/>
      <c r="E41" s="62">
        <v>30</v>
      </c>
      <c r="F41" s="81">
        <f t="shared" si="4"/>
        <v>3.4722222222222224E-4</v>
      </c>
      <c r="G41" s="110" t="s">
        <v>87</v>
      </c>
      <c r="H41" s="91" t="str">
        <f>VLOOKUP(G41,Sponsors!$A:$H,3,0)</f>
        <v>VT Audio</v>
      </c>
      <c r="I41" s="91" t="str">
        <f>VLOOKUP(G41,Sponsors!$A:$H,4,0)</f>
        <v>Molten Video</v>
      </c>
      <c r="J41" s="92" t="str">
        <f>VLOOKUP(G41,Sponsors!$A:$H,5,0)</f>
        <v xml:space="preserve">Molten </v>
      </c>
      <c r="K41" s="108"/>
      <c r="L41" s="109"/>
    </row>
    <row r="42" spans="1:12" ht="30.75" customHeight="1" outlineLevel="1" x14ac:dyDescent="0.25">
      <c r="A42" s="69">
        <f t="shared" si="0"/>
        <v>27</v>
      </c>
      <c r="B42" s="79">
        <f t="shared" si="1"/>
        <v>0.61047453703703758</v>
      </c>
      <c r="C42" s="70">
        <f t="shared" si="2"/>
        <v>1.4525462962962931E-2</v>
      </c>
      <c r="D42" s="62"/>
      <c r="E42" s="111">
        <v>30</v>
      </c>
      <c r="F42" s="84">
        <f t="shared" si="4"/>
        <v>3.4722222222222224E-4</v>
      </c>
      <c r="G42" s="107" t="s">
        <v>88</v>
      </c>
      <c r="H42" s="91" t="str">
        <f>VLOOKUP(G42,Sponsors!$A:$H,3,0)</f>
        <v>VT Audio</v>
      </c>
      <c r="I42" s="91" t="str">
        <f>VLOOKUP(G42,Sponsors!$A:$H,4,0)</f>
        <v>Aramco Video</v>
      </c>
      <c r="J42" s="92" t="str">
        <f>VLOOKUP(G42,Sponsors!$A:$H,5,0)</f>
        <v>Aramco</v>
      </c>
      <c r="K42" s="108"/>
      <c r="L42" s="109"/>
    </row>
    <row r="43" spans="1:12" ht="30.75" customHeight="1" outlineLevel="1" x14ac:dyDescent="0.25">
      <c r="A43" s="69">
        <f t="shared" si="0"/>
        <v>28</v>
      </c>
      <c r="B43" s="79">
        <f t="shared" si="1"/>
        <v>0.61082175925925986</v>
      </c>
      <c r="C43" s="70">
        <f t="shared" si="2"/>
        <v>1.4178240740740708E-2</v>
      </c>
      <c r="D43" s="62"/>
      <c r="E43" s="111">
        <v>30</v>
      </c>
      <c r="F43" s="84">
        <f t="shared" si="4"/>
        <v>3.4722222222222224E-4</v>
      </c>
      <c r="G43" s="107" t="s">
        <v>89</v>
      </c>
      <c r="H43" s="91" t="s">
        <v>86</v>
      </c>
      <c r="I43" s="91" t="s">
        <v>90</v>
      </c>
      <c r="J43" s="92" t="s">
        <v>37</v>
      </c>
      <c r="K43" s="108"/>
      <c r="L43" s="109"/>
    </row>
    <row r="44" spans="1:12" ht="30.75" customHeight="1" outlineLevel="1" x14ac:dyDescent="0.25">
      <c r="A44" s="69">
        <f t="shared" si="0"/>
        <v>29</v>
      </c>
      <c r="B44" s="79">
        <f t="shared" si="1"/>
        <v>0.61116898148148213</v>
      </c>
      <c r="C44" s="70">
        <f t="shared" si="2"/>
        <v>1.3831018518518486E-2</v>
      </c>
      <c r="D44" s="62"/>
      <c r="E44" s="111">
        <v>30</v>
      </c>
      <c r="F44" s="84">
        <f t="shared" si="4"/>
        <v>3.4722222222222224E-4</v>
      </c>
      <c r="G44" s="107" t="s">
        <v>91</v>
      </c>
      <c r="H44" s="91" t="s">
        <v>86</v>
      </c>
      <c r="I44" s="91" t="s">
        <v>91</v>
      </c>
      <c r="J44" s="92" t="s">
        <v>92</v>
      </c>
      <c r="K44" s="108"/>
      <c r="L44" s="109"/>
    </row>
    <row r="45" spans="1:12" ht="30.75" customHeight="1" outlineLevel="1" x14ac:dyDescent="0.2">
      <c r="A45" s="69">
        <f t="shared" si="0"/>
        <v>30</v>
      </c>
      <c r="B45" s="79">
        <f t="shared" si="1"/>
        <v>0.61151620370370441</v>
      </c>
      <c r="C45" s="70">
        <f t="shared" si="2"/>
        <v>1.3483796296296263E-2</v>
      </c>
      <c r="D45" s="62"/>
      <c r="E45" s="111">
        <v>30</v>
      </c>
      <c r="F45" s="84">
        <f t="shared" si="4"/>
        <v>3.4722222222222224E-4</v>
      </c>
      <c r="G45" s="107" t="s">
        <v>93</v>
      </c>
      <c r="H45" s="91" t="s">
        <v>86</v>
      </c>
      <c r="I45" s="91" t="s">
        <v>93</v>
      </c>
      <c r="J45" s="92" t="s">
        <v>94</v>
      </c>
      <c r="K45" s="112"/>
      <c r="L45" s="113"/>
    </row>
    <row r="46" spans="1:12" ht="27" customHeight="1" outlineLevel="1" x14ac:dyDescent="0.2">
      <c r="A46" s="69">
        <f t="shared" si="0"/>
        <v>31</v>
      </c>
      <c r="B46" s="79">
        <f t="shared" si="1"/>
        <v>0.61186342592592668</v>
      </c>
      <c r="C46" s="70">
        <f t="shared" si="2"/>
        <v>1.313657407407404E-2</v>
      </c>
      <c r="D46" s="86"/>
      <c r="E46" s="86"/>
      <c r="F46" s="84">
        <f t="shared" si="4"/>
        <v>0</v>
      </c>
      <c r="G46" s="114"/>
      <c r="H46" s="114"/>
      <c r="I46" s="114"/>
      <c r="J46" s="114"/>
      <c r="K46" s="77"/>
      <c r="L46" s="78"/>
    </row>
    <row r="47" spans="1:12" ht="36.75" customHeight="1" outlineLevel="1" x14ac:dyDescent="0.2">
      <c r="A47" s="69">
        <f t="shared" si="0"/>
        <v>32</v>
      </c>
      <c r="B47" s="79">
        <f t="shared" si="1"/>
        <v>0.61186342592592668</v>
      </c>
      <c r="C47" s="70">
        <f t="shared" si="2"/>
        <v>1.313657407407404E-2</v>
      </c>
      <c r="D47" s="71">
        <v>1</v>
      </c>
      <c r="E47" s="71">
        <v>52</v>
      </c>
      <c r="F47" s="84">
        <f t="shared" si="4"/>
        <v>1.2962962962962963E-3</v>
      </c>
      <c r="G47" s="115" t="s">
        <v>95</v>
      </c>
      <c r="H47" s="75" t="s">
        <v>96</v>
      </c>
      <c r="I47" s="74" t="s">
        <v>41</v>
      </c>
      <c r="J47" s="92" t="s">
        <v>37</v>
      </c>
      <c r="K47" s="77"/>
      <c r="L47" s="78"/>
    </row>
    <row r="48" spans="1:12" ht="36.75" customHeight="1" outlineLevel="1" x14ac:dyDescent="0.2">
      <c r="A48" s="69">
        <f t="shared" si="0"/>
        <v>33</v>
      </c>
      <c r="B48" s="79">
        <f t="shared" si="1"/>
        <v>0.61315972222222304</v>
      </c>
      <c r="C48" s="70">
        <f t="shared" si="2"/>
        <v>1.1840277777777745E-2</v>
      </c>
      <c r="D48" s="71"/>
      <c r="E48" s="71"/>
      <c r="F48" s="84">
        <f t="shared" si="4"/>
        <v>0</v>
      </c>
      <c r="G48" s="116" t="s">
        <v>97</v>
      </c>
      <c r="H48" s="116"/>
      <c r="I48" s="116"/>
      <c r="J48" s="117"/>
      <c r="K48" s="77"/>
      <c r="L48" s="78"/>
    </row>
    <row r="49" spans="1:12" ht="94.5" customHeight="1" outlineLevel="1" x14ac:dyDescent="0.2">
      <c r="A49" s="69">
        <f t="shared" si="0"/>
        <v>34</v>
      </c>
      <c r="B49" s="79">
        <f t="shared" si="1"/>
        <v>0.61315972222222304</v>
      </c>
      <c r="C49" s="70">
        <f t="shared" si="2"/>
        <v>1.1840277777777745E-2</v>
      </c>
      <c r="D49" s="118"/>
      <c r="E49" s="62">
        <v>15</v>
      </c>
      <c r="F49" s="84">
        <f t="shared" si="4"/>
        <v>1.7361111111111112E-4</v>
      </c>
      <c r="G49" s="90" t="s">
        <v>46</v>
      </c>
      <c r="H49" s="91" t="str">
        <f>VLOOKUP(G49,Sponsors!$A:$H,3,0)</f>
        <v>PA+BGM</v>
      </c>
      <c r="I49" s="91" t="s">
        <v>47</v>
      </c>
      <c r="J49" s="92" t="s">
        <v>48</v>
      </c>
      <c r="K49" s="93" t="s">
        <v>49</v>
      </c>
      <c r="L49" s="93" t="s">
        <v>50</v>
      </c>
    </row>
    <row r="50" spans="1:12" ht="67.5" customHeight="1" outlineLevel="1" x14ac:dyDescent="0.2">
      <c r="A50" s="69">
        <f t="shared" si="0"/>
        <v>35</v>
      </c>
      <c r="B50" s="79">
        <f t="shared" si="1"/>
        <v>0.61333333333333417</v>
      </c>
      <c r="C50" s="70">
        <f t="shared" si="2"/>
        <v>1.1666666666666634E-2</v>
      </c>
      <c r="D50" s="86"/>
      <c r="E50" s="86">
        <v>15</v>
      </c>
      <c r="F50" s="84">
        <f t="shared" si="4"/>
        <v>1.7361111111111112E-4</v>
      </c>
      <c r="G50" s="94" t="s">
        <v>64</v>
      </c>
      <c r="H50" s="101" t="s">
        <v>65</v>
      </c>
      <c r="I50" s="101" t="s">
        <v>66</v>
      </c>
      <c r="J50" s="97" t="s">
        <v>67</v>
      </c>
      <c r="K50" s="559" t="s">
        <v>68</v>
      </c>
      <c r="L50" s="554"/>
    </row>
    <row r="51" spans="1:12" ht="42" customHeight="1" outlineLevel="1" x14ac:dyDescent="0.2">
      <c r="A51" s="69">
        <f t="shared" si="0"/>
        <v>36</v>
      </c>
      <c r="B51" s="79">
        <f t="shared" si="1"/>
        <v>0.61350694444444531</v>
      </c>
      <c r="C51" s="70">
        <f t="shared" si="2"/>
        <v>1.1493055555555524E-2</v>
      </c>
      <c r="D51" s="118"/>
      <c r="E51" s="86">
        <v>15</v>
      </c>
      <c r="F51" s="84">
        <f t="shared" si="4"/>
        <v>1.7361111111111112E-4</v>
      </c>
      <c r="G51" s="96" t="s">
        <v>69</v>
      </c>
      <c r="H51" s="91" t="str">
        <f>VLOOKUP(G51,Sponsors!$A:$H,3,0)</f>
        <v>PA+BGM</v>
      </c>
      <c r="I51" s="91" t="str">
        <f>VLOOKUP(G51,Sponsors!$A:$H,4,0)</f>
        <v>Molten Still</v>
      </c>
      <c r="J51" s="92" t="str">
        <f>VLOOKUP(G51,Sponsors!$A:$H,5,0)</f>
        <v xml:space="preserve">Molten </v>
      </c>
      <c r="K51" s="553" t="s">
        <v>70</v>
      </c>
      <c r="L51" s="554"/>
    </row>
    <row r="52" spans="1:12" ht="36.75" customHeight="1" outlineLevel="1" x14ac:dyDescent="0.2">
      <c r="A52" s="69">
        <f t="shared" si="0"/>
        <v>37</v>
      </c>
      <c r="B52" s="79">
        <f t="shared" si="1"/>
        <v>0.61368055555555645</v>
      </c>
      <c r="C52" s="70">
        <f t="shared" si="2"/>
        <v>1.1319444444444413E-2</v>
      </c>
      <c r="D52" s="118"/>
      <c r="E52" s="86">
        <v>30</v>
      </c>
      <c r="F52" s="84">
        <f t="shared" si="4"/>
        <v>3.4722222222222224E-4</v>
      </c>
      <c r="G52" s="96" t="s">
        <v>98</v>
      </c>
      <c r="H52" s="91" t="s">
        <v>35</v>
      </c>
      <c r="I52" s="91" t="str">
        <f>VLOOKUP(G52,Sponsors!$A:$H,4,0)</f>
        <v>Riyadh Video</v>
      </c>
      <c r="J52" s="92" t="s">
        <v>62</v>
      </c>
      <c r="K52" s="112"/>
      <c r="L52" s="113"/>
    </row>
    <row r="53" spans="1:12" ht="36.75" customHeight="1" outlineLevel="1" x14ac:dyDescent="0.2">
      <c r="A53" s="69">
        <f t="shared" si="0"/>
        <v>38</v>
      </c>
      <c r="B53" s="79">
        <f t="shared" si="1"/>
        <v>0.61402777777777873</v>
      </c>
      <c r="C53" s="70">
        <f t="shared" si="2"/>
        <v>1.0972222222222191E-2</v>
      </c>
      <c r="D53" s="62"/>
      <c r="E53" s="62">
        <v>30</v>
      </c>
      <c r="F53" s="84">
        <f t="shared" si="4"/>
        <v>3.4722222222222224E-4</v>
      </c>
      <c r="G53" s="107" t="s">
        <v>83</v>
      </c>
      <c r="H53" s="91" t="s">
        <v>84</v>
      </c>
      <c r="I53" s="91" t="s">
        <v>83</v>
      </c>
      <c r="J53" s="92" t="s">
        <v>48</v>
      </c>
      <c r="K53" s="112"/>
      <c r="L53" s="113"/>
    </row>
    <row r="54" spans="1:12" ht="36.75" customHeight="1" outlineLevel="1" x14ac:dyDescent="0.2">
      <c r="A54" s="69">
        <f t="shared" si="0"/>
        <v>39</v>
      </c>
      <c r="B54" s="79">
        <f t="shared" si="1"/>
        <v>0.614375000000001</v>
      </c>
      <c r="C54" s="70">
        <f t="shared" si="2"/>
        <v>1.0624999999999968E-2</v>
      </c>
      <c r="D54" s="118"/>
      <c r="E54" s="86">
        <v>30</v>
      </c>
      <c r="F54" s="84">
        <f t="shared" si="4"/>
        <v>3.4722222222222224E-4</v>
      </c>
      <c r="G54" s="96" t="s">
        <v>85</v>
      </c>
      <c r="H54" s="91" t="s">
        <v>86</v>
      </c>
      <c r="I54" s="91" t="s">
        <v>85</v>
      </c>
      <c r="J54" s="92" t="s">
        <v>67</v>
      </c>
      <c r="K54" s="112"/>
      <c r="L54" s="113"/>
    </row>
    <row r="55" spans="1:12" ht="36.75" customHeight="1" outlineLevel="1" x14ac:dyDescent="0.2">
      <c r="A55" s="69">
        <f t="shared" si="0"/>
        <v>40</v>
      </c>
      <c r="B55" s="79">
        <f t="shared" si="1"/>
        <v>0.61472222222222328</v>
      </c>
      <c r="C55" s="70">
        <f t="shared" si="2"/>
        <v>1.0277777777777745E-2</v>
      </c>
      <c r="D55" s="118"/>
      <c r="E55" s="86">
        <v>30</v>
      </c>
      <c r="F55" s="84">
        <f t="shared" si="4"/>
        <v>3.4722222222222224E-4</v>
      </c>
      <c r="G55" s="96" t="s">
        <v>87</v>
      </c>
      <c r="H55" s="91" t="str">
        <f>VLOOKUP(G55,Sponsors!$A:$H,3,0)</f>
        <v>VT Audio</v>
      </c>
      <c r="I55" s="91" t="str">
        <f>VLOOKUP(G55,Sponsors!$A:$H,4,0)</f>
        <v>Molten Video</v>
      </c>
      <c r="J55" s="92" t="str">
        <f>VLOOKUP(G55,Sponsors!$A:$H,5,0)</f>
        <v xml:space="preserve">Molten </v>
      </c>
      <c r="K55" s="112"/>
      <c r="L55" s="113"/>
    </row>
    <row r="56" spans="1:12" ht="36.75" customHeight="1" outlineLevel="1" x14ac:dyDescent="0.2">
      <c r="A56" s="69">
        <f t="shared" si="0"/>
        <v>41</v>
      </c>
      <c r="B56" s="79">
        <f t="shared" si="1"/>
        <v>0.61506944444444556</v>
      </c>
      <c r="C56" s="70">
        <f t="shared" si="2"/>
        <v>9.9305555555555224E-3</v>
      </c>
      <c r="D56" s="118"/>
      <c r="E56" s="86">
        <v>30</v>
      </c>
      <c r="F56" s="84">
        <f t="shared" si="4"/>
        <v>3.4722222222222224E-4</v>
      </c>
      <c r="G56" s="96" t="s">
        <v>88</v>
      </c>
      <c r="H56" s="91" t="str">
        <f>VLOOKUP(G56,Sponsors!$A:$H,3,0)</f>
        <v>VT Audio</v>
      </c>
      <c r="I56" s="91" t="str">
        <f>VLOOKUP(G56,Sponsors!$A:$H,4,0)</f>
        <v>Aramco Video</v>
      </c>
      <c r="J56" s="92" t="str">
        <f>VLOOKUP(G56,Sponsors!$A:$H,5,0)</f>
        <v>Aramco</v>
      </c>
      <c r="K56" s="112"/>
      <c r="L56" s="113"/>
    </row>
    <row r="57" spans="1:12" ht="36.75" customHeight="1" outlineLevel="1" x14ac:dyDescent="0.2">
      <c r="A57" s="69">
        <f t="shared" si="0"/>
        <v>42</v>
      </c>
      <c r="B57" s="79">
        <f t="shared" si="1"/>
        <v>0.61541666666666783</v>
      </c>
      <c r="C57" s="70">
        <f t="shared" si="2"/>
        <v>9.5833333333332996E-3</v>
      </c>
      <c r="D57" s="118"/>
      <c r="E57" s="111">
        <v>30</v>
      </c>
      <c r="F57" s="84">
        <f t="shared" si="4"/>
        <v>3.4722222222222224E-4</v>
      </c>
      <c r="G57" s="107" t="s">
        <v>99</v>
      </c>
      <c r="H57" s="91" t="s">
        <v>86</v>
      </c>
      <c r="I57" s="91" t="s">
        <v>100</v>
      </c>
      <c r="J57" s="92" t="s">
        <v>101</v>
      </c>
      <c r="K57" s="112"/>
      <c r="L57" s="113"/>
    </row>
    <row r="58" spans="1:12" ht="36.75" customHeight="1" outlineLevel="1" x14ac:dyDescent="0.2">
      <c r="A58" s="69">
        <f t="shared" si="0"/>
        <v>43</v>
      </c>
      <c r="B58" s="79">
        <f t="shared" si="1"/>
        <v>0.61576388888889011</v>
      </c>
      <c r="C58" s="70">
        <f t="shared" si="2"/>
        <v>9.2361111111110769E-3</v>
      </c>
      <c r="D58" s="118"/>
      <c r="E58" s="86">
        <v>30</v>
      </c>
      <c r="F58" s="84">
        <f t="shared" si="4"/>
        <v>3.4722222222222224E-4</v>
      </c>
      <c r="G58" s="96" t="s">
        <v>102</v>
      </c>
      <c r="H58" s="91" t="s">
        <v>86</v>
      </c>
      <c r="I58" s="91" t="s">
        <v>103</v>
      </c>
      <c r="J58" s="92" t="s">
        <v>104</v>
      </c>
      <c r="K58" s="112"/>
      <c r="L58" s="113"/>
    </row>
    <row r="59" spans="1:12" ht="21" customHeight="1" outlineLevel="1" x14ac:dyDescent="0.2">
      <c r="A59" s="69">
        <f t="shared" si="0"/>
        <v>44</v>
      </c>
      <c r="B59" s="79">
        <f t="shared" si="1"/>
        <v>0.61611111111111239</v>
      </c>
      <c r="C59" s="70">
        <f t="shared" si="2"/>
        <v>8.8888888888888542E-3</v>
      </c>
      <c r="D59" s="86"/>
      <c r="E59" s="86"/>
      <c r="F59" s="84">
        <f t="shared" si="4"/>
        <v>0</v>
      </c>
      <c r="G59" s="119"/>
      <c r="H59" s="120"/>
      <c r="I59" s="120"/>
      <c r="J59" s="120"/>
      <c r="K59" s="112"/>
      <c r="L59" s="113"/>
    </row>
    <row r="60" spans="1:12" ht="67.5" customHeight="1" outlineLevel="1" x14ac:dyDescent="0.2">
      <c r="A60" s="69">
        <f t="shared" si="0"/>
        <v>45</v>
      </c>
      <c r="B60" s="79">
        <f t="shared" si="1"/>
        <v>0.61611111111111239</v>
      </c>
      <c r="C60" s="70">
        <f t="shared" si="2"/>
        <v>8.8888888888888542E-3</v>
      </c>
      <c r="D60" s="62">
        <v>1</v>
      </c>
      <c r="E60" s="62">
        <v>40</v>
      </c>
      <c r="F60" s="84">
        <f t="shared" si="4"/>
        <v>1.1574074074074073E-3</v>
      </c>
      <c r="G60" s="121" t="s">
        <v>105</v>
      </c>
      <c r="H60" s="74" t="s">
        <v>35</v>
      </c>
      <c r="I60" s="75" t="s">
        <v>106</v>
      </c>
      <c r="J60" s="76" t="s">
        <v>37</v>
      </c>
      <c r="K60" s="569"/>
      <c r="L60" s="570"/>
    </row>
    <row r="61" spans="1:12" ht="36.75" customHeight="1" outlineLevel="1" x14ac:dyDescent="0.2">
      <c r="A61" s="69">
        <f t="shared" si="0"/>
        <v>46</v>
      </c>
      <c r="B61" s="79">
        <f t="shared" si="1"/>
        <v>0.61726851851851983</v>
      </c>
      <c r="C61" s="70">
        <f t="shared" si="2"/>
        <v>7.7314814814814468E-3</v>
      </c>
      <c r="D61" s="62">
        <v>1</v>
      </c>
      <c r="E61" s="62">
        <v>3</v>
      </c>
      <c r="F61" s="84">
        <f t="shared" si="4"/>
        <v>7.291666666666667E-4</v>
      </c>
      <c r="G61" s="122" t="s">
        <v>107</v>
      </c>
      <c r="H61" s="91" t="s">
        <v>86</v>
      </c>
      <c r="I61" s="74" t="s">
        <v>108</v>
      </c>
      <c r="J61" s="76" t="s">
        <v>37</v>
      </c>
      <c r="K61" s="112"/>
      <c r="L61" s="113"/>
    </row>
    <row r="62" spans="1:12" ht="36.75" customHeight="1" outlineLevel="1" x14ac:dyDescent="0.2">
      <c r="A62" s="69">
        <f t="shared" si="0"/>
        <v>47</v>
      </c>
      <c r="B62" s="79">
        <f t="shared" si="1"/>
        <v>0.6179976851851865</v>
      </c>
      <c r="C62" s="70">
        <f t="shared" si="2"/>
        <v>7.0023148148147798E-3</v>
      </c>
      <c r="D62" s="62">
        <v>2</v>
      </c>
      <c r="E62" s="62">
        <v>30</v>
      </c>
      <c r="F62" s="84">
        <f t="shared" si="4"/>
        <v>1.736111111111111E-3</v>
      </c>
      <c r="G62" s="123" t="s">
        <v>109</v>
      </c>
      <c r="H62" s="124" t="s">
        <v>110</v>
      </c>
      <c r="I62" s="124" t="s">
        <v>111</v>
      </c>
      <c r="J62" s="125" t="s">
        <v>112</v>
      </c>
      <c r="K62" s="571"/>
      <c r="L62" s="554"/>
    </row>
    <row r="63" spans="1:12" ht="25.5" customHeight="1" outlineLevel="1" x14ac:dyDescent="0.2">
      <c r="A63" s="69">
        <f t="shared" si="0"/>
        <v>48</v>
      </c>
      <c r="B63" s="79">
        <f t="shared" si="1"/>
        <v>0.61973379629629766</v>
      </c>
      <c r="C63" s="70">
        <f t="shared" si="2"/>
        <v>5.2662037037036688E-3</v>
      </c>
      <c r="D63" s="86"/>
      <c r="E63" s="86"/>
      <c r="F63" s="84"/>
      <c r="G63" s="126"/>
      <c r="H63" s="127"/>
      <c r="I63" s="127"/>
      <c r="J63" s="127"/>
      <c r="K63" s="112"/>
      <c r="L63" s="113"/>
    </row>
    <row r="64" spans="1:12" ht="36.75" customHeight="1" outlineLevel="1" x14ac:dyDescent="0.2">
      <c r="A64" s="69">
        <f t="shared" si="0"/>
        <v>49</v>
      </c>
      <c r="B64" s="79">
        <f t="shared" si="1"/>
        <v>0.61973379629629766</v>
      </c>
      <c r="C64" s="70">
        <f t="shared" si="2"/>
        <v>5.2662037037036688E-3</v>
      </c>
      <c r="D64" s="62"/>
      <c r="E64" s="62">
        <v>15</v>
      </c>
      <c r="F64" s="84">
        <f t="shared" ref="F64:F115" si="5">TIME(0,D64,E64)</f>
        <v>1.7361111111111112E-4</v>
      </c>
      <c r="G64" s="128" t="s">
        <v>113</v>
      </c>
      <c r="H64" s="76" t="s">
        <v>114</v>
      </c>
      <c r="I64" s="76" t="s">
        <v>115</v>
      </c>
      <c r="J64" s="76" t="s">
        <v>37</v>
      </c>
      <c r="K64" s="112"/>
      <c r="L64" s="113"/>
    </row>
    <row r="65" spans="1:12" ht="84.75" customHeight="1" outlineLevel="1" x14ac:dyDescent="0.2">
      <c r="A65" s="69">
        <f t="shared" si="0"/>
        <v>50</v>
      </c>
      <c r="B65" s="79">
        <f t="shared" si="1"/>
        <v>0.61990740740740879</v>
      </c>
      <c r="C65" s="70">
        <f t="shared" si="2"/>
        <v>5.0925925925925574E-3</v>
      </c>
      <c r="D65" s="129">
        <v>1</v>
      </c>
      <c r="E65" s="129">
        <v>15</v>
      </c>
      <c r="F65" s="84">
        <f t="shared" si="5"/>
        <v>8.6805555555555551E-4</v>
      </c>
      <c r="G65" s="130" t="s">
        <v>116</v>
      </c>
      <c r="H65" s="131" t="s">
        <v>117</v>
      </c>
      <c r="I65" s="74" t="s">
        <v>115</v>
      </c>
      <c r="J65" s="131" t="s">
        <v>37</v>
      </c>
      <c r="K65" s="132" t="str">
        <f>+"Let's Welcome the National teams of "&amp;F4&amp;"and "&amp;G4&amp;"."</f>
        <v>Let's Welcome the National teams of 🇨🇦Canada (CAN)and 🇺🇸 USA (USA).</v>
      </c>
      <c r="L65" s="133" t="str">
        <f>" ¡DEMOS LA BIENVENIDA AL EQUIPO NACIONAL DE ["&amp;F4&amp;" ]  y "&amp;G4&amp;"]!"</f>
        <v xml:space="preserve"> ¡DEMOS LA BIENVENIDA AL EQUIPO NACIONAL DE [🇨🇦Canada (CAN) ]  y 🇺🇸 USA (USA)]!</v>
      </c>
    </row>
    <row r="66" spans="1:12" ht="48" customHeight="1" outlineLevel="1" x14ac:dyDescent="0.2">
      <c r="A66" s="69">
        <f t="shared" si="0"/>
        <v>51</v>
      </c>
      <c r="B66" s="79">
        <f t="shared" si="1"/>
        <v>0.62077546296296438</v>
      </c>
      <c r="C66" s="70">
        <f t="shared" si="2"/>
        <v>4.2245370370370024E-3</v>
      </c>
      <c r="D66" s="62"/>
      <c r="E66" s="62">
        <v>18</v>
      </c>
      <c r="F66" s="84">
        <f t="shared" si="5"/>
        <v>2.0833333333333335E-4</v>
      </c>
      <c r="G66" s="134" t="str">
        <f>" Announce Anthem of "&amp;F4</f>
        <v xml:space="preserve"> Announce Anthem of 🇨🇦Canada (CAN)</v>
      </c>
      <c r="H66" s="135" t="s">
        <v>118</v>
      </c>
      <c r="I66" s="74" t="s">
        <v>115</v>
      </c>
      <c r="J66" s="76" t="s">
        <v>119</v>
      </c>
      <c r="K66" s="136" t="str">
        <f>"Please rise for the National Anthem of ["&amp;F4&amp;"]"</f>
        <v>Please rise for the National Anthem of [🇨🇦Canada (CAN)]</v>
      </c>
      <c r="L66" s="132" t="s">
        <v>1081</v>
      </c>
    </row>
    <row r="67" spans="1:12" ht="39.75" customHeight="1" outlineLevel="1" x14ac:dyDescent="0.2">
      <c r="A67" s="69">
        <f t="shared" si="0"/>
        <v>52</v>
      </c>
      <c r="B67" s="79">
        <f t="shared" si="1"/>
        <v>0.62098379629629774</v>
      </c>
      <c r="C67" s="70">
        <f t="shared" si="2"/>
        <v>4.0162037037036694E-3</v>
      </c>
      <c r="D67" s="62">
        <v>1</v>
      </c>
      <c r="E67" s="62">
        <v>17</v>
      </c>
      <c r="F67" s="84">
        <f t="shared" si="5"/>
        <v>8.9120370370370373E-4</v>
      </c>
      <c r="G67" s="137" t="str">
        <f>"Play National Anthem of "&amp;F4</f>
        <v>Play National Anthem of 🇨🇦Canada (CAN)</v>
      </c>
      <c r="H67" s="138" t="s">
        <v>120</v>
      </c>
      <c r="I67" s="74" t="s">
        <v>115</v>
      </c>
      <c r="J67" s="76" t="s">
        <v>119</v>
      </c>
      <c r="K67" s="77"/>
      <c r="L67" s="78"/>
    </row>
    <row r="68" spans="1:12" ht="55.5" customHeight="1" outlineLevel="1" x14ac:dyDescent="0.2">
      <c r="A68" s="69">
        <f t="shared" si="0"/>
        <v>53</v>
      </c>
      <c r="B68" s="79">
        <f t="shared" si="1"/>
        <v>0.6218750000000014</v>
      </c>
      <c r="C68" s="70">
        <f t="shared" si="2"/>
        <v>3.1249999999999655E-3</v>
      </c>
      <c r="D68" s="62"/>
      <c r="E68" s="62">
        <v>15</v>
      </c>
      <c r="F68" s="84">
        <f t="shared" si="5"/>
        <v>1.7361111111111112E-4</v>
      </c>
      <c r="G68" s="134" t="str">
        <f>" Announce Anthem of "&amp;G4</f>
        <v xml:space="preserve"> Announce Anthem of 🇺🇸 USA (USA)</v>
      </c>
      <c r="H68" s="135" t="s">
        <v>118</v>
      </c>
      <c r="I68" s="74" t="s">
        <v>115</v>
      </c>
      <c r="J68" s="76" t="s">
        <v>119</v>
      </c>
      <c r="K68" s="136" t="str">
        <f>"Please remain standing for the National Anthem of ["&amp;G4&amp;"]"</f>
        <v>Please remain standing for the National Anthem of [🇺🇸 USA (USA)]</v>
      </c>
      <c r="L68" s="136" t="s">
        <v>1082</v>
      </c>
    </row>
    <row r="69" spans="1:12" ht="36.75" customHeight="1" outlineLevel="1" x14ac:dyDescent="0.2">
      <c r="A69" s="69">
        <f t="shared" si="0"/>
        <v>54</v>
      </c>
      <c r="B69" s="79">
        <f t="shared" si="1"/>
        <v>0.62204861111111254</v>
      </c>
      <c r="C69" s="70">
        <f t="shared" si="2"/>
        <v>2.9513888888888546E-3</v>
      </c>
      <c r="D69" s="62">
        <v>1</v>
      </c>
      <c r="E69" s="62">
        <v>15</v>
      </c>
      <c r="F69" s="84">
        <f t="shared" si="5"/>
        <v>8.6805555555555551E-4</v>
      </c>
      <c r="G69" s="137" t="str">
        <f>"Play National Anthem of "&amp;G4</f>
        <v>Play National Anthem of 🇺🇸 USA (USA)</v>
      </c>
      <c r="H69" s="138" t="s">
        <v>121</v>
      </c>
      <c r="I69" s="74" t="s">
        <v>115</v>
      </c>
      <c r="J69" s="76" t="s">
        <v>119</v>
      </c>
      <c r="K69" s="77"/>
      <c r="L69" s="78"/>
    </row>
    <row r="70" spans="1:12" ht="36.75" customHeight="1" outlineLevel="1" x14ac:dyDescent="0.2">
      <c r="A70" s="69">
        <f t="shared" si="0"/>
        <v>55</v>
      </c>
      <c r="B70" s="79">
        <f t="shared" si="1"/>
        <v>0.62291666666666812</v>
      </c>
      <c r="C70" s="70">
        <f t="shared" si="2"/>
        <v>2.083333333333299E-3</v>
      </c>
      <c r="D70" s="62">
        <v>2</v>
      </c>
      <c r="E70" s="62">
        <v>42</v>
      </c>
      <c r="F70" s="84">
        <f t="shared" si="5"/>
        <v>1.8749999999999999E-3</v>
      </c>
      <c r="G70" s="139" t="s">
        <v>122</v>
      </c>
      <c r="H70" s="76" t="s">
        <v>123</v>
      </c>
      <c r="I70" s="74" t="s">
        <v>115</v>
      </c>
      <c r="J70" s="76" t="s">
        <v>37</v>
      </c>
      <c r="K70" s="566" t="s">
        <v>124</v>
      </c>
      <c r="L70" s="554"/>
    </row>
    <row r="71" spans="1:12" ht="36.75" customHeight="1" outlineLevel="1" x14ac:dyDescent="0.2">
      <c r="A71" s="69">
        <f t="shared" si="0"/>
        <v>56</v>
      </c>
      <c r="B71" s="79">
        <f t="shared" si="1"/>
        <v>0.62479166666666808</v>
      </c>
      <c r="C71" s="70">
        <f t="shared" si="2"/>
        <v>2.0833333333329911E-4</v>
      </c>
      <c r="D71" s="62"/>
      <c r="E71" s="62">
        <v>18</v>
      </c>
      <c r="F71" s="84">
        <f t="shared" si="5"/>
        <v>2.0833333333333335E-4</v>
      </c>
      <c r="G71" s="140" t="s">
        <v>125</v>
      </c>
      <c r="H71" s="76" t="s">
        <v>126</v>
      </c>
      <c r="I71" s="74" t="s">
        <v>127</v>
      </c>
      <c r="J71" s="76" t="s">
        <v>128</v>
      </c>
      <c r="K71" s="567" t="s">
        <v>129</v>
      </c>
      <c r="L71" s="568"/>
    </row>
    <row r="72" spans="1:12" ht="36.75" customHeight="1" outlineLevel="1" x14ac:dyDescent="0.2">
      <c r="A72" s="69">
        <f t="shared" si="0"/>
        <v>57</v>
      </c>
      <c r="B72" s="141">
        <f t="shared" si="1"/>
        <v>0.62500000000000144</v>
      </c>
      <c r="C72" s="142" t="str">
        <f>IF(C71-F71&gt;=0,TEXT(ABS(C71-F71),"-mm:ss"),TEXT(ABS(C71-F71),"+mm:ss"))</f>
        <v>+00:00</v>
      </c>
      <c r="D72" s="143"/>
      <c r="E72" s="143"/>
      <c r="F72" s="84">
        <f t="shared" si="5"/>
        <v>0</v>
      </c>
      <c r="G72" s="144" t="s">
        <v>130</v>
      </c>
      <c r="H72" s="145"/>
      <c r="I72" s="146"/>
      <c r="J72" s="146"/>
      <c r="K72" s="147"/>
      <c r="L72" s="148"/>
    </row>
    <row r="73" spans="1:12" ht="36.75" customHeight="1" outlineLevel="1" x14ac:dyDescent="0.2">
      <c r="A73" s="69">
        <f t="shared" si="0"/>
        <v>58</v>
      </c>
      <c r="B73" s="60">
        <f t="shared" si="1"/>
        <v>0.62500000000000144</v>
      </c>
      <c r="C73" s="149"/>
      <c r="D73" s="62">
        <v>45</v>
      </c>
      <c r="E73" s="62"/>
      <c r="F73" s="84">
        <f t="shared" si="5"/>
        <v>3.125E-2</v>
      </c>
      <c r="G73" s="150" t="s">
        <v>131</v>
      </c>
      <c r="H73" s="74" t="s">
        <v>132</v>
      </c>
      <c r="I73" s="74" t="s">
        <v>115</v>
      </c>
      <c r="J73" s="76" t="s">
        <v>133</v>
      </c>
      <c r="K73" s="151" t="s">
        <v>134</v>
      </c>
      <c r="L73" s="152" t="s">
        <v>134</v>
      </c>
    </row>
    <row r="74" spans="1:12" ht="21.75" customHeight="1" outlineLevel="1" x14ac:dyDescent="0.2">
      <c r="A74" s="69">
        <f t="shared" si="0"/>
        <v>59</v>
      </c>
      <c r="B74" s="60">
        <f t="shared" si="1"/>
        <v>0.65625000000000144</v>
      </c>
      <c r="C74" s="149"/>
      <c r="D74" s="86"/>
      <c r="E74" s="86"/>
      <c r="F74" s="84">
        <f t="shared" si="5"/>
        <v>0</v>
      </c>
      <c r="G74" s="153"/>
      <c r="H74" s="83"/>
      <c r="I74" s="83"/>
      <c r="J74" s="83"/>
      <c r="K74" s="77"/>
      <c r="L74" s="154"/>
    </row>
    <row r="75" spans="1:12" ht="57.75" customHeight="1" outlineLevel="1" x14ac:dyDescent="0.2">
      <c r="A75" s="69">
        <f t="shared" si="0"/>
        <v>60</v>
      </c>
      <c r="B75" s="60">
        <f t="shared" si="1"/>
        <v>0.65625000000000144</v>
      </c>
      <c r="C75" s="61">
        <v>1.0416666666666666E-2</v>
      </c>
      <c r="D75" s="62">
        <v>1</v>
      </c>
      <c r="E75" s="62">
        <v>0</v>
      </c>
      <c r="F75" s="84">
        <f t="shared" si="5"/>
        <v>6.9444444444444447E-4</v>
      </c>
      <c r="G75" s="85" t="s">
        <v>135</v>
      </c>
      <c r="H75" s="74" t="s">
        <v>136</v>
      </c>
      <c r="I75" s="74" t="s">
        <v>137</v>
      </c>
      <c r="J75" s="76" t="s">
        <v>37</v>
      </c>
      <c r="K75" s="155" t="s">
        <v>138</v>
      </c>
      <c r="L75" s="156" t="s">
        <v>139</v>
      </c>
    </row>
    <row r="76" spans="1:12" ht="36.75" customHeight="1" outlineLevel="1" x14ac:dyDescent="0.2">
      <c r="A76" s="69">
        <f t="shared" si="0"/>
        <v>61</v>
      </c>
      <c r="B76" s="60">
        <f t="shared" si="1"/>
        <v>0.65694444444444589</v>
      </c>
      <c r="C76" s="61">
        <f t="shared" ref="C76:C100" si="6">C75-F75</f>
        <v>9.7222222222222224E-3</v>
      </c>
      <c r="D76" s="62"/>
      <c r="E76" s="111">
        <v>45</v>
      </c>
      <c r="F76" s="84">
        <f t="shared" si="5"/>
        <v>5.2083333333333333E-4</v>
      </c>
      <c r="G76" s="157" t="s">
        <v>140</v>
      </c>
      <c r="H76" s="74" t="s">
        <v>35</v>
      </c>
      <c r="I76" s="74" t="s">
        <v>141</v>
      </c>
      <c r="J76" s="76" t="s">
        <v>37</v>
      </c>
      <c r="K76" s="158"/>
      <c r="L76" s="159"/>
    </row>
    <row r="77" spans="1:12" ht="27" customHeight="1" outlineLevel="1" x14ac:dyDescent="0.2">
      <c r="A77" s="69">
        <f t="shared" si="0"/>
        <v>62</v>
      </c>
      <c r="B77" s="60">
        <f t="shared" si="1"/>
        <v>0.65746527777777919</v>
      </c>
      <c r="C77" s="61">
        <f t="shared" si="6"/>
        <v>9.2013888888888892E-3</v>
      </c>
      <c r="D77" s="62"/>
      <c r="E77" s="111"/>
      <c r="F77" s="84">
        <f t="shared" si="5"/>
        <v>0</v>
      </c>
      <c r="G77" s="126"/>
      <c r="H77" s="126"/>
      <c r="I77" s="126"/>
      <c r="J77" s="126"/>
      <c r="K77" s="77"/>
      <c r="L77" s="78"/>
    </row>
    <row r="78" spans="1:12" ht="36.75" customHeight="1" outlineLevel="1" x14ac:dyDescent="0.2">
      <c r="A78" s="69">
        <f t="shared" si="0"/>
        <v>63</v>
      </c>
      <c r="B78" s="60">
        <f t="shared" si="1"/>
        <v>0.65746527777777919</v>
      </c>
      <c r="C78" s="61">
        <f t="shared" si="6"/>
        <v>9.2013888888888892E-3</v>
      </c>
      <c r="D78" s="62"/>
      <c r="E78" s="111"/>
      <c r="F78" s="84">
        <f t="shared" si="5"/>
        <v>0</v>
      </c>
      <c r="G78" s="88" t="s">
        <v>142</v>
      </c>
      <c r="H78" s="89"/>
      <c r="I78" s="160"/>
      <c r="J78" s="89"/>
      <c r="K78" s="77"/>
      <c r="L78" s="78"/>
    </row>
    <row r="79" spans="1:12" ht="36.75" customHeight="1" outlineLevel="1" x14ac:dyDescent="0.2">
      <c r="A79" s="69">
        <f t="shared" si="0"/>
        <v>64</v>
      </c>
      <c r="B79" s="60">
        <f t="shared" si="1"/>
        <v>0.65746527777777919</v>
      </c>
      <c r="C79" s="61">
        <f t="shared" si="6"/>
        <v>9.2013888888888892E-3</v>
      </c>
      <c r="D79" s="62"/>
      <c r="E79" s="111">
        <v>39</v>
      </c>
      <c r="F79" s="84">
        <f t="shared" si="5"/>
        <v>4.5138888888888887E-4</v>
      </c>
      <c r="G79" s="140" t="s">
        <v>143</v>
      </c>
      <c r="H79" s="74" t="s">
        <v>86</v>
      </c>
      <c r="I79" s="161" t="s">
        <v>144</v>
      </c>
      <c r="J79" s="162" t="s">
        <v>145</v>
      </c>
      <c r="K79" s="163"/>
      <c r="L79" s="164"/>
    </row>
    <row r="80" spans="1:12" ht="61.5" customHeight="1" outlineLevel="1" x14ac:dyDescent="0.2">
      <c r="A80" s="69">
        <f t="shared" si="0"/>
        <v>65</v>
      </c>
      <c r="B80" s="60">
        <f t="shared" si="1"/>
        <v>0.65791666666666804</v>
      </c>
      <c r="C80" s="61">
        <f t="shared" si="6"/>
        <v>8.7500000000000008E-3</v>
      </c>
      <c r="D80" s="62"/>
      <c r="E80" s="62">
        <v>30</v>
      </c>
      <c r="F80" s="84">
        <f t="shared" si="5"/>
        <v>3.4722222222222224E-4</v>
      </c>
      <c r="G80" s="90" t="s">
        <v>46</v>
      </c>
      <c r="H80" s="91" t="str">
        <f>VLOOKUP(G80,Sponsors!$A:$H,3,0)</f>
        <v>PA+BGM</v>
      </c>
      <c r="I80" s="91" t="s">
        <v>47</v>
      </c>
      <c r="J80" s="92" t="s">
        <v>48</v>
      </c>
      <c r="K80" s="165" t="s">
        <v>49</v>
      </c>
      <c r="L80" s="165" t="s">
        <v>50</v>
      </c>
    </row>
    <row r="81" spans="1:12" ht="81.75" customHeight="1" outlineLevel="1" x14ac:dyDescent="0.2">
      <c r="A81" s="69">
        <f t="shared" si="0"/>
        <v>66</v>
      </c>
      <c r="B81" s="60">
        <f t="shared" si="1"/>
        <v>0.65826388888889031</v>
      </c>
      <c r="C81" s="61">
        <f t="shared" si="6"/>
        <v>8.4027777777777781E-3</v>
      </c>
      <c r="D81" s="62"/>
      <c r="E81" s="62">
        <v>15</v>
      </c>
      <c r="F81" s="84">
        <f t="shared" si="5"/>
        <v>1.7361111111111112E-4</v>
      </c>
      <c r="G81" s="94" t="s">
        <v>60</v>
      </c>
      <c r="H81" s="91" t="str">
        <f>VLOOKUP(G81,Sponsors!$A:$H,3,0)</f>
        <v>PA+BGM</v>
      </c>
      <c r="I81" s="92" t="s">
        <v>61</v>
      </c>
      <c r="J81" s="92" t="s">
        <v>146</v>
      </c>
      <c r="K81" s="558" t="s">
        <v>147</v>
      </c>
      <c r="L81" s="554"/>
    </row>
    <row r="82" spans="1:12" ht="84" customHeight="1" outlineLevel="1" x14ac:dyDescent="0.2">
      <c r="A82" s="69">
        <f t="shared" si="0"/>
        <v>67</v>
      </c>
      <c r="B82" s="60">
        <f t="shared" si="1"/>
        <v>0.65843750000000145</v>
      </c>
      <c r="C82" s="61">
        <f t="shared" si="6"/>
        <v>8.2291666666666676E-3</v>
      </c>
      <c r="D82" s="62"/>
      <c r="E82" s="111">
        <v>15</v>
      </c>
      <c r="F82" s="84">
        <f t="shared" si="5"/>
        <v>1.7361111111111112E-4</v>
      </c>
      <c r="G82" s="94" t="s">
        <v>64</v>
      </c>
      <c r="H82" s="91" t="s">
        <v>65</v>
      </c>
      <c r="I82" s="92" t="s">
        <v>66</v>
      </c>
      <c r="J82" s="92" t="s">
        <v>67</v>
      </c>
      <c r="K82" s="559" t="s">
        <v>68</v>
      </c>
      <c r="L82" s="554"/>
    </row>
    <row r="83" spans="1:12" ht="36.75" customHeight="1" outlineLevel="1" x14ac:dyDescent="0.2">
      <c r="A83" s="69">
        <f t="shared" si="0"/>
        <v>68</v>
      </c>
      <c r="B83" s="60">
        <f t="shared" si="1"/>
        <v>0.65861111111111259</v>
      </c>
      <c r="C83" s="61">
        <f t="shared" si="6"/>
        <v>8.0555555555555571E-3</v>
      </c>
      <c r="D83" s="62"/>
      <c r="E83" s="111">
        <v>15</v>
      </c>
      <c r="F83" s="84">
        <f t="shared" si="5"/>
        <v>1.7361111111111112E-4</v>
      </c>
      <c r="G83" s="94" t="s">
        <v>69</v>
      </c>
      <c r="H83" s="91" t="str">
        <f>VLOOKUP(G83,Sponsors!$A:$H,3,0)</f>
        <v>PA+BGM</v>
      </c>
      <c r="I83" s="91" t="str">
        <f>VLOOKUP(G83,Sponsors!$A:$H,4,0)</f>
        <v>Molten Still</v>
      </c>
      <c r="J83" s="98" t="str">
        <f>VLOOKUP(G83,Sponsors!$A:$H,5,0)</f>
        <v xml:space="preserve">Molten </v>
      </c>
      <c r="K83" s="553" t="s">
        <v>70</v>
      </c>
      <c r="L83" s="554"/>
    </row>
    <row r="84" spans="1:12" ht="157" customHeight="1" outlineLevel="1" x14ac:dyDescent="0.2">
      <c r="A84" s="69">
        <f t="shared" si="0"/>
        <v>69</v>
      </c>
      <c r="B84" s="60">
        <f t="shared" si="1"/>
        <v>0.65878472222222373</v>
      </c>
      <c r="C84" s="61">
        <f t="shared" si="6"/>
        <v>7.8819444444444466E-3</v>
      </c>
      <c r="D84" s="62"/>
      <c r="E84" s="111">
        <v>15</v>
      </c>
      <c r="F84" s="84">
        <f t="shared" si="5"/>
        <v>1.7361111111111112E-4</v>
      </c>
      <c r="G84" s="94" t="s">
        <v>72</v>
      </c>
      <c r="H84" s="91" t="s">
        <v>65</v>
      </c>
      <c r="I84" s="91" t="s">
        <v>72</v>
      </c>
      <c r="J84" s="92" t="s">
        <v>101</v>
      </c>
      <c r="K84" s="558" t="s">
        <v>73</v>
      </c>
      <c r="L84" s="554"/>
    </row>
    <row r="85" spans="1:12" ht="130" customHeight="1" outlineLevel="1" x14ac:dyDescent="0.2">
      <c r="A85" s="69">
        <f t="shared" si="0"/>
        <v>70</v>
      </c>
      <c r="B85" s="60">
        <f t="shared" si="1"/>
        <v>0.65895833333333487</v>
      </c>
      <c r="C85" s="61">
        <f t="shared" si="6"/>
        <v>7.7083333333333353E-3</v>
      </c>
      <c r="D85" s="62"/>
      <c r="E85" s="111">
        <v>15</v>
      </c>
      <c r="F85" s="84">
        <f t="shared" si="5"/>
        <v>1.7361111111111112E-4</v>
      </c>
      <c r="G85" s="94" t="s">
        <v>74</v>
      </c>
      <c r="H85" s="91" t="s">
        <v>65</v>
      </c>
      <c r="I85" s="91" t="s">
        <v>74</v>
      </c>
      <c r="J85" s="92" t="s">
        <v>94</v>
      </c>
      <c r="K85" s="670" t="s">
        <v>1083</v>
      </c>
      <c r="L85" s="671"/>
    </row>
    <row r="86" spans="1:12" ht="36.75" customHeight="1" outlineLevel="1" x14ac:dyDescent="0.2">
      <c r="A86" s="69">
        <f t="shared" si="0"/>
        <v>71</v>
      </c>
      <c r="B86" s="60">
        <f t="shared" si="1"/>
        <v>0.65913194444444601</v>
      </c>
      <c r="C86" s="61">
        <f t="shared" si="6"/>
        <v>7.5347222222222239E-3</v>
      </c>
      <c r="D86" s="62"/>
      <c r="E86" s="111">
        <v>30</v>
      </c>
      <c r="F86" s="84">
        <f t="shared" si="5"/>
        <v>3.4722222222222224E-4</v>
      </c>
      <c r="G86" s="94" t="s">
        <v>91</v>
      </c>
      <c r="H86" s="99" t="s">
        <v>148</v>
      </c>
      <c r="I86" s="91" t="str">
        <f>VLOOKUP(G86,Sponsors!$A:$H,4,0)</f>
        <v>Neau Water Video</v>
      </c>
      <c r="J86" s="92" t="str">
        <f>VLOOKUP(G86,Sponsors!$A:$H,5,0)</f>
        <v>Neau Water</v>
      </c>
      <c r="K86" s="77"/>
      <c r="L86" s="78"/>
    </row>
    <row r="87" spans="1:12" ht="36.75" customHeight="1" outlineLevel="1" x14ac:dyDescent="0.2">
      <c r="A87" s="69">
        <f t="shared" si="0"/>
        <v>72</v>
      </c>
      <c r="B87" s="60">
        <f t="shared" si="1"/>
        <v>0.65947916666666828</v>
      </c>
      <c r="C87" s="61">
        <f t="shared" si="6"/>
        <v>7.187500000000002E-3</v>
      </c>
      <c r="D87" s="62"/>
      <c r="E87" s="111">
        <v>30</v>
      </c>
      <c r="F87" s="84">
        <f t="shared" si="5"/>
        <v>3.4722222222222224E-4</v>
      </c>
      <c r="G87" s="94" t="s">
        <v>98</v>
      </c>
      <c r="H87" s="91" t="s">
        <v>35</v>
      </c>
      <c r="I87" s="91" t="s">
        <v>98</v>
      </c>
      <c r="J87" s="92" t="s">
        <v>146</v>
      </c>
      <c r="K87" s="77"/>
      <c r="L87" s="78"/>
    </row>
    <row r="88" spans="1:12" ht="36.75" customHeight="1" outlineLevel="1" x14ac:dyDescent="0.2">
      <c r="A88" s="69">
        <f t="shared" si="0"/>
        <v>73</v>
      </c>
      <c r="B88" s="60">
        <f t="shared" si="1"/>
        <v>0.65982638888889056</v>
      </c>
      <c r="C88" s="61">
        <f t="shared" si="6"/>
        <v>6.8402777777777802E-3</v>
      </c>
      <c r="D88" s="62"/>
      <c r="E88" s="111">
        <v>30</v>
      </c>
      <c r="F88" s="84">
        <f t="shared" si="5"/>
        <v>3.4722222222222224E-4</v>
      </c>
      <c r="G88" s="94" t="s">
        <v>83</v>
      </c>
      <c r="H88" s="91" t="s">
        <v>86</v>
      </c>
      <c r="I88" s="91" t="s">
        <v>83</v>
      </c>
      <c r="J88" s="92" t="s">
        <v>48</v>
      </c>
      <c r="K88" s="77"/>
      <c r="L88" s="78"/>
    </row>
    <row r="89" spans="1:12" ht="36.75" customHeight="1" outlineLevel="1" x14ac:dyDescent="0.2">
      <c r="A89" s="69">
        <f t="shared" si="0"/>
        <v>74</v>
      </c>
      <c r="B89" s="60">
        <f t="shared" si="1"/>
        <v>0.66017361111111283</v>
      </c>
      <c r="C89" s="61">
        <f t="shared" si="6"/>
        <v>6.4930555555555583E-3</v>
      </c>
      <c r="D89" s="62"/>
      <c r="E89" s="111">
        <v>30</v>
      </c>
      <c r="F89" s="84">
        <f t="shared" si="5"/>
        <v>3.4722222222222224E-4</v>
      </c>
      <c r="G89" s="94" t="s">
        <v>85</v>
      </c>
      <c r="H89" s="91" t="s">
        <v>86</v>
      </c>
      <c r="I89" s="91" t="s">
        <v>85</v>
      </c>
      <c r="J89" s="92" t="s">
        <v>67</v>
      </c>
      <c r="K89" s="77"/>
      <c r="L89" s="78"/>
    </row>
    <row r="90" spans="1:12" ht="36.75" customHeight="1" outlineLevel="1" x14ac:dyDescent="0.2">
      <c r="A90" s="69">
        <f t="shared" si="0"/>
        <v>75</v>
      </c>
      <c r="B90" s="60">
        <f t="shared" si="1"/>
        <v>0.66052083333333511</v>
      </c>
      <c r="C90" s="61">
        <f t="shared" si="6"/>
        <v>6.1458333333333365E-3</v>
      </c>
      <c r="D90" s="62"/>
      <c r="E90" s="111">
        <v>30</v>
      </c>
      <c r="F90" s="84">
        <f t="shared" si="5"/>
        <v>3.4722222222222224E-4</v>
      </c>
      <c r="G90" s="94" t="s">
        <v>87</v>
      </c>
      <c r="H90" s="91" t="str">
        <f>VLOOKUP(G90,Sponsors!$A:$H,3,0)</f>
        <v>VT Audio</v>
      </c>
      <c r="I90" s="91" t="str">
        <f>VLOOKUP(G90,Sponsors!$A:$H,4,0)</f>
        <v>Molten Video</v>
      </c>
      <c r="J90" s="92" t="str">
        <f>VLOOKUP(G90,Sponsors!$A:$H,5,0)</f>
        <v xml:space="preserve">Molten </v>
      </c>
      <c r="K90" s="77"/>
      <c r="L90" s="78"/>
    </row>
    <row r="91" spans="1:12" ht="36.75" customHeight="1" outlineLevel="1" x14ac:dyDescent="0.2">
      <c r="A91" s="69">
        <f t="shared" si="0"/>
        <v>76</v>
      </c>
      <c r="B91" s="60">
        <f t="shared" si="1"/>
        <v>0.66086805555555739</v>
      </c>
      <c r="C91" s="61">
        <f t="shared" si="6"/>
        <v>5.7986111111111146E-3</v>
      </c>
      <c r="D91" s="62"/>
      <c r="E91" s="111">
        <v>30</v>
      </c>
      <c r="F91" s="84">
        <f t="shared" si="5"/>
        <v>3.4722222222222224E-4</v>
      </c>
      <c r="G91" s="94" t="s">
        <v>88</v>
      </c>
      <c r="H91" s="91" t="str">
        <f>VLOOKUP(G91,Sponsors!$A:$H,3,0)</f>
        <v>VT Audio</v>
      </c>
      <c r="I91" s="91" t="str">
        <f>VLOOKUP(G91,Sponsors!$A:$H,4,0)</f>
        <v>Aramco Video</v>
      </c>
      <c r="J91" s="92" t="str">
        <f>VLOOKUP(G91,Sponsors!$A:$H,5,0)</f>
        <v>Aramco</v>
      </c>
      <c r="K91" s="77"/>
      <c r="L91" s="78"/>
    </row>
    <row r="92" spans="1:12" ht="36.75" customHeight="1" outlineLevel="1" x14ac:dyDescent="0.2">
      <c r="A92" s="69">
        <f t="shared" si="0"/>
        <v>77</v>
      </c>
      <c r="B92" s="60">
        <f t="shared" si="1"/>
        <v>0.66121527777777966</v>
      </c>
      <c r="C92" s="61">
        <f t="shared" si="6"/>
        <v>5.4513888888888928E-3</v>
      </c>
      <c r="D92" s="62"/>
      <c r="E92" s="111">
        <v>30</v>
      </c>
      <c r="F92" s="84">
        <f t="shared" si="5"/>
        <v>3.4722222222222224E-4</v>
      </c>
      <c r="G92" s="94" t="s">
        <v>99</v>
      </c>
      <c r="H92" s="91" t="s">
        <v>86</v>
      </c>
      <c r="I92" s="91" t="s">
        <v>100</v>
      </c>
      <c r="J92" s="97" t="s">
        <v>101</v>
      </c>
      <c r="K92" s="77"/>
      <c r="L92" s="78"/>
    </row>
    <row r="93" spans="1:12" ht="36.75" customHeight="1" outlineLevel="1" x14ac:dyDescent="0.2">
      <c r="A93" s="69">
        <f t="shared" si="0"/>
        <v>78</v>
      </c>
      <c r="B93" s="60">
        <f t="shared" si="1"/>
        <v>0.66156250000000194</v>
      </c>
      <c r="C93" s="61">
        <f t="shared" si="6"/>
        <v>5.1041666666666709E-3</v>
      </c>
      <c r="D93" s="62"/>
      <c r="E93" s="111">
        <v>30</v>
      </c>
      <c r="F93" s="84">
        <f t="shared" si="5"/>
        <v>3.4722222222222224E-4</v>
      </c>
      <c r="G93" s="94" t="s">
        <v>149</v>
      </c>
      <c r="H93" s="91" t="str">
        <f>VLOOKUP(G93,Sponsors!$A:$H,3,0)</f>
        <v>VT Audio</v>
      </c>
      <c r="I93" s="91" t="str">
        <f>VLOOKUP(G93,Sponsors!$A:$H,4,0)</f>
        <v>Valvoline Video</v>
      </c>
      <c r="J93" s="92" t="str">
        <f>VLOOKUP(G93,Sponsors!$A:$H,5,0)</f>
        <v>Valvoline</v>
      </c>
      <c r="K93" s="77"/>
      <c r="L93" s="78"/>
    </row>
    <row r="94" spans="1:12" ht="36.75" customHeight="1" outlineLevel="1" x14ac:dyDescent="0.2">
      <c r="A94" s="69">
        <f t="shared" si="0"/>
        <v>79</v>
      </c>
      <c r="B94" s="60">
        <f t="shared" si="1"/>
        <v>0.66190972222222422</v>
      </c>
      <c r="C94" s="61">
        <f t="shared" si="6"/>
        <v>4.7569444444444491E-3</v>
      </c>
      <c r="D94" s="62"/>
      <c r="E94" s="111">
        <v>30</v>
      </c>
      <c r="F94" s="84">
        <f t="shared" si="5"/>
        <v>3.4722222222222224E-4</v>
      </c>
      <c r="G94" s="94" t="s">
        <v>150</v>
      </c>
      <c r="H94" s="91" t="s">
        <v>86</v>
      </c>
      <c r="I94" s="97" t="s">
        <v>151</v>
      </c>
      <c r="J94" s="97" t="s">
        <v>152</v>
      </c>
      <c r="K94" s="77"/>
      <c r="L94" s="78"/>
    </row>
    <row r="95" spans="1:12" ht="36.75" customHeight="1" outlineLevel="1" x14ac:dyDescent="0.2">
      <c r="A95" s="69">
        <f t="shared" si="0"/>
        <v>80</v>
      </c>
      <c r="B95" s="60">
        <f t="shared" si="1"/>
        <v>0.66225694444444649</v>
      </c>
      <c r="C95" s="61">
        <f t="shared" si="6"/>
        <v>4.4097222222222272E-3</v>
      </c>
      <c r="D95" s="62"/>
      <c r="E95" s="111">
        <v>30</v>
      </c>
      <c r="F95" s="84">
        <f t="shared" si="5"/>
        <v>3.4722222222222224E-4</v>
      </c>
      <c r="G95" s="94" t="s">
        <v>93</v>
      </c>
      <c r="H95" s="91" t="s">
        <v>86</v>
      </c>
      <c r="I95" s="91" t="s">
        <v>93</v>
      </c>
      <c r="J95" s="92" t="s">
        <v>94</v>
      </c>
      <c r="K95" s="77"/>
      <c r="L95" s="78"/>
    </row>
    <row r="96" spans="1:12" ht="36.75" customHeight="1" outlineLevel="1" x14ac:dyDescent="0.2">
      <c r="A96" s="69">
        <f t="shared" si="0"/>
        <v>81</v>
      </c>
      <c r="B96" s="60">
        <f t="shared" si="1"/>
        <v>0.66260416666666877</v>
      </c>
      <c r="C96" s="61">
        <f t="shared" si="6"/>
        <v>4.0625000000000053E-3</v>
      </c>
      <c r="D96" s="62"/>
      <c r="E96" s="111">
        <v>30</v>
      </c>
      <c r="F96" s="84">
        <f t="shared" si="5"/>
        <v>3.4722222222222224E-4</v>
      </c>
      <c r="G96" s="94" t="s">
        <v>91</v>
      </c>
      <c r="H96" s="91" t="s">
        <v>86</v>
      </c>
      <c r="I96" s="91" t="str">
        <f>VLOOKUP(G96,Sponsors!$A:$H,4,0)</f>
        <v>Neau Water Video</v>
      </c>
      <c r="J96" s="92" t="str">
        <f>VLOOKUP(G96,Sponsors!$A:$H,5,0)</f>
        <v>Neau Water</v>
      </c>
      <c r="K96" s="77"/>
      <c r="L96" s="78"/>
    </row>
    <row r="97" spans="1:12" ht="36.75" customHeight="1" outlineLevel="1" x14ac:dyDescent="0.2">
      <c r="A97" s="69">
        <f t="shared" si="0"/>
        <v>82</v>
      </c>
      <c r="B97" s="60">
        <f t="shared" si="1"/>
        <v>0.66295138888889105</v>
      </c>
      <c r="C97" s="61">
        <f t="shared" si="6"/>
        <v>3.7152777777777831E-3</v>
      </c>
      <c r="D97" s="62"/>
      <c r="E97" s="111">
        <v>39</v>
      </c>
      <c r="F97" s="84">
        <f t="shared" si="5"/>
        <v>4.5138888888888887E-4</v>
      </c>
      <c r="G97" s="140" t="s">
        <v>143</v>
      </c>
      <c r="H97" s="76" t="s">
        <v>86</v>
      </c>
      <c r="I97" s="74" t="s">
        <v>153</v>
      </c>
      <c r="J97" s="76" t="s">
        <v>154</v>
      </c>
      <c r="K97" s="77"/>
      <c r="L97" s="78"/>
    </row>
    <row r="98" spans="1:12" ht="24.75" customHeight="1" outlineLevel="1" x14ac:dyDescent="0.2">
      <c r="A98" s="69">
        <f t="shared" si="0"/>
        <v>83</v>
      </c>
      <c r="B98" s="60">
        <f t="shared" si="1"/>
        <v>0.6634027777777799</v>
      </c>
      <c r="C98" s="61">
        <f t="shared" si="6"/>
        <v>3.2638888888888943E-3</v>
      </c>
      <c r="D98" s="62"/>
      <c r="E98" s="111"/>
      <c r="F98" s="84">
        <f t="shared" si="5"/>
        <v>0</v>
      </c>
      <c r="G98" s="166"/>
      <c r="H98" s="167"/>
      <c r="I98" s="167"/>
      <c r="J98" s="167"/>
      <c r="K98" s="163"/>
      <c r="L98" s="164"/>
    </row>
    <row r="99" spans="1:12" ht="42" customHeight="1" outlineLevel="1" x14ac:dyDescent="0.2">
      <c r="A99" s="69">
        <f t="shared" si="0"/>
        <v>84</v>
      </c>
      <c r="B99" s="60">
        <f t="shared" si="1"/>
        <v>0.6634027777777799</v>
      </c>
      <c r="C99" s="61">
        <f t="shared" si="6"/>
        <v>3.2638888888888943E-3</v>
      </c>
      <c r="D99" s="62">
        <v>3</v>
      </c>
      <c r="E99" s="111">
        <v>42</v>
      </c>
      <c r="F99" s="63">
        <f t="shared" si="5"/>
        <v>2.5694444444444445E-3</v>
      </c>
      <c r="G99" s="168" t="s">
        <v>155</v>
      </c>
      <c r="H99" s="169" t="s">
        <v>156</v>
      </c>
      <c r="I99" s="74" t="s">
        <v>137</v>
      </c>
      <c r="J99" s="76" t="s">
        <v>157</v>
      </c>
      <c r="K99" s="77"/>
      <c r="L99" s="78"/>
    </row>
    <row r="100" spans="1:12" ht="54" customHeight="1" outlineLevel="1" x14ac:dyDescent="0.2">
      <c r="A100" s="69">
        <f t="shared" si="0"/>
        <v>85</v>
      </c>
      <c r="B100" s="60">
        <f t="shared" si="1"/>
        <v>0.6659722222222243</v>
      </c>
      <c r="C100" s="61">
        <f t="shared" si="6"/>
        <v>6.9444444444444978E-4</v>
      </c>
      <c r="D100" s="62">
        <v>1</v>
      </c>
      <c r="E100" s="111">
        <v>0</v>
      </c>
      <c r="F100" s="84">
        <f t="shared" si="5"/>
        <v>6.9444444444444447E-4</v>
      </c>
      <c r="G100" s="170" t="s">
        <v>158</v>
      </c>
      <c r="H100" s="74" t="s">
        <v>35</v>
      </c>
      <c r="I100" s="75" t="s">
        <v>106</v>
      </c>
      <c r="J100" s="76" t="s">
        <v>37</v>
      </c>
      <c r="K100" s="77"/>
      <c r="L100" s="78"/>
    </row>
    <row r="101" spans="1:12" ht="36.75" customHeight="1" outlineLevel="1" x14ac:dyDescent="0.2">
      <c r="A101" s="69">
        <f t="shared" si="0"/>
        <v>86</v>
      </c>
      <c r="B101" s="60">
        <f t="shared" si="1"/>
        <v>0.66666666666666874</v>
      </c>
      <c r="C101" s="142" t="str">
        <f>IF(C100-F100&gt;=0,TEXT(ABS(C100-F100),"-mm:ss"),TEXT(ABS(C100-F100),"+mm:ss"))</f>
        <v>-00:00</v>
      </c>
      <c r="D101" s="62"/>
      <c r="E101" s="62"/>
      <c r="F101" s="84">
        <f t="shared" si="5"/>
        <v>0</v>
      </c>
      <c r="G101" s="171" t="s">
        <v>159</v>
      </c>
      <c r="H101" s="172"/>
      <c r="I101" s="172"/>
      <c r="J101" s="172"/>
      <c r="K101" s="173"/>
      <c r="L101" s="174"/>
    </row>
    <row r="102" spans="1:12" ht="36.75" customHeight="1" outlineLevel="1" x14ac:dyDescent="0.2">
      <c r="A102" s="69">
        <f t="shared" si="0"/>
        <v>87</v>
      </c>
      <c r="B102" s="60">
        <f t="shared" si="1"/>
        <v>0.66666666666666874</v>
      </c>
      <c r="C102" s="61"/>
      <c r="D102" s="62">
        <v>45</v>
      </c>
      <c r="E102" s="62"/>
      <c r="F102" s="84">
        <f t="shared" si="5"/>
        <v>3.125E-2</v>
      </c>
      <c r="G102" s="175" t="s">
        <v>160</v>
      </c>
      <c r="H102" s="74"/>
      <c r="I102" s="74"/>
      <c r="J102" s="76"/>
      <c r="K102" s="77"/>
      <c r="L102" s="78"/>
    </row>
    <row r="103" spans="1:12" ht="54.75" customHeight="1" outlineLevel="1" x14ac:dyDescent="0.2">
      <c r="A103" s="69">
        <f t="shared" si="0"/>
        <v>88</v>
      </c>
      <c r="B103" s="60">
        <f t="shared" si="1"/>
        <v>0.69791666666666874</v>
      </c>
      <c r="C103" s="61"/>
      <c r="D103" s="62"/>
      <c r="E103" s="62"/>
      <c r="F103" s="84">
        <f t="shared" si="5"/>
        <v>0</v>
      </c>
      <c r="G103" s="176" t="s">
        <v>161</v>
      </c>
      <c r="H103" s="74"/>
      <c r="I103" s="74"/>
      <c r="J103" s="76"/>
      <c r="K103" s="177" t="s">
        <v>162</v>
      </c>
      <c r="L103" s="178" t="s">
        <v>163</v>
      </c>
    </row>
    <row r="104" spans="1:12" ht="64.5" customHeight="1" outlineLevel="1" x14ac:dyDescent="0.2">
      <c r="A104" s="69">
        <f t="shared" si="0"/>
        <v>89</v>
      </c>
      <c r="B104" s="60">
        <f t="shared" si="1"/>
        <v>0.69791666666666874</v>
      </c>
      <c r="C104" s="61">
        <v>1.0416666666666666E-2</v>
      </c>
      <c r="D104" s="62">
        <v>1</v>
      </c>
      <c r="E104" s="62">
        <v>0</v>
      </c>
      <c r="F104" s="84">
        <f t="shared" si="5"/>
        <v>6.9444444444444447E-4</v>
      </c>
      <c r="G104" s="85" t="s">
        <v>164</v>
      </c>
      <c r="H104" s="161" t="s">
        <v>136</v>
      </c>
      <c r="I104" s="161" t="s">
        <v>137</v>
      </c>
      <c r="J104" s="76" t="s">
        <v>37</v>
      </c>
      <c r="K104" s="563"/>
      <c r="L104" s="554"/>
    </row>
    <row r="105" spans="1:12" ht="36.75" customHeight="1" outlineLevel="1" x14ac:dyDescent="0.2">
      <c r="A105" s="69">
        <f t="shared" si="0"/>
        <v>90</v>
      </c>
      <c r="B105" s="60">
        <f t="shared" si="1"/>
        <v>0.69861111111111318</v>
      </c>
      <c r="C105" s="61"/>
      <c r="D105" s="62">
        <v>1</v>
      </c>
      <c r="E105" s="62"/>
      <c r="F105" s="84">
        <f t="shared" si="5"/>
        <v>6.9444444444444447E-4</v>
      </c>
      <c r="G105" s="179" t="s">
        <v>165</v>
      </c>
      <c r="H105" s="74" t="s">
        <v>35</v>
      </c>
      <c r="I105" s="74" t="s">
        <v>141</v>
      </c>
      <c r="J105" s="76" t="s">
        <v>37</v>
      </c>
      <c r="K105" s="77"/>
      <c r="L105" s="78"/>
    </row>
    <row r="106" spans="1:12" ht="36.75" customHeight="1" outlineLevel="1" x14ac:dyDescent="0.2">
      <c r="A106" s="69">
        <f t="shared" si="0"/>
        <v>91</v>
      </c>
      <c r="B106" s="60">
        <f t="shared" si="1"/>
        <v>0.69930555555555762</v>
      </c>
      <c r="C106" s="61"/>
      <c r="D106" s="62"/>
      <c r="E106" s="62"/>
      <c r="F106" s="84">
        <f t="shared" si="5"/>
        <v>0</v>
      </c>
      <c r="G106" s="166"/>
      <c r="H106" s="167"/>
      <c r="I106" s="167"/>
      <c r="J106" s="167"/>
      <c r="K106" s="163"/>
      <c r="L106" s="164"/>
    </row>
    <row r="107" spans="1:12" ht="36.75" customHeight="1" outlineLevel="1" x14ac:dyDescent="0.2">
      <c r="A107" s="69">
        <f t="shared" si="0"/>
        <v>92</v>
      </c>
      <c r="B107" s="60">
        <f t="shared" si="1"/>
        <v>0.69930555555555762</v>
      </c>
      <c r="C107" s="61"/>
      <c r="D107" s="62"/>
      <c r="E107" s="62"/>
      <c r="F107" s="84">
        <f t="shared" si="5"/>
        <v>0</v>
      </c>
      <c r="G107" s="88" t="s">
        <v>166</v>
      </c>
      <c r="H107" s="180"/>
      <c r="I107" s="180"/>
      <c r="J107" s="180"/>
      <c r="K107" s="77"/>
      <c r="L107" s="78"/>
    </row>
    <row r="108" spans="1:12" ht="81" customHeight="1" outlineLevel="1" x14ac:dyDescent="0.2">
      <c r="A108" s="69">
        <f t="shared" si="0"/>
        <v>93</v>
      </c>
      <c r="B108" s="60">
        <f t="shared" si="1"/>
        <v>0.69930555555555762</v>
      </c>
      <c r="C108" s="61"/>
      <c r="D108" s="62"/>
      <c r="E108" s="62">
        <v>15</v>
      </c>
      <c r="F108" s="84">
        <f t="shared" si="5"/>
        <v>1.7361111111111112E-4</v>
      </c>
      <c r="G108" s="90" t="s">
        <v>46</v>
      </c>
      <c r="H108" s="91" t="str">
        <f>VLOOKUP(G108,Sponsors!$A:$H,3,0)</f>
        <v>PA+BGM</v>
      </c>
      <c r="I108" s="91" t="s">
        <v>47</v>
      </c>
      <c r="J108" s="92" t="s">
        <v>48</v>
      </c>
      <c r="K108" s="93" t="s">
        <v>49</v>
      </c>
      <c r="L108" s="93" t="s">
        <v>50</v>
      </c>
    </row>
    <row r="109" spans="1:12" ht="108.75" customHeight="1" outlineLevel="1" x14ac:dyDescent="0.2">
      <c r="A109" s="69">
        <f t="shared" si="0"/>
        <v>94</v>
      </c>
      <c r="B109" s="60">
        <f t="shared" si="1"/>
        <v>0.69947916666666876</v>
      </c>
      <c r="C109" s="61"/>
      <c r="D109" s="62"/>
      <c r="E109" s="62">
        <v>15</v>
      </c>
      <c r="F109" s="84">
        <f t="shared" si="5"/>
        <v>1.7361111111111112E-4</v>
      </c>
      <c r="G109" s="94" t="s">
        <v>64</v>
      </c>
      <c r="H109" s="91" t="s">
        <v>65</v>
      </c>
      <c r="I109" s="91" t="s">
        <v>66</v>
      </c>
      <c r="J109" s="92" t="s">
        <v>67</v>
      </c>
      <c r="K109" s="559" t="s">
        <v>68</v>
      </c>
      <c r="L109" s="554"/>
    </row>
    <row r="110" spans="1:12" ht="73.5" customHeight="1" outlineLevel="1" x14ac:dyDescent="0.2">
      <c r="A110" s="69">
        <f t="shared" si="0"/>
        <v>95</v>
      </c>
      <c r="B110" s="60">
        <f t="shared" si="1"/>
        <v>0.6996527777777799</v>
      </c>
      <c r="C110" s="61"/>
      <c r="D110" s="62"/>
      <c r="E110" s="62">
        <v>15</v>
      </c>
      <c r="F110" s="84">
        <f t="shared" si="5"/>
        <v>1.7361111111111112E-4</v>
      </c>
      <c r="G110" s="90" t="s">
        <v>69</v>
      </c>
      <c r="H110" s="91" t="str">
        <f>VLOOKUP(G110,Sponsors!$A:$H,3,0)</f>
        <v>PA+BGM</v>
      </c>
      <c r="I110" s="91" t="str">
        <f>VLOOKUP(G110,Sponsors!$A:$H,4,0)</f>
        <v>Molten Still</v>
      </c>
      <c r="J110" s="92" t="s">
        <v>167</v>
      </c>
      <c r="K110" s="553" t="s">
        <v>70</v>
      </c>
      <c r="L110" s="554"/>
    </row>
    <row r="111" spans="1:12" ht="36.75" customHeight="1" outlineLevel="1" x14ac:dyDescent="0.2">
      <c r="A111" s="69">
        <f t="shared" si="0"/>
        <v>96</v>
      </c>
      <c r="B111" s="60">
        <f t="shared" si="1"/>
        <v>0.69982638888889104</v>
      </c>
      <c r="C111" s="61"/>
      <c r="D111" s="62"/>
      <c r="E111" s="62">
        <v>30</v>
      </c>
      <c r="F111" s="84">
        <f t="shared" si="5"/>
        <v>3.4722222222222224E-4</v>
      </c>
      <c r="G111" s="90" t="s">
        <v>83</v>
      </c>
      <c r="H111" s="91" t="s">
        <v>86</v>
      </c>
      <c r="I111" s="91" t="s">
        <v>83</v>
      </c>
      <c r="J111" s="92" t="s">
        <v>48</v>
      </c>
      <c r="K111" s="163"/>
      <c r="L111" s="164"/>
    </row>
    <row r="112" spans="1:12" ht="36.75" customHeight="1" outlineLevel="1" x14ac:dyDescent="0.2">
      <c r="A112" s="69">
        <f t="shared" si="0"/>
        <v>97</v>
      </c>
      <c r="B112" s="60">
        <f t="shared" si="1"/>
        <v>0.70017361111111331</v>
      </c>
      <c r="C112" s="61"/>
      <c r="D112" s="62"/>
      <c r="E112" s="62">
        <v>30</v>
      </c>
      <c r="F112" s="181">
        <f t="shared" si="5"/>
        <v>3.4722222222222224E-4</v>
      </c>
      <c r="G112" s="90" t="s">
        <v>85</v>
      </c>
      <c r="H112" s="91" t="s">
        <v>86</v>
      </c>
      <c r="I112" s="91" t="s">
        <v>85</v>
      </c>
      <c r="J112" s="92" t="s">
        <v>67</v>
      </c>
      <c r="K112" s="163"/>
      <c r="L112" s="164"/>
    </row>
    <row r="113" spans="1:12" ht="36.75" customHeight="1" outlineLevel="1" x14ac:dyDescent="0.2">
      <c r="A113" s="69">
        <f t="shared" si="0"/>
        <v>98</v>
      </c>
      <c r="B113" s="60">
        <f t="shared" si="1"/>
        <v>0.70052083333333559</v>
      </c>
      <c r="C113" s="61"/>
      <c r="D113" s="62"/>
      <c r="E113" s="62">
        <v>30</v>
      </c>
      <c r="F113" s="84">
        <f t="shared" si="5"/>
        <v>3.4722222222222224E-4</v>
      </c>
      <c r="G113" s="94" t="s">
        <v>87</v>
      </c>
      <c r="H113" s="91" t="str">
        <f>VLOOKUP(G113,Sponsors!$A:$H,3,0)</f>
        <v>VT Audio</v>
      </c>
      <c r="I113" s="91" t="str">
        <f>VLOOKUP(G113,Sponsors!$A:$H,4,0)</f>
        <v>Molten Video</v>
      </c>
      <c r="J113" s="92" t="str">
        <f>VLOOKUP(G113,Sponsors!$A:$H,5,0)</f>
        <v xml:space="preserve">Molten </v>
      </c>
      <c r="K113" s="163"/>
      <c r="L113" s="164"/>
    </row>
    <row r="114" spans="1:12" ht="36.75" customHeight="1" outlineLevel="1" x14ac:dyDescent="0.2">
      <c r="A114" s="69">
        <f t="shared" si="0"/>
        <v>99</v>
      </c>
      <c r="B114" s="60">
        <f t="shared" si="1"/>
        <v>0.70086805555555787</v>
      </c>
      <c r="C114" s="61"/>
      <c r="D114" s="62"/>
      <c r="E114" s="62">
        <v>30</v>
      </c>
      <c r="F114" s="84">
        <f t="shared" si="5"/>
        <v>3.4722222222222224E-4</v>
      </c>
      <c r="G114" s="94" t="s">
        <v>88</v>
      </c>
      <c r="H114" s="91" t="str">
        <f>VLOOKUP(G114,Sponsors!$A:$H,3,0)</f>
        <v>VT Audio</v>
      </c>
      <c r="I114" s="91" t="str">
        <f>VLOOKUP(G114,Sponsors!$A:$H,4,0)</f>
        <v>Aramco Video</v>
      </c>
      <c r="J114" s="92" t="str">
        <f>VLOOKUP(G114,Sponsors!$A:$H,5,0)</f>
        <v>Aramco</v>
      </c>
      <c r="K114" s="163"/>
      <c r="L114" s="164"/>
    </row>
    <row r="115" spans="1:12" ht="36.75" customHeight="1" outlineLevel="1" x14ac:dyDescent="0.2">
      <c r="A115" s="69">
        <f t="shared" si="0"/>
        <v>100</v>
      </c>
      <c r="B115" s="60">
        <f t="shared" si="1"/>
        <v>0.70121527777778014</v>
      </c>
      <c r="C115" s="61"/>
      <c r="D115" s="62">
        <v>4</v>
      </c>
      <c r="E115" s="62">
        <v>30</v>
      </c>
      <c r="F115" s="84">
        <f t="shared" si="5"/>
        <v>3.1250000000000002E-3</v>
      </c>
      <c r="G115" s="140" t="s">
        <v>168</v>
      </c>
      <c r="H115" s="74" t="s">
        <v>35</v>
      </c>
      <c r="I115" s="75" t="s">
        <v>169</v>
      </c>
      <c r="J115" s="76" t="s">
        <v>37</v>
      </c>
      <c r="K115" s="182"/>
      <c r="L115" s="183"/>
    </row>
    <row r="116" spans="1:12" ht="36.75" customHeight="1" outlineLevel="1" x14ac:dyDescent="0.25">
      <c r="A116" s="184"/>
      <c r="B116" s="185"/>
      <c r="C116" s="185"/>
      <c r="D116" s="186"/>
      <c r="E116" s="186"/>
      <c r="F116" s="185"/>
      <c r="G116" s="187"/>
      <c r="H116" s="188"/>
      <c r="I116" s="188"/>
      <c r="J116" s="188"/>
      <c r="K116" s="189"/>
      <c r="L116" s="189"/>
    </row>
    <row r="117" spans="1:12" ht="13.5" customHeight="1" outlineLevel="1" x14ac:dyDescent="0.25">
      <c r="A117" s="190"/>
      <c r="B117" s="191"/>
      <c r="C117" s="191"/>
      <c r="D117" s="192"/>
      <c r="E117" s="192"/>
      <c r="F117" s="191"/>
      <c r="G117" s="193"/>
      <c r="H117" s="194"/>
      <c r="I117" s="194"/>
      <c r="J117" s="194"/>
      <c r="K117" s="195"/>
      <c r="L117" s="195"/>
    </row>
    <row r="118" spans="1:12" ht="13.5" customHeight="1" x14ac:dyDescent="0.25">
      <c r="A118" s="196"/>
      <c r="B118" s="197"/>
      <c r="C118" s="198" t="s">
        <v>1</v>
      </c>
      <c r="D118" s="197"/>
      <c r="E118" s="197"/>
      <c r="F118" s="198" t="s">
        <v>2</v>
      </c>
      <c r="G118" s="199" t="s">
        <v>3</v>
      </c>
      <c r="H118" s="200"/>
      <c r="I118" s="200"/>
      <c r="J118" s="200"/>
      <c r="K118" s="201"/>
      <c r="L118" s="201"/>
    </row>
    <row r="119" spans="1:12" ht="13.5" customHeight="1" x14ac:dyDescent="0.25">
      <c r="A119" s="196"/>
      <c r="B119" s="197"/>
      <c r="C119" s="202" t="s">
        <v>20</v>
      </c>
      <c r="D119" s="203"/>
      <c r="E119" s="204" t="s">
        <v>6</v>
      </c>
      <c r="F119" s="74" t="s">
        <v>170</v>
      </c>
      <c r="G119" s="76" t="s">
        <v>171</v>
      </c>
      <c r="H119" s="205"/>
      <c r="I119" s="205"/>
      <c r="J119" s="205"/>
      <c r="K119" s="206"/>
      <c r="L119" s="206"/>
    </row>
    <row r="120" spans="1:12" ht="13.5" customHeight="1" x14ac:dyDescent="0.25">
      <c r="A120" s="196"/>
      <c r="B120" s="197" t="s">
        <v>12</v>
      </c>
      <c r="C120" s="207" t="s">
        <v>7</v>
      </c>
      <c r="D120" s="197" t="s">
        <v>172</v>
      </c>
      <c r="E120" s="197"/>
      <c r="F120" s="208">
        <f>VLOOKUP(C119,'Match Database '!$A:$G,4,FALSE)</f>
        <v>0.77083333333333337</v>
      </c>
      <c r="G120" s="209" t="s">
        <v>8</v>
      </c>
      <c r="H120" s="564">
        <f>VLOOKUP(C119,'Match Database '!$A:$G,3,FALSE)</f>
        <v>0.72916666666666663</v>
      </c>
      <c r="I120" s="565"/>
      <c r="J120" s="565"/>
      <c r="K120" s="554"/>
      <c r="L120" s="206"/>
    </row>
    <row r="121" spans="1:12" ht="13.5" customHeight="1" x14ac:dyDescent="0.25">
      <c r="A121" s="190"/>
      <c r="B121" s="210"/>
      <c r="C121" s="210"/>
      <c r="D121" s="211" t="str">
        <f>IF($C$13-$B$207&gt;=0,TEXT(ABS($C$13-$B$207),"-mm:ss"),TEXT(ABS($C$13-$B$207),"+mm:ss"))</f>
        <v>+00:00</v>
      </c>
      <c r="E121" s="210"/>
      <c r="F121" s="212"/>
      <c r="G121" s="210"/>
      <c r="H121" s="213"/>
      <c r="I121" s="213"/>
      <c r="J121" s="213"/>
      <c r="K121" s="195"/>
      <c r="L121" s="195"/>
    </row>
    <row r="122" spans="1:12" ht="21" customHeight="1" x14ac:dyDescent="0.2">
      <c r="A122" s="214" t="s">
        <v>173</v>
      </c>
      <c r="B122" s="214" t="s">
        <v>29</v>
      </c>
      <c r="C122" s="214" t="s">
        <v>30</v>
      </c>
      <c r="D122" s="215" t="s">
        <v>31</v>
      </c>
      <c r="E122" s="215" t="s">
        <v>32</v>
      </c>
      <c r="F122" s="216" t="s">
        <v>33</v>
      </c>
      <c r="G122" s="217" t="s">
        <v>14</v>
      </c>
      <c r="H122" s="218" t="s">
        <v>15</v>
      </c>
      <c r="I122" s="219"/>
      <c r="J122" s="219"/>
      <c r="K122" s="58" t="s">
        <v>18</v>
      </c>
      <c r="L122" s="58" t="s">
        <v>18</v>
      </c>
    </row>
    <row r="123" spans="1:12" ht="33" customHeight="1" outlineLevel="1" x14ac:dyDescent="0.2">
      <c r="A123" s="220">
        <f>A115+1</f>
        <v>101</v>
      </c>
      <c r="B123" s="221">
        <f>B115+F115</f>
        <v>0.70434027777778019</v>
      </c>
      <c r="C123" s="70">
        <f>F120-B123</f>
        <v>6.6493055555553182E-2</v>
      </c>
      <c r="D123" s="71"/>
      <c r="E123" s="71"/>
      <c r="F123" s="72">
        <f t="shared" ref="F123:F126" si="7">TIME(0,D123,E123)</f>
        <v>0</v>
      </c>
      <c r="G123" s="82"/>
      <c r="H123" s="82"/>
      <c r="I123" s="82"/>
      <c r="J123" s="82"/>
      <c r="K123" s="67"/>
      <c r="L123" s="68"/>
    </row>
    <row r="124" spans="1:12" ht="33" customHeight="1" outlineLevel="1" x14ac:dyDescent="0.2">
      <c r="A124" s="222">
        <f t="shared" ref="A124:A245" si="8">A123+1</f>
        <v>102</v>
      </c>
      <c r="B124" s="60">
        <f t="shared" ref="B124:B239" si="9">B123+F123</f>
        <v>0.70434027777778019</v>
      </c>
      <c r="C124" s="61">
        <f t="shared" ref="C124:C125" si="10">C123-F123</f>
        <v>6.6493055555553182E-2</v>
      </c>
      <c r="D124" s="62">
        <v>20</v>
      </c>
      <c r="E124" s="62">
        <v>15</v>
      </c>
      <c r="F124" s="84">
        <f t="shared" si="7"/>
        <v>1.40625E-2</v>
      </c>
      <c r="G124" s="223" t="s">
        <v>174</v>
      </c>
      <c r="H124" s="74" t="s">
        <v>35</v>
      </c>
      <c r="I124" s="75" t="s">
        <v>169</v>
      </c>
      <c r="J124" s="76" t="s">
        <v>37</v>
      </c>
      <c r="K124" s="77"/>
      <c r="L124" s="78"/>
    </row>
    <row r="125" spans="1:12" ht="33" customHeight="1" outlineLevel="1" x14ac:dyDescent="0.2">
      <c r="A125" s="220">
        <f t="shared" si="8"/>
        <v>103</v>
      </c>
      <c r="B125" s="221">
        <f t="shared" si="9"/>
        <v>0.71840277777778017</v>
      </c>
      <c r="C125" s="70">
        <f t="shared" si="10"/>
        <v>5.2430555555553184E-2</v>
      </c>
      <c r="D125" s="71"/>
      <c r="E125" s="71"/>
      <c r="F125" s="72">
        <f t="shared" si="7"/>
        <v>0</v>
      </c>
      <c r="G125" s="82"/>
      <c r="H125" s="82"/>
      <c r="I125" s="82"/>
      <c r="J125" s="82"/>
      <c r="K125" s="77"/>
      <c r="L125" s="78"/>
    </row>
    <row r="126" spans="1:12" ht="33" customHeight="1" outlineLevel="1" x14ac:dyDescent="0.2">
      <c r="A126" s="220">
        <f t="shared" si="8"/>
        <v>104</v>
      </c>
      <c r="B126" s="221">
        <f t="shared" ref="B126:B189" si="11">B125+F125</f>
        <v>0.71840277777778017</v>
      </c>
      <c r="C126" s="70">
        <f t="shared" ref="C126:C189" si="12">C125-F125</f>
        <v>5.2430555555553184E-2</v>
      </c>
      <c r="D126" s="62"/>
      <c r="E126" s="62"/>
      <c r="F126" s="84">
        <f t="shared" si="7"/>
        <v>0</v>
      </c>
      <c r="G126" s="88" t="s">
        <v>45</v>
      </c>
      <c r="H126" s="224"/>
      <c r="I126" s="224"/>
      <c r="J126" s="225"/>
      <c r="K126" s="226"/>
      <c r="L126" s="227"/>
    </row>
    <row r="127" spans="1:12" ht="123" customHeight="1" outlineLevel="1" x14ac:dyDescent="0.2">
      <c r="A127" s="220">
        <f t="shared" si="8"/>
        <v>105</v>
      </c>
      <c r="B127" s="221">
        <f t="shared" si="11"/>
        <v>0.71840277777778017</v>
      </c>
      <c r="C127" s="70">
        <f t="shared" si="12"/>
        <v>5.2430555555553184E-2</v>
      </c>
      <c r="D127" s="62"/>
      <c r="E127" s="62">
        <v>15</v>
      </c>
      <c r="F127" s="84">
        <v>1.7361111111111112E-4</v>
      </c>
      <c r="G127" s="96" t="s">
        <v>57</v>
      </c>
      <c r="H127" s="91" t="str">
        <f>VLOOKUP(G127,Sponsors!$A:$H,3,0)</f>
        <v>PA+BGM</v>
      </c>
      <c r="I127" s="92" t="s">
        <v>58</v>
      </c>
      <c r="J127" s="92" t="s">
        <v>37</v>
      </c>
      <c r="K127" s="560" t="s">
        <v>59</v>
      </c>
      <c r="L127" s="561"/>
    </row>
    <row r="128" spans="1:12" ht="103.5" customHeight="1" outlineLevel="1" x14ac:dyDescent="0.2">
      <c r="A128" s="220">
        <f t="shared" si="8"/>
        <v>106</v>
      </c>
      <c r="B128" s="221">
        <f t="shared" si="11"/>
        <v>0.7185763888888913</v>
      </c>
      <c r="C128" s="70">
        <f t="shared" si="12"/>
        <v>5.2256944444442073E-2</v>
      </c>
      <c r="D128" s="62"/>
      <c r="E128" s="62">
        <v>15</v>
      </c>
      <c r="F128" s="84">
        <f t="shared" ref="F128:F168" si="13">TIME(0,D128,E128)</f>
        <v>1.7361111111111112E-4</v>
      </c>
      <c r="G128" s="90" t="s">
        <v>46</v>
      </c>
      <c r="H128" s="91" t="str">
        <f>VLOOKUP(G128,Sponsors!$A:$H,3,0)</f>
        <v>PA+BGM</v>
      </c>
      <c r="I128" s="91" t="s">
        <v>47</v>
      </c>
      <c r="J128" s="98" t="s">
        <v>48</v>
      </c>
      <c r="K128" s="93" t="s">
        <v>49</v>
      </c>
      <c r="L128" s="93" t="s">
        <v>50</v>
      </c>
    </row>
    <row r="129" spans="1:12" ht="103.5" customHeight="1" outlineLevel="1" x14ac:dyDescent="0.2">
      <c r="A129" s="220">
        <f t="shared" si="8"/>
        <v>107</v>
      </c>
      <c r="B129" s="221">
        <f t="shared" si="11"/>
        <v>0.71875000000000244</v>
      </c>
      <c r="C129" s="70">
        <f t="shared" si="12"/>
        <v>5.2083333333330963E-2</v>
      </c>
      <c r="D129" s="62"/>
      <c r="E129" s="62">
        <v>15</v>
      </c>
      <c r="F129" s="84">
        <f t="shared" si="13"/>
        <v>1.7361111111111112E-4</v>
      </c>
      <c r="G129" s="94" t="s">
        <v>60</v>
      </c>
      <c r="H129" s="91" t="str">
        <f>VLOOKUP(G129,Sponsors!$A:$H,3,0)</f>
        <v>PA+BGM</v>
      </c>
      <c r="I129" s="92" t="s">
        <v>61</v>
      </c>
      <c r="J129" s="228" t="s">
        <v>146</v>
      </c>
      <c r="K129" s="558" t="s">
        <v>147</v>
      </c>
      <c r="L129" s="554"/>
    </row>
    <row r="130" spans="1:12" ht="94.5" customHeight="1" outlineLevel="1" x14ac:dyDescent="0.2">
      <c r="A130" s="220">
        <f t="shared" si="8"/>
        <v>108</v>
      </c>
      <c r="B130" s="221">
        <f t="shared" si="11"/>
        <v>0.71892361111111358</v>
      </c>
      <c r="C130" s="70">
        <f t="shared" si="12"/>
        <v>5.1909722222219852E-2</v>
      </c>
      <c r="D130" s="62"/>
      <c r="E130" s="62">
        <v>15</v>
      </c>
      <c r="F130" s="84">
        <f t="shared" si="13"/>
        <v>1.7361111111111112E-4</v>
      </c>
      <c r="G130" s="94" t="s">
        <v>64</v>
      </c>
      <c r="H130" s="91" t="s">
        <v>65</v>
      </c>
      <c r="I130" s="92" t="s">
        <v>175</v>
      </c>
      <c r="J130" s="228" t="s">
        <v>67</v>
      </c>
      <c r="K130" s="559" t="s">
        <v>68</v>
      </c>
      <c r="L130" s="554"/>
    </row>
    <row r="131" spans="1:12" ht="63" customHeight="1" outlineLevel="1" x14ac:dyDescent="0.2">
      <c r="A131" s="220">
        <f t="shared" si="8"/>
        <v>109</v>
      </c>
      <c r="B131" s="221">
        <f t="shared" si="11"/>
        <v>0.71909722222222472</v>
      </c>
      <c r="C131" s="70">
        <f t="shared" si="12"/>
        <v>5.1736111111108742E-2</v>
      </c>
      <c r="D131" s="62"/>
      <c r="E131" s="62">
        <v>15</v>
      </c>
      <c r="F131" s="84">
        <f t="shared" si="13"/>
        <v>1.7361111111111112E-4</v>
      </c>
      <c r="G131" s="94" t="s">
        <v>69</v>
      </c>
      <c r="H131" s="91" t="str">
        <f>VLOOKUP(G131,Sponsors!$A:$H,3,0)</f>
        <v>PA+BGM</v>
      </c>
      <c r="I131" s="91" t="str">
        <f>VLOOKUP(G131,Sponsors!$A:$H,4,0)</f>
        <v>Molten Still</v>
      </c>
      <c r="J131" s="98" t="str">
        <f>VLOOKUP(G131,Sponsors!$A:$H,5,0)</f>
        <v xml:space="preserve">Molten </v>
      </c>
      <c r="K131" s="553" t="s">
        <v>70</v>
      </c>
      <c r="L131" s="554"/>
    </row>
    <row r="132" spans="1:12" ht="33" customHeight="1" outlineLevel="1" x14ac:dyDescent="0.2">
      <c r="A132" s="220">
        <f t="shared" si="8"/>
        <v>110</v>
      </c>
      <c r="B132" s="221">
        <f t="shared" si="11"/>
        <v>0.71927083333333586</v>
      </c>
      <c r="C132" s="70">
        <f t="shared" si="12"/>
        <v>5.1562499999997631E-2</v>
      </c>
      <c r="D132" s="62"/>
      <c r="E132" s="62">
        <v>15</v>
      </c>
      <c r="F132" s="84">
        <f t="shared" si="13"/>
        <v>1.7361111111111112E-4</v>
      </c>
      <c r="G132" s="90" t="s">
        <v>71</v>
      </c>
      <c r="H132" s="99" t="str">
        <f>VLOOKUP(G132,Sponsors!$A:$H,3,0)</f>
        <v>PA+Audio File from DJ</v>
      </c>
      <c r="I132" s="91" t="str">
        <f>VLOOKUP(G132,Sponsors!$A:$H,4,0)</f>
        <v>Neau Water Still</v>
      </c>
      <c r="J132" s="97" t="str">
        <f>VLOOKUP(G132,Sponsors!$A:$H,5,0)</f>
        <v>Neau Water</v>
      </c>
      <c r="K132" s="562" t="s">
        <v>176</v>
      </c>
      <c r="L132" s="554"/>
    </row>
    <row r="133" spans="1:12" ht="93.75" customHeight="1" outlineLevel="1" x14ac:dyDescent="0.2">
      <c r="A133" s="220">
        <f t="shared" si="8"/>
        <v>111</v>
      </c>
      <c r="B133" s="221">
        <f t="shared" si="11"/>
        <v>0.719444444444447</v>
      </c>
      <c r="C133" s="70">
        <f t="shared" si="12"/>
        <v>5.1388888888886521E-2</v>
      </c>
      <c r="D133" s="62"/>
      <c r="E133" s="62">
        <v>15</v>
      </c>
      <c r="F133" s="63">
        <f t="shared" si="13"/>
        <v>1.7361111111111112E-4</v>
      </c>
      <c r="G133" s="90" t="s">
        <v>72</v>
      </c>
      <c r="H133" s="91" t="s">
        <v>65</v>
      </c>
      <c r="I133" s="91" t="s">
        <v>72</v>
      </c>
      <c r="J133" s="228" t="s">
        <v>101</v>
      </c>
      <c r="K133" s="558" t="s">
        <v>73</v>
      </c>
      <c r="L133" s="554"/>
    </row>
    <row r="134" spans="1:12" ht="33" customHeight="1" outlineLevel="1" x14ac:dyDescent="0.2">
      <c r="A134" s="220">
        <f t="shared" si="8"/>
        <v>112</v>
      </c>
      <c r="B134" s="221">
        <f t="shared" si="11"/>
        <v>0.71961805555555813</v>
      </c>
      <c r="C134" s="70">
        <f t="shared" si="12"/>
        <v>5.121527777777541E-2</v>
      </c>
      <c r="D134" s="62"/>
      <c r="E134" s="62">
        <v>15</v>
      </c>
      <c r="F134" s="84">
        <f t="shared" si="13"/>
        <v>1.7361111111111112E-4</v>
      </c>
      <c r="G134" s="90" t="s">
        <v>74</v>
      </c>
      <c r="H134" s="91" t="s">
        <v>65</v>
      </c>
      <c r="I134" s="91" t="s">
        <v>177</v>
      </c>
      <c r="J134" s="92" t="s">
        <v>94</v>
      </c>
      <c r="K134" s="670" t="s">
        <v>1083</v>
      </c>
      <c r="L134" s="671"/>
    </row>
    <row r="135" spans="1:12" ht="33" customHeight="1" outlineLevel="1" x14ac:dyDescent="0.2">
      <c r="A135" s="220">
        <f t="shared" si="8"/>
        <v>113</v>
      </c>
      <c r="B135" s="221">
        <f t="shared" si="11"/>
        <v>0.71979166666666927</v>
      </c>
      <c r="C135" s="70">
        <f t="shared" si="12"/>
        <v>5.10416666666643E-2</v>
      </c>
      <c r="D135" s="62"/>
      <c r="E135" s="62">
        <v>30</v>
      </c>
      <c r="F135" s="84">
        <f t="shared" si="13"/>
        <v>3.4722222222222224E-4</v>
      </c>
      <c r="G135" s="90" t="s">
        <v>83</v>
      </c>
      <c r="H135" s="91" t="s">
        <v>86</v>
      </c>
      <c r="I135" s="91" t="s">
        <v>83</v>
      </c>
      <c r="J135" s="92" t="s">
        <v>48</v>
      </c>
      <c r="K135" s="77"/>
      <c r="L135" s="78"/>
    </row>
    <row r="136" spans="1:12" ht="33" customHeight="1" outlineLevel="1" x14ac:dyDescent="0.2">
      <c r="A136" s="220">
        <f t="shared" si="8"/>
        <v>114</v>
      </c>
      <c r="B136" s="221">
        <f t="shared" si="11"/>
        <v>0.72013888888889155</v>
      </c>
      <c r="C136" s="70">
        <f t="shared" si="12"/>
        <v>5.0694444444442079E-2</v>
      </c>
      <c r="D136" s="62"/>
      <c r="E136" s="62">
        <v>30</v>
      </c>
      <c r="F136" s="84">
        <f t="shared" si="13"/>
        <v>3.4722222222222224E-4</v>
      </c>
      <c r="G136" s="90" t="s">
        <v>85</v>
      </c>
      <c r="H136" s="91" t="s">
        <v>86</v>
      </c>
      <c r="I136" s="91" t="s">
        <v>85</v>
      </c>
      <c r="J136" s="92" t="s">
        <v>67</v>
      </c>
      <c r="K136" s="77"/>
      <c r="L136" s="78"/>
    </row>
    <row r="137" spans="1:12" ht="33" customHeight="1" outlineLevel="1" x14ac:dyDescent="0.2">
      <c r="A137" s="220">
        <f t="shared" si="8"/>
        <v>115</v>
      </c>
      <c r="B137" s="221">
        <f t="shared" si="11"/>
        <v>0.72048611111111382</v>
      </c>
      <c r="C137" s="70">
        <f t="shared" si="12"/>
        <v>5.0347222222219858E-2</v>
      </c>
      <c r="D137" s="62"/>
      <c r="E137" s="62">
        <v>30</v>
      </c>
      <c r="F137" s="84">
        <f t="shared" si="13"/>
        <v>3.4722222222222224E-4</v>
      </c>
      <c r="G137" s="100" t="s">
        <v>87</v>
      </c>
      <c r="H137" s="101" t="str">
        <f>VLOOKUP(G137,Sponsors!$A:$H,3,0)</f>
        <v>VT Audio</v>
      </c>
      <c r="I137" s="101" t="str">
        <f>VLOOKUP(G137,Sponsors!$A:$H,4,0)</f>
        <v>Molten Video</v>
      </c>
      <c r="J137" s="97" t="str">
        <f>VLOOKUP(G137,Sponsors!$A:$H,5,0)</f>
        <v xml:space="preserve">Molten </v>
      </c>
      <c r="K137" s="77"/>
      <c r="L137" s="78"/>
    </row>
    <row r="138" spans="1:12" ht="33" customHeight="1" outlineLevel="1" x14ac:dyDescent="0.2">
      <c r="A138" s="220">
        <f t="shared" si="8"/>
        <v>116</v>
      </c>
      <c r="B138" s="221">
        <f t="shared" si="11"/>
        <v>0.7208333333333361</v>
      </c>
      <c r="C138" s="70">
        <f t="shared" si="12"/>
        <v>4.9999999999997637E-2</v>
      </c>
      <c r="D138" s="62"/>
      <c r="E138" s="62">
        <v>30</v>
      </c>
      <c r="F138" s="63">
        <f t="shared" si="13"/>
        <v>3.4722222222222224E-4</v>
      </c>
      <c r="G138" s="90" t="s">
        <v>88</v>
      </c>
      <c r="H138" s="91" t="str">
        <f>VLOOKUP(G138,Sponsors!$A:$H,3,0)</f>
        <v>VT Audio</v>
      </c>
      <c r="I138" s="91" t="str">
        <f>VLOOKUP(G138,Sponsors!$A:$H,4,0)</f>
        <v>Aramco Video</v>
      </c>
      <c r="J138" s="92" t="str">
        <f>VLOOKUP(G138,Sponsors!$A:$H,5,0)</f>
        <v>Aramco</v>
      </c>
      <c r="K138" s="77"/>
      <c r="L138" s="78"/>
    </row>
    <row r="139" spans="1:12" ht="33" customHeight="1" outlineLevel="1" x14ac:dyDescent="0.2">
      <c r="A139" s="220">
        <f t="shared" si="8"/>
        <v>117</v>
      </c>
      <c r="B139" s="221">
        <f t="shared" si="11"/>
        <v>0.72118055555555838</v>
      </c>
      <c r="C139" s="70">
        <f t="shared" si="12"/>
        <v>4.9652777777775416E-2</v>
      </c>
      <c r="D139" s="62"/>
      <c r="E139" s="62">
        <v>30</v>
      </c>
      <c r="F139" s="63">
        <f t="shared" si="13"/>
        <v>3.4722222222222224E-4</v>
      </c>
      <c r="G139" s="90" t="s">
        <v>89</v>
      </c>
      <c r="H139" s="91" t="str">
        <f>VLOOKUP(G139,Sponsors!$A:$H,3,0)</f>
        <v>VT Audio</v>
      </c>
      <c r="I139" s="91" t="s">
        <v>90</v>
      </c>
      <c r="J139" s="92" t="s">
        <v>37</v>
      </c>
      <c r="K139" s="77"/>
      <c r="L139" s="78"/>
    </row>
    <row r="140" spans="1:12" ht="33" customHeight="1" outlineLevel="1" x14ac:dyDescent="0.2">
      <c r="A140" s="220">
        <f t="shared" si="8"/>
        <v>118</v>
      </c>
      <c r="B140" s="221">
        <f t="shared" si="11"/>
        <v>0.72152777777778065</v>
      </c>
      <c r="C140" s="70">
        <f t="shared" si="12"/>
        <v>4.9305555555553195E-2</v>
      </c>
      <c r="D140" s="62"/>
      <c r="E140" s="62">
        <v>30</v>
      </c>
      <c r="F140" s="63">
        <f t="shared" si="13"/>
        <v>3.4722222222222224E-4</v>
      </c>
      <c r="G140" s="90" t="s">
        <v>91</v>
      </c>
      <c r="H140" s="91" t="s">
        <v>86</v>
      </c>
      <c r="I140" s="91" t="s">
        <v>91</v>
      </c>
      <c r="J140" s="92" t="s">
        <v>92</v>
      </c>
      <c r="K140" s="77"/>
      <c r="L140" s="78"/>
    </row>
    <row r="141" spans="1:12" ht="33" customHeight="1" outlineLevel="1" x14ac:dyDescent="0.2">
      <c r="A141" s="220">
        <f t="shared" si="8"/>
        <v>119</v>
      </c>
      <c r="B141" s="221">
        <f t="shared" si="11"/>
        <v>0.72187500000000293</v>
      </c>
      <c r="C141" s="70">
        <f t="shared" si="12"/>
        <v>4.8958333333330974E-2</v>
      </c>
      <c r="D141" s="62"/>
      <c r="E141" s="62">
        <v>30</v>
      </c>
      <c r="F141" s="63">
        <f t="shared" si="13"/>
        <v>3.4722222222222224E-4</v>
      </c>
      <c r="G141" s="90" t="s">
        <v>93</v>
      </c>
      <c r="H141" s="91" t="s">
        <v>86</v>
      </c>
      <c r="I141" s="91" t="s">
        <v>93</v>
      </c>
      <c r="J141" s="92" t="s">
        <v>94</v>
      </c>
      <c r="K141" s="77"/>
      <c r="L141" s="78"/>
    </row>
    <row r="142" spans="1:12" ht="19.5" customHeight="1" outlineLevel="1" x14ac:dyDescent="0.2">
      <c r="A142" s="220">
        <f t="shared" si="8"/>
        <v>120</v>
      </c>
      <c r="B142" s="221">
        <f t="shared" si="11"/>
        <v>0.72222222222222521</v>
      </c>
      <c r="C142" s="70">
        <f t="shared" si="12"/>
        <v>4.8611111111108753E-2</v>
      </c>
      <c r="D142" s="62"/>
      <c r="E142" s="62"/>
      <c r="F142" s="63">
        <f t="shared" si="13"/>
        <v>0</v>
      </c>
      <c r="G142" s="229"/>
      <c r="H142" s="82"/>
      <c r="I142" s="82"/>
      <c r="J142" s="82"/>
      <c r="K142" s="77"/>
      <c r="L142" s="78"/>
    </row>
    <row r="143" spans="1:12" ht="33" customHeight="1" outlineLevel="1" x14ac:dyDescent="0.2">
      <c r="A143" s="220">
        <f t="shared" si="8"/>
        <v>121</v>
      </c>
      <c r="B143" s="221">
        <f t="shared" si="11"/>
        <v>0.72222222222222521</v>
      </c>
      <c r="C143" s="70">
        <f t="shared" si="12"/>
        <v>4.8611111111108753E-2</v>
      </c>
      <c r="D143" s="62"/>
      <c r="E143" s="62">
        <v>30</v>
      </c>
      <c r="F143" s="84">
        <f t="shared" si="13"/>
        <v>3.4722222222222224E-4</v>
      </c>
      <c r="G143" s="230" t="s">
        <v>174</v>
      </c>
      <c r="H143" s="74" t="s">
        <v>35</v>
      </c>
      <c r="I143" s="75" t="s">
        <v>169</v>
      </c>
      <c r="J143" s="76" t="s">
        <v>37</v>
      </c>
      <c r="K143" s="77"/>
      <c r="L143" s="78"/>
    </row>
    <row r="144" spans="1:12" ht="336" customHeight="1" outlineLevel="1" x14ac:dyDescent="0.2">
      <c r="A144" s="220">
        <f t="shared" si="8"/>
        <v>122</v>
      </c>
      <c r="B144" s="221">
        <f t="shared" si="11"/>
        <v>0.72256944444444748</v>
      </c>
      <c r="C144" s="70">
        <f t="shared" si="12"/>
        <v>4.8263888888886532E-2</v>
      </c>
      <c r="D144" s="62">
        <v>2</v>
      </c>
      <c r="E144" s="62"/>
      <c r="F144" s="84">
        <f t="shared" si="13"/>
        <v>1.3888888888888889E-3</v>
      </c>
      <c r="G144" s="85" t="s">
        <v>178</v>
      </c>
      <c r="H144" s="74" t="s">
        <v>40</v>
      </c>
      <c r="I144" s="74" t="s">
        <v>41</v>
      </c>
      <c r="J144" s="76" t="s">
        <v>37</v>
      </c>
      <c r="K144" s="555" t="s">
        <v>179</v>
      </c>
      <c r="L144" s="554"/>
    </row>
    <row r="145" spans="1:12" ht="33" customHeight="1" outlineLevel="1" x14ac:dyDescent="0.2">
      <c r="A145" s="220">
        <f t="shared" si="8"/>
        <v>123</v>
      </c>
      <c r="B145" s="221">
        <f t="shared" si="11"/>
        <v>0.72395833333333637</v>
      </c>
      <c r="C145" s="70">
        <f t="shared" si="12"/>
        <v>4.6874999999997641E-2</v>
      </c>
      <c r="D145" s="62">
        <v>4</v>
      </c>
      <c r="E145" s="62">
        <v>0</v>
      </c>
      <c r="F145" s="84">
        <f t="shared" si="13"/>
        <v>2.7777777777777779E-3</v>
      </c>
      <c r="G145" s="223" t="s">
        <v>180</v>
      </c>
      <c r="H145" s="74" t="s">
        <v>35</v>
      </c>
      <c r="I145" s="75" t="s">
        <v>169</v>
      </c>
      <c r="J145" s="76" t="s">
        <v>37</v>
      </c>
      <c r="K145" s="77"/>
      <c r="L145" s="78"/>
    </row>
    <row r="146" spans="1:12" ht="30.75" customHeight="1" outlineLevel="1" x14ac:dyDescent="0.2">
      <c r="A146" s="220">
        <f t="shared" si="8"/>
        <v>124</v>
      </c>
      <c r="B146" s="221">
        <f t="shared" si="11"/>
        <v>0.72673611111111414</v>
      </c>
      <c r="C146" s="70">
        <f t="shared" si="12"/>
        <v>4.4097222222219866E-2</v>
      </c>
      <c r="D146" s="62"/>
      <c r="E146" s="62">
        <v>34</v>
      </c>
      <c r="F146" s="84">
        <f t="shared" si="13"/>
        <v>3.9351851851851852E-4</v>
      </c>
      <c r="G146" s="140" t="s">
        <v>181</v>
      </c>
      <c r="H146" s="74" t="s">
        <v>86</v>
      </c>
      <c r="I146" s="74" t="s">
        <v>182</v>
      </c>
      <c r="J146" s="76" t="s">
        <v>37</v>
      </c>
      <c r="K146" s="77"/>
      <c r="L146" s="78"/>
    </row>
    <row r="147" spans="1:12" ht="30.75" customHeight="1" outlineLevel="1" x14ac:dyDescent="0.2">
      <c r="A147" s="220">
        <f t="shared" si="8"/>
        <v>125</v>
      </c>
      <c r="B147" s="221">
        <f t="shared" si="11"/>
        <v>0.72712962962963268</v>
      </c>
      <c r="C147" s="70">
        <f t="shared" si="12"/>
        <v>4.3703703703701351E-2</v>
      </c>
      <c r="D147" s="62"/>
      <c r="E147" s="62">
        <v>39</v>
      </c>
      <c r="F147" s="84">
        <f t="shared" si="13"/>
        <v>4.5138888888888887E-4</v>
      </c>
      <c r="G147" s="140" t="s">
        <v>143</v>
      </c>
      <c r="H147" s="74" t="s">
        <v>86</v>
      </c>
      <c r="I147" s="74" t="s">
        <v>183</v>
      </c>
      <c r="J147" s="76" t="s">
        <v>37</v>
      </c>
      <c r="K147" s="77"/>
      <c r="L147" s="78"/>
    </row>
    <row r="148" spans="1:12" ht="30.75" customHeight="1" outlineLevel="1" x14ac:dyDescent="0.2">
      <c r="A148" s="220">
        <f t="shared" si="8"/>
        <v>126</v>
      </c>
      <c r="B148" s="221">
        <f t="shared" si="11"/>
        <v>0.72758101851852153</v>
      </c>
      <c r="C148" s="70">
        <f t="shared" si="12"/>
        <v>4.3252314814812461E-2</v>
      </c>
      <c r="D148" s="62">
        <v>1</v>
      </c>
      <c r="E148" s="62">
        <v>20</v>
      </c>
      <c r="F148" s="84">
        <f t="shared" si="13"/>
        <v>9.2592592592592596E-4</v>
      </c>
      <c r="G148" s="140" t="s">
        <v>184</v>
      </c>
      <c r="H148" s="74" t="s">
        <v>65</v>
      </c>
      <c r="I148" s="74" t="s">
        <v>185</v>
      </c>
      <c r="J148" s="76" t="s">
        <v>37</v>
      </c>
      <c r="K148" s="77"/>
      <c r="L148" s="78"/>
    </row>
    <row r="149" spans="1:12" ht="16.5" customHeight="1" outlineLevel="1" x14ac:dyDescent="0.2">
      <c r="A149" s="220">
        <f t="shared" si="8"/>
        <v>127</v>
      </c>
      <c r="B149" s="221">
        <f t="shared" si="11"/>
        <v>0.72850694444444741</v>
      </c>
      <c r="C149" s="70">
        <f t="shared" si="12"/>
        <v>4.2326388888886533E-2</v>
      </c>
      <c r="D149" s="86"/>
      <c r="E149" s="86"/>
      <c r="F149" s="84">
        <f t="shared" si="13"/>
        <v>0</v>
      </c>
      <c r="G149" s="126"/>
      <c r="H149" s="127"/>
      <c r="I149" s="127"/>
      <c r="J149" s="127"/>
      <c r="K149" s="77"/>
      <c r="L149" s="78"/>
    </row>
    <row r="150" spans="1:12" ht="193.5" customHeight="1" outlineLevel="1" x14ac:dyDescent="0.2">
      <c r="A150" s="220">
        <f t="shared" si="8"/>
        <v>128</v>
      </c>
      <c r="B150" s="221">
        <f t="shared" si="11"/>
        <v>0.72850694444444741</v>
      </c>
      <c r="C150" s="70">
        <f t="shared" si="12"/>
        <v>4.2326388888886533E-2</v>
      </c>
      <c r="D150" s="62"/>
      <c r="E150" s="62">
        <v>45</v>
      </c>
      <c r="F150" s="84">
        <f t="shared" si="13"/>
        <v>5.2083333333333333E-4</v>
      </c>
      <c r="G150" s="85" t="s">
        <v>186</v>
      </c>
      <c r="H150" s="74" t="s">
        <v>136</v>
      </c>
      <c r="I150" s="74" t="s">
        <v>137</v>
      </c>
      <c r="J150" s="76" t="s">
        <v>37</v>
      </c>
      <c r="K150" s="555" t="s">
        <v>187</v>
      </c>
      <c r="L150" s="554"/>
    </row>
    <row r="151" spans="1:12" ht="22.5" customHeight="1" outlineLevel="1" x14ac:dyDescent="0.2">
      <c r="A151" s="220">
        <f t="shared" si="8"/>
        <v>129</v>
      </c>
      <c r="B151" s="221">
        <f t="shared" si="11"/>
        <v>0.72902777777778072</v>
      </c>
      <c r="C151" s="70">
        <f t="shared" si="12"/>
        <v>4.1805555555553202E-2</v>
      </c>
      <c r="D151" s="62">
        <v>1</v>
      </c>
      <c r="E151" s="62">
        <v>0</v>
      </c>
      <c r="F151" s="84">
        <f t="shared" si="13"/>
        <v>6.9444444444444447E-4</v>
      </c>
      <c r="G151" s="231" t="s">
        <v>188</v>
      </c>
      <c r="H151" s="74" t="s">
        <v>84</v>
      </c>
      <c r="I151" s="74" t="s">
        <v>189</v>
      </c>
      <c r="J151" s="232" t="s">
        <v>190</v>
      </c>
      <c r="K151" s="77"/>
      <c r="L151" s="78"/>
    </row>
    <row r="152" spans="1:12" ht="22.5" customHeight="1" outlineLevel="1" x14ac:dyDescent="0.2">
      <c r="A152" s="220">
        <f t="shared" si="8"/>
        <v>130</v>
      </c>
      <c r="B152" s="221">
        <f t="shared" si="11"/>
        <v>0.72972222222222516</v>
      </c>
      <c r="C152" s="70">
        <f t="shared" si="12"/>
        <v>4.111111111110876E-2</v>
      </c>
      <c r="D152" s="62">
        <v>1</v>
      </c>
      <c r="E152" s="62"/>
      <c r="F152" s="84">
        <f t="shared" si="13"/>
        <v>6.9444444444444447E-4</v>
      </c>
      <c r="G152" s="223" t="s">
        <v>180</v>
      </c>
      <c r="H152" s="233" t="s">
        <v>35</v>
      </c>
      <c r="I152" s="233" t="s">
        <v>169</v>
      </c>
      <c r="J152" s="234" t="s">
        <v>37</v>
      </c>
      <c r="K152" s="77"/>
      <c r="L152" s="78"/>
    </row>
    <row r="153" spans="1:12" ht="33" customHeight="1" outlineLevel="1" x14ac:dyDescent="0.2">
      <c r="A153" s="220">
        <f t="shared" si="8"/>
        <v>131</v>
      </c>
      <c r="B153" s="221">
        <f t="shared" si="11"/>
        <v>0.7304166666666696</v>
      </c>
      <c r="C153" s="70">
        <f t="shared" si="12"/>
        <v>4.0416666666664318E-2</v>
      </c>
      <c r="D153" s="62">
        <v>6</v>
      </c>
      <c r="E153" s="62">
        <v>30</v>
      </c>
      <c r="F153" s="84">
        <f t="shared" si="13"/>
        <v>4.5138888888888885E-3</v>
      </c>
      <c r="G153" s="168" t="s">
        <v>191</v>
      </c>
      <c r="H153" s="74" t="s">
        <v>192</v>
      </c>
      <c r="I153" s="75" t="s">
        <v>169</v>
      </c>
      <c r="J153" s="76" t="s">
        <v>37</v>
      </c>
      <c r="K153" s="77"/>
      <c r="L153" s="78"/>
    </row>
    <row r="154" spans="1:12" ht="33" customHeight="1" outlineLevel="1" x14ac:dyDescent="0.2">
      <c r="A154" s="220">
        <f t="shared" si="8"/>
        <v>132</v>
      </c>
      <c r="B154" s="221">
        <f t="shared" si="11"/>
        <v>0.73493055555555853</v>
      </c>
      <c r="C154" s="70">
        <f t="shared" si="12"/>
        <v>3.5902777777775431E-2</v>
      </c>
      <c r="D154" s="62">
        <v>1</v>
      </c>
      <c r="E154" s="62">
        <v>42</v>
      </c>
      <c r="F154" s="84">
        <f t="shared" si="13"/>
        <v>1.1805555555555556E-3</v>
      </c>
      <c r="G154" s="223" t="s">
        <v>180</v>
      </c>
      <c r="H154" s="74" t="s">
        <v>35</v>
      </c>
      <c r="I154" s="75" t="s">
        <v>169</v>
      </c>
      <c r="J154" s="76" t="s">
        <v>37</v>
      </c>
      <c r="K154" s="77"/>
      <c r="L154" s="78"/>
    </row>
    <row r="155" spans="1:12" ht="22.5" customHeight="1" outlineLevel="1" x14ac:dyDescent="0.2">
      <c r="A155" s="220">
        <f t="shared" si="8"/>
        <v>133</v>
      </c>
      <c r="B155" s="221">
        <f t="shared" si="11"/>
        <v>0.73611111111111405</v>
      </c>
      <c r="C155" s="70">
        <f t="shared" si="12"/>
        <v>3.4722222222219878E-2</v>
      </c>
      <c r="D155" s="86"/>
      <c r="E155" s="86"/>
      <c r="F155" s="84">
        <f t="shared" si="13"/>
        <v>0</v>
      </c>
      <c r="G155" s="83"/>
      <c r="H155" s="83"/>
      <c r="I155" s="83"/>
      <c r="J155" s="83"/>
      <c r="K155" s="77"/>
      <c r="L155" s="78"/>
    </row>
    <row r="156" spans="1:12" ht="66" customHeight="1" outlineLevel="1" x14ac:dyDescent="0.2">
      <c r="A156" s="220">
        <f t="shared" si="8"/>
        <v>134</v>
      </c>
      <c r="B156" s="221">
        <f t="shared" si="11"/>
        <v>0.73611111111111405</v>
      </c>
      <c r="C156" s="70">
        <f t="shared" si="12"/>
        <v>3.4722222222219878E-2</v>
      </c>
      <c r="D156" s="62"/>
      <c r="E156" s="62">
        <v>15</v>
      </c>
      <c r="F156" s="84">
        <f t="shared" si="13"/>
        <v>1.7361111111111112E-4</v>
      </c>
      <c r="G156" s="235" t="s">
        <v>193</v>
      </c>
      <c r="H156" s="75" t="s">
        <v>126</v>
      </c>
      <c r="I156" s="75" t="s">
        <v>106</v>
      </c>
      <c r="J156" s="135" t="s">
        <v>37</v>
      </c>
      <c r="K156" s="236" t="str">
        <f>"PLEASE WELCOME THE NATIONAL TEAM OF "&amp;C12&amp;" /  "&amp;D12</f>
        <v>PLEASE WELCOME THE NATIONAL TEAM OF 🇲🇽 Mexico (MEX) /  🇵🇦 Panama (PAN)</v>
      </c>
      <c r="L156" s="236" t="str">
        <f>"¡DEMOS LA BIENVENIDA AL EQUIPO NACIONAL DE "&amp;C12&amp;" / "&amp;D12</f>
        <v>¡DEMOS LA BIENVENIDA AL EQUIPO NACIONAL DE 🇲🇽 Mexico (MEX) / 🇵🇦 Panama (PAN)</v>
      </c>
    </row>
    <row r="157" spans="1:12" ht="22.5" customHeight="1" outlineLevel="1" x14ac:dyDescent="0.2">
      <c r="A157" s="220">
        <f t="shared" si="8"/>
        <v>135</v>
      </c>
      <c r="B157" s="221">
        <f t="shared" si="11"/>
        <v>0.73628472222222519</v>
      </c>
      <c r="C157" s="70">
        <f t="shared" si="12"/>
        <v>3.4548611111108768E-2</v>
      </c>
      <c r="D157" s="86">
        <v>0</v>
      </c>
      <c r="E157" s="86"/>
      <c r="F157" s="84">
        <f t="shared" si="13"/>
        <v>0</v>
      </c>
      <c r="G157" s="83"/>
      <c r="H157" s="83"/>
      <c r="I157" s="83"/>
      <c r="J157" s="83"/>
      <c r="K157" s="77"/>
      <c r="L157" s="78"/>
    </row>
    <row r="158" spans="1:12" ht="22.5" customHeight="1" outlineLevel="1" x14ac:dyDescent="0.2">
      <c r="A158" s="220">
        <f t="shared" si="8"/>
        <v>136</v>
      </c>
      <c r="B158" s="221">
        <f t="shared" si="11"/>
        <v>0.73628472222222519</v>
      </c>
      <c r="C158" s="70">
        <f t="shared" si="12"/>
        <v>3.4548611111108768E-2</v>
      </c>
      <c r="D158" s="86">
        <v>9</v>
      </c>
      <c r="E158" s="86">
        <v>40</v>
      </c>
      <c r="F158" s="84">
        <f t="shared" si="13"/>
        <v>6.7129629629629631E-3</v>
      </c>
      <c r="G158" s="73" t="s">
        <v>194</v>
      </c>
      <c r="H158" s="74" t="s">
        <v>35</v>
      </c>
      <c r="I158" s="75" t="s">
        <v>44</v>
      </c>
      <c r="J158" s="76" t="s">
        <v>37</v>
      </c>
      <c r="K158" s="77"/>
      <c r="L158" s="78"/>
    </row>
    <row r="159" spans="1:12" ht="22.5" customHeight="1" outlineLevel="1" x14ac:dyDescent="0.2">
      <c r="A159" s="220">
        <f t="shared" si="8"/>
        <v>137</v>
      </c>
      <c r="B159" s="221">
        <f t="shared" si="11"/>
        <v>0.74299768518518816</v>
      </c>
      <c r="C159" s="70">
        <f t="shared" si="12"/>
        <v>2.7835648148145806E-2</v>
      </c>
      <c r="D159" s="86"/>
      <c r="E159" s="86"/>
      <c r="F159" s="84">
        <f t="shared" si="13"/>
        <v>0</v>
      </c>
      <c r="G159" s="126"/>
      <c r="H159" s="127"/>
      <c r="I159" s="127"/>
      <c r="J159" s="127"/>
      <c r="K159" s="77"/>
      <c r="L159" s="78"/>
    </row>
    <row r="160" spans="1:12" ht="43.5" customHeight="1" outlineLevel="1" x14ac:dyDescent="0.2">
      <c r="A160" s="220">
        <f t="shared" si="8"/>
        <v>138</v>
      </c>
      <c r="B160" s="221">
        <f t="shared" si="11"/>
        <v>0.74299768518518816</v>
      </c>
      <c r="C160" s="70">
        <f t="shared" si="12"/>
        <v>2.7835648148145806E-2</v>
      </c>
      <c r="D160" s="62"/>
      <c r="E160" s="62">
        <v>30</v>
      </c>
      <c r="F160" s="84">
        <f t="shared" si="13"/>
        <v>3.4722222222222224E-4</v>
      </c>
      <c r="G160" s="231" t="s">
        <v>195</v>
      </c>
      <c r="H160" s="74" t="s">
        <v>84</v>
      </c>
      <c r="I160" s="74" t="s">
        <v>196</v>
      </c>
      <c r="J160" s="232" t="s">
        <v>190</v>
      </c>
      <c r="K160" s="77"/>
      <c r="L160" s="78"/>
    </row>
    <row r="161" spans="1:12" ht="43.5" customHeight="1" outlineLevel="1" x14ac:dyDescent="0.2">
      <c r="A161" s="220">
        <f t="shared" si="8"/>
        <v>139</v>
      </c>
      <c r="B161" s="221">
        <f t="shared" si="11"/>
        <v>0.74334490740741044</v>
      </c>
      <c r="C161" s="70">
        <f t="shared" si="12"/>
        <v>2.7488425925923585E-2</v>
      </c>
      <c r="D161" s="86">
        <v>1</v>
      </c>
      <c r="E161" s="86"/>
      <c r="F161" s="84">
        <f t="shared" si="13"/>
        <v>6.9444444444444447E-4</v>
      </c>
      <c r="G161" s="87" t="s">
        <v>197</v>
      </c>
      <c r="H161" s="74" t="s">
        <v>35</v>
      </c>
      <c r="I161" s="75" t="s">
        <v>44</v>
      </c>
      <c r="J161" s="76" t="s">
        <v>37</v>
      </c>
      <c r="K161" s="77"/>
      <c r="L161" s="78"/>
    </row>
    <row r="162" spans="1:12" ht="22.5" customHeight="1" outlineLevel="1" x14ac:dyDescent="0.2">
      <c r="A162" s="220">
        <f t="shared" si="8"/>
        <v>140</v>
      </c>
      <c r="B162" s="221">
        <f t="shared" si="11"/>
        <v>0.74403935185185488</v>
      </c>
      <c r="C162" s="70">
        <f t="shared" si="12"/>
        <v>2.6793981481479139E-2</v>
      </c>
      <c r="D162" s="86"/>
      <c r="E162" s="86">
        <v>10</v>
      </c>
      <c r="F162" s="84">
        <f t="shared" si="13"/>
        <v>1.1574074074074075E-4</v>
      </c>
      <c r="G162" s="140" t="s">
        <v>198</v>
      </c>
      <c r="H162" s="74" t="s">
        <v>86</v>
      </c>
      <c r="I162" s="74" t="s">
        <v>199</v>
      </c>
      <c r="J162" s="76" t="s">
        <v>80</v>
      </c>
      <c r="K162" s="77"/>
      <c r="L162" s="78"/>
    </row>
    <row r="163" spans="1:12" ht="50.25" customHeight="1" outlineLevel="1" x14ac:dyDescent="0.2">
      <c r="A163" s="220">
        <f t="shared" si="8"/>
        <v>141</v>
      </c>
      <c r="B163" s="221">
        <f t="shared" si="11"/>
        <v>0.7441550925925956</v>
      </c>
      <c r="C163" s="70">
        <f t="shared" si="12"/>
        <v>2.66782407407384E-2</v>
      </c>
      <c r="D163" s="62">
        <v>1</v>
      </c>
      <c r="E163" s="62"/>
      <c r="F163" s="84">
        <f t="shared" si="13"/>
        <v>6.9444444444444447E-4</v>
      </c>
      <c r="G163" s="73" t="s">
        <v>200</v>
      </c>
      <c r="H163" s="74" t="s">
        <v>35</v>
      </c>
      <c r="I163" s="75" t="s">
        <v>106</v>
      </c>
      <c r="J163" s="76" t="s">
        <v>37</v>
      </c>
      <c r="K163" s="77"/>
      <c r="L163" s="78"/>
    </row>
    <row r="164" spans="1:12" ht="43.5" customHeight="1" outlineLevel="1" x14ac:dyDescent="0.2">
      <c r="A164" s="220">
        <f t="shared" si="8"/>
        <v>142</v>
      </c>
      <c r="B164" s="221">
        <f t="shared" si="11"/>
        <v>0.74484953703704004</v>
      </c>
      <c r="C164" s="70">
        <f t="shared" si="12"/>
        <v>2.5983796296293955E-2</v>
      </c>
      <c r="D164" s="62"/>
      <c r="E164" s="62">
        <v>30</v>
      </c>
      <c r="F164" s="84">
        <f t="shared" si="13"/>
        <v>3.4722222222222224E-4</v>
      </c>
      <c r="G164" s="231" t="s">
        <v>201</v>
      </c>
      <c r="H164" s="74" t="s">
        <v>84</v>
      </c>
      <c r="I164" s="74" t="s">
        <v>202</v>
      </c>
      <c r="J164" s="232" t="s">
        <v>190</v>
      </c>
      <c r="K164" s="77"/>
      <c r="L164" s="78"/>
    </row>
    <row r="165" spans="1:12" ht="43.5" customHeight="1" outlineLevel="1" x14ac:dyDescent="0.2">
      <c r="A165" s="220">
        <f t="shared" si="8"/>
        <v>143</v>
      </c>
      <c r="B165" s="221">
        <f t="shared" si="11"/>
        <v>0.74519675925926232</v>
      </c>
      <c r="C165" s="70">
        <f t="shared" si="12"/>
        <v>2.5636574074071734E-2</v>
      </c>
      <c r="D165" s="86">
        <v>1</v>
      </c>
      <c r="E165" s="86"/>
      <c r="F165" s="84">
        <f t="shared" si="13"/>
        <v>6.9444444444444447E-4</v>
      </c>
      <c r="G165" s="87" t="s">
        <v>203</v>
      </c>
      <c r="H165" s="74" t="s">
        <v>35</v>
      </c>
      <c r="I165" s="75" t="s">
        <v>44</v>
      </c>
      <c r="J165" s="76" t="s">
        <v>37</v>
      </c>
      <c r="K165" s="77"/>
      <c r="L165" s="78"/>
    </row>
    <row r="166" spans="1:12" ht="22.5" customHeight="1" outlineLevel="1" x14ac:dyDescent="0.2">
      <c r="A166" s="220">
        <f t="shared" si="8"/>
        <v>144</v>
      </c>
      <c r="B166" s="221">
        <f t="shared" si="11"/>
        <v>0.74589120370370676</v>
      </c>
      <c r="C166" s="70">
        <f t="shared" si="12"/>
        <v>2.4942129629627288E-2</v>
      </c>
      <c r="D166" s="86"/>
      <c r="E166" s="86">
        <v>10</v>
      </c>
      <c r="F166" s="84">
        <f t="shared" si="13"/>
        <v>1.1574074074074075E-4</v>
      </c>
      <c r="G166" s="237" t="s">
        <v>204</v>
      </c>
      <c r="H166" s="238" t="s">
        <v>86</v>
      </c>
      <c r="I166" s="238" t="s">
        <v>199</v>
      </c>
      <c r="J166" s="239" t="s">
        <v>80</v>
      </c>
      <c r="K166" s="77"/>
      <c r="L166" s="78"/>
    </row>
    <row r="167" spans="1:12" ht="31.5" customHeight="1" outlineLevel="1" x14ac:dyDescent="0.2">
      <c r="A167" s="220">
        <f t="shared" si="8"/>
        <v>145</v>
      </c>
      <c r="B167" s="221">
        <f t="shared" si="11"/>
        <v>0.74600694444444748</v>
      </c>
      <c r="C167" s="70">
        <f t="shared" si="12"/>
        <v>2.4826388888886549E-2</v>
      </c>
      <c r="D167" s="86">
        <v>1</v>
      </c>
      <c r="E167" s="86">
        <v>0</v>
      </c>
      <c r="F167" s="84">
        <f t="shared" si="13"/>
        <v>6.9444444444444447E-4</v>
      </c>
      <c r="G167" s="73" t="s">
        <v>200</v>
      </c>
      <c r="H167" s="74" t="s">
        <v>35</v>
      </c>
      <c r="I167" s="75" t="s">
        <v>106</v>
      </c>
      <c r="J167" s="76" t="s">
        <v>37</v>
      </c>
      <c r="K167" s="77"/>
      <c r="L167" s="78"/>
    </row>
    <row r="168" spans="1:12" ht="22.5" customHeight="1" outlineLevel="1" x14ac:dyDescent="0.2">
      <c r="A168" s="220">
        <f t="shared" si="8"/>
        <v>146</v>
      </c>
      <c r="B168" s="221">
        <f t="shared" si="11"/>
        <v>0.74670138888889193</v>
      </c>
      <c r="C168" s="70">
        <f t="shared" si="12"/>
        <v>2.4131944444442104E-2</v>
      </c>
      <c r="D168" s="86">
        <v>0</v>
      </c>
      <c r="E168" s="86"/>
      <c r="F168" s="84">
        <f t="shared" si="13"/>
        <v>0</v>
      </c>
      <c r="G168" s="82"/>
      <c r="H168" s="82"/>
      <c r="I168" s="82"/>
      <c r="J168" s="82"/>
      <c r="K168" s="240"/>
      <c r="L168" s="241"/>
    </row>
    <row r="169" spans="1:12" ht="54" customHeight="1" outlineLevel="1" x14ac:dyDescent="0.2">
      <c r="A169" s="220">
        <f t="shared" si="8"/>
        <v>147</v>
      </c>
      <c r="B169" s="221">
        <f t="shared" si="11"/>
        <v>0.74670138888889193</v>
      </c>
      <c r="C169" s="70">
        <f t="shared" si="12"/>
        <v>2.4131944444442104E-2</v>
      </c>
      <c r="D169" s="86">
        <v>5</v>
      </c>
      <c r="E169" s="86"/>
      <c r="F169" s="63"/>
      <c r="G169" s="242" t="s">
        <v>205</v>
      </c>
      <c r="H169" s="74" t="s">
        <v>206</v>
      </c>
      <c r="I169" s="74" t="s">
        <v>207</v>
      </c>
      <c r="J169" s="76" t="s">
        <v>37</v>
      </c>
      <c r="K169" s="557" t="s">
        <v>208</v>
      </c>
      <c r="L169" s="554"/>
    </row>
    <row r="170" spans="1:12" ht="22.5" customHeight="1" outlineLevel="1" x14ac:dyDescent="0.2">
      <c r="A170" s="220">
        <f t="shared" si="8"/>
        <v>148</v>
      </c>
      <c r="B170" s="221">
        <f t="shared" si="11"/>
        <v>0.74670138888889193</v>
      </c>
      <c r="C170" s="70">
        <f t="shared" si="12"/>
        <v>2.4131944444442104E-2</v>
      </c>
      <c r="D170" s="86">
        <v>0</v>
      </c>
      <c r="E170" s="86"/>
      <c r="F170" s="84">
        <f t="shared" ref="F170:F172" si="14">TIME(0,D170,E170)</f>
        <v>0</v>
      </c>
      <c r="G170" s="82"/>
      <c r="H170" s="82"/>
      <c r="I170" s="82"/>
      <c r="J170" s="82"/>
      <c r="K170" s="240"/>
      <c r="L170" s="241"/>
    </row>
    <row r="171" spans="1:12" ht="33" customHeight="1" outlineLevel="1" x14ac:dyDescent="0.2">
      <c r="A171" s="220">
        <f t="shared" si="8"/>
        <v>149</v>
      </c>
      <c r="B171" s="221">
        <f t="shared" si="11"/>
        <v>0.74670138888889193</v>
      </c>
      <c r="C171" s="70">
        <f t="shared" si="12"/>
        <v>2.4131944444442104E-2</v>
      </c>
      <c r="D171" s="62"/>
      <c r="E171" s="71"/>
      <c r="F171" s="84">
        <f t="shared" si="14"/>
        <v>0</v>
      </c>
      <c r="G171" s="88" t="s">
        <v>97</v>
      </c>
      <c r="H171" s="89"/>
      <c r="I171" s="89"/>
      <c r="J171" s="89"/>
      <c r="K171" s="77"/>
      <c r="L171" s="78"/>
    </row>
    <row r="172" spans="1:12" ht="66.75" customHeight="1" outlineLevel="1" x14ac:dyDescent="0.2">
      <c r="A172" s="220">
        <f t="shared" si="8"/>
        <v>150</v>
      </c>
      <c r="B172" s="221">
        <f t="shared" si="11"/>
        <v>0.74670138888889193</v>
      </c>
      <c r="C172" s="70">
        <f t="shared" si="12"/>
        <v>2.4131944444442104E-2</v>
      </c>
      <c r="D172" s="86"/>
      <c r="E172" s="62">
        <v>15</v>
      </c>
      <c r="F172" s="84">
        <f t="shared" si="14"/>
        <v>1.7361111111111112E-4</v>
      </c>
      <c r="G172" s="90" t="s">
        <v>46</v>
      </c>
      <c r="H172" s="91" t="str">
        <f>VLOOKUP(G172,Sponsors!$A:$H,3,0)</f>
        <v>PA+BGM</v>
      </c>
      <c r="I172" s="91" t="s">
        <v>47</v>
      </c>
      <c r="J172" s="92" t="s">
        <v>48</v>
      </c>
      <c r="K172" s="165" t="s">
        <v>49</v>
      </c>
      <c r="L172" s="165" t="s">
        <v>50</v>
      </c>
    </row>
    <row r="173" spans="1:12" ht="100.5" customHeight="1" outlineLevel="1" x14ac:dyDescent="0.2">
      <c r="A173" s="220">
        <f t="shared" si="8"/>
        <v>151</v>
      </c>
      <c r="B173" s="221">
        <f t="shared" si="11"/>
        <v>0.74687500000000306</v>
      </c>
      <c r="C173" s="70">
        <f t="shared" si="12"/>
        <v>2.3958333333330993E-2</v>
      </c>
      <c r="D173" s="86"/>
      <c r="E173" s="62">
        <v>15</v>
      </c>
      <c r="F173" s="84">
        <v>1.7361111111111112E-4</v>
      </c>
      <c r="G173" s="96" t="s">
        <v>54</v>
      </c>
      <c r="H173" s="91" t="str">
        <f>VLOOKUP(G173,Sponsors!$A:$H,3,0)</f>
        <v>PA+BGM</v>
      </c>
      <c r="I173" s="92" t="s">
        <v>55</v>
      </c>
      <c r="J173" s="92" t="s">
        <v>37</v>
      </c>
      <c r="K173" s="553" t="s">
        <v>56</v>
      </c>
      <c r="L173" s="554"/>
    </row>
    <row r="174" spans="1:12" ht="87.75" customHeight="1" outlineLevel="1" x14ac:dyDescent="0.2">
      <c r="A174" s="220">
        <f t="shared" si="8"/>
        <v>152</v>
      </c>
      <c r="B174" s="221">
        <f t="shared" si="11"/>
        <v>0.7470486111111142</v>
      </c>
      <c r="C174" s="70">
        <f t="shared" si="12"/>
        <v>2.3784722222219883E-2</v>
      </c>
      <c r="D174" s="86"/>
      <c r="E174" s="86">
        <v>15</v>
      </c>
      <c r="F174" s="84">
        <f t="shared" ref="F174:F181" si="15">TIME(0,D174,E174)</f>
        <v>1.7361111111111112E-4</v>
      </c>
      <c r="G174" s="94" t="s">
        <v>64</v>
      </c>
      <c r="H174" s="91" t="s">
        <v>65</v>
      </c>
      <c r="I174" s="91" t="s">
        <v>175</v>
      </c>
      <c r="J174" s="92" t="s">
        <v>67</v>
      </c>
      <c r="K174" s="559" t="s">
        <v>68</v>
      </c>
      <c r="L174" s="554"/>
    </row>
    <row r="175" spans="1:12" ht="33" customHeight="1" outlineLevel="1" x14ac:dyDescent="0.2">
      <c r="A175" s="220">
        <f t="shared" si="8"/>
        <v>153</v>
      </c>
      <c r="B175" s="221">
        <f t="shared" si="11"/>
        <v>0.74722222222222534</v>
      </c>
      <c r="C175" s="70">
        <f t="shared" si="12"/>
        <v>2.3611111111108772E-2</v>
      </c>
      <c r="D175" s="118"/>
      <c r="E175" s="86">
        <v>15</v>
      </c>
      <c r="F175" s="84">
        <f t="shared" si="15"/>
        <v>1.7361111111111112E-4</v>
      </c>
      <c r="G175" s="94" t="s">
        <v>69</v>
      </c>
      <c r="H175" s="91" t="str">
        <f>VLOOKUP(G175,Sponsors!$A:$H,3,0)</f>
        <v>PA+BGM</v>
      </c>
      <c r="I175" s="91" t="str">
        <f>VLOOKUP(G175,Sponsors!$A:$H,4,0)</f>
        <v>Molten Still</v>
      </c>
      <c r="J175" s="92" t="str">
        <f>VLOOKUP(G175,Sponsors!$A:$H,5,0)</f>
        <v xml:space="preserve">Molten </v>
      </c>
      <c r="K175" s="553" t="s">
        <v>70</v>
      </c>
      <c r="L175" s="554"/>
    </row>
    <row r="176" spans="1:12" ht="18.75" customHeight="1" outlineLevel="1" x14ac:dyDescent="0.2">
      <c r="A176" s="220">
        <f t="shared" si="8"/>
        <v>154</v>
      </c>
      <c r="B176" s="221">
        <f t="shared" si="11"/>
        <v>0.74739583333333648</v>
      </c>
      <c r="C176" s="70">
        <f t="shared" si="12"/>
        <v>2.3437499999997662E-2</v>
      </c>
      <c r="D176" s="86">
        <v>0</v>
      </c>
      <c r="E176" s="86"/>
      <c r="F176" s="84">
        <f t="shared" si="15"/>
        <v>0</v>
      </c>
      <c r="G176" s="82"/>
      <c r="H176" s="82"/>
      <c r="I176" s="82"/>
      <c r="J176" s="82"/>
      <c r="K176" s="240"/>
      <c r="L176" s="241"/>
    </row>
    <row r="177" spans="1:12" ht="33" customHeight="1" outlineLevel="1" x14ac:dyDescent="0.2">
      <c r="A177" s="220">
        <f t="shared" si="8"/>
        <v>155</v>
      </c>
      <c r="B177" s="221">
        <f t="shared" si="11"/>
        <v>0.74739583333333648</v>
      </c>
      <c r="C177" s="70">
        <f t="shared" si="12"/>
        <v>2.3437499999997662E-2</v>
      </c>
      <c r="D177" s="62"/>
      <c r="E177" s="62">
        <v>30</v>
      </c>
      <c r="F177" s="84">
        <f t="shared" si="15"/>
        <v>3.4722222222222224E-4</v>
      </c>
      <c r="G177" s="223" t="s">
        <v>180</v>
      </c>
      <c r="H177" s="74" t="s">
        <v>35</v>
      </c>
      <c r="I177" s="75" t="s">
        <v>169</v>
      </c>
      <c r="J177" s="76" t="s">
        <v>37</v>
      </c>
      <c r="K177" s="77"/>
      <c r="L177" s="78"/>
    </row>
    <row r="178" spans="1:12" ht="18.75" customHeight="1" outlineLevel="1" x14ac:dyDescent="0.2">
      <c r="A178" s="220">
        <f t="shared" si="8"/>
        <v>156</v>
      </c>
      <c r="B178" s="221">
        <f t="shared" si="11"/>
        <v>0.74774305555555876</v>
      </c>
      <c r="C178" s="70">
        <f t="shared" si="12"/>
        <v>2.3090277777775441E-2</v>
      </c>
      <c r="D178" s="86">
        <v>0</v>
      </c>
      <c r="E178" s="86"/>
      <c r="F178" s="84">
        <f t="shared" si="15"/>
        <v>0</v>
      </c>
      <c r="G178" s="82"/>
      <c r="H178" s="82"/>
      <c r="I178" s="82"/>
      <c r="J178" s="82"/>
      <c r="K178" s="240"/>
      <c r="L178" s="241"/>
    </row>
    <row r="179" spans="1:12" ht="33" customHeight="1" outlineLevel="1" x14ac:dyDescent="0.2">
      <c r="A179" s="220">
        <f t="shared" si="8"/>
        <v>157</v>
      </c>
      <c r="B179" s="221">
        <f t="shared" si="11"/>
        <v>0.74774305555555876</v>
      </c>
      <c r="C179" s="70">
        <f t="shared" si="12"/>
        <v>2.3090277777775441E-2</v>
      </c>
      <c r="D179" s="62">
        <v>5</v>
      </c>
      <c r="E179" s="62"/>
      <c r="F179" s="84">
        <f t="shared" si="15"/>
        <v>3.472222222222222E-3</v>
      </c>
      <c r="G179" s="168" t="s">
        <v>191</v>
      </c>
      <c r="H179" s="74" t="s">
        <v>35</v>
      </c>
      <c r="I179" s="75" t="s">
        <v>106</v>
      </c>
      <c r="J179" s="76" t="s">
        <v>37</v>
      </c>
      <c r="K179" s="243"/>
      <c r="L179" s="243"/>
    </row>
    <row r="180" spans="1:12" ht="18" customHeight="1" outlineLevel="1" x14ac:dyDescent="0.2">
      <c r="A180" s="220">
        <f t="shared" si="8"/>
        <v>158</v>
      </c>
      <c r="B180" s="221">
        <f t="shared" si="11"/>
        <v>0.75121527777778097</v>
      </c>
      <c r="C180" s="70">
        <f t="shared" si="12"/>
        <v>1.9618055555553217E-2</v>
      </c>
      <c r="D180" s="62"/>
      <c r="E180" s="62"/>
      <c r="F180" s="84">
        <f t="shared" si="15"/>
        <v>0</v>
      </c>
      <c r="G180" s="82"/>
      <c r="H180" s="82"/>
      <c r="I180" s="82"/>
      <c r="J180" s="82"/>
      <c r="K180" s="240"/>
      <c r="L180" s="241"/>
    </row>
    <row r="181" spans="1:12" ht="33" customHeight="1" outlineLevel="1" x14ac:dyDescent="0.2">
      <c r="A181" s="220">
        <f t="shared" si="8"/>
        <v>159</v>
      </c>
      <c r="B181" s="221">
        <f t="shared" si="11"/>
        <v>0.75121527777778097</v>
      </c>
      <c r="C181" s="70">
        <f t="shared" si="12"/>
        <v>1.9618055555553217E-2</v>
      </c>
      <c r="D181" s="118"/>
      <c r="E181" s="86">
        <v>30</v>
      </c>
      <c r="F181" s="84">
        <f t="shared" si="15"/>
        <v>3.4722222222222224E-4</v>
      </c>
      <c r="G181" s="96" t="s">
        <v>98</v>
      </c>
      <c r="H181" s="91" t="s">
        <v>35</v>
      </c>
      <c r="I181" s="91" t="str">
        <f>VLOOKUP(G181,Sponsors!$A:$H,4,0)</f>
        <v>Riyadh Video</v>
      </c>
      <c r="J181" s="92" t="s">
        <v>146</v>
      </c>
      <c r="K181" s="77"/>
      <c r="L181" s="78"/>
    </row>
    <row r="182" spans="1:12" ht="33" customHeight="1" outlineLevel="1" x14ac:dyDescent="0.2">
      <c r="A182" s="220">
        <f t="shared" si="8"/>
        <v>160</v>
      </c>
      <c r="B182" s="221">
        <f t="shared" si="11"/>
        <v>0.75156250000000324</v>
      </c>
      <c r="C182" s="70">
        <f t="shared" si="12"/>
        <v>1.9270833333330996E-2</v>
      </c>
      <c r="D182" s="118"/>
      <c r="E182" s="86">
        <v>30</v>
      </c>
      <c r="F182" s="84"/>
      <c r="G182" s="96" t="s">
        <v>83</v>
      </c>
      <c r="H182" s="244" t="s">
        <v>86</v>
      </c>
      <c r="I182" s="244" t="s">
        <v>83</v>
      </c>
      <c r="J182" s="98" t="s">
        <v>48</v>
      </c>
      <c r="K182" s="77"/>
      <c r="L182" s="78"/>
    </row>
    <row r="183" spans="1:12" ht="33" customHeight="1" outlineLevel="1" x14ac:dyDescent="0.2">
      <c r="A183" s="220">
        <f t="shared" si="8"/>
        <v>161</v>
      </c>
      <c r="B183" s="221">
        <f t="shared" si="11"/>
        <v>0.75156250000000324</v>
      </c>
      <c r="C183" s="70">
        <f t="shared" si="12"/>
        <v>1.9270833333330996E-2</v>
      </c>
      <c r="D183" s="118"/>
      <c r="E183" s="86">
        <v>30</v>
      </c>
      <c r="F183" s="84">
        <f t="shared" ref="F183:F245" si="16">TIME(0,D183,E183)</f>
        <v>3.4722222222222224E-4</v>
      </c>
      <c r="G183" s="94" t="s">
        <v>85</v>
      </c>
      <c r="H183" s="244" t="s">
        <v>86</v>
      </c>
      <c r="I183" s="244" t="s">
        <v>85</v>
      </c>
      <c r="J183" s="98" t="s">
        <v>67</v>
      </c>
      <c r="K183" s="77"/>
      <c r="L183" s="78"/>
    </row>
    <row r="184" spans="1:12" ht="33" customHeight="1" outlineLevel="1" x14ac:dyDescent="0.2">
      <c r="A184" s="220">
        <f t="shared" si="8"/>
        <v>162</v>
      </c>
      <c r="B184" s="221">
        <f t="shared" si="11"/>
        <v>0.75190972222222552</v>
      </c>
      <c r="C184" s="70">
        <f t="shared" si="12"/>
        <v>1.8923611111108775E-2</v>
      </c>
      <c r="D184" s="118"/>
      <c r="E184" s="86">
        <v>30</v>
      </c>
      <c r="F184" s="84">
        <f t="shared" si="16"/>
        <v>3.4722222222222224E-4</v>
      </c>
      <c r="G184" s="94" t="s">
        <v>87</v>
      </c>
      <c r="H184" s="91" t="str">
        <f>VLOOKUP(G184,Sponsors!$A:$H,3,0)</f>
        <v>VT Audio</v>
      </c>
      <c r="I184" s="101" t="str">
        <f>VLOOKUP(G184,Sponsors!$A:$H,4,0)</f>
        <v>Molten Video</v>
      </c>
      <c r="J184" s="97" t="str">
        <f>VLOOKUP(G184,Sponsors!$A:$H,5,0)</f>
        <v xml:space="preserve">Molten </v>
      </c>
      <c r="K184" s="77"/>
      <c r="L184" s="78"/>
    </row>
    <row r="185" spans="1:12" ht="33" customHeight="1" outlineLevel="1" x14ac:dyDescent="0.2">
      <c r="A185" s="220">
        <f t="shared" si="8"/>
        <v>163</v>
      </c>
      <c r="B185" s="221">
        <f t="shared" si="11"/>
        <v>0.75225694444444779</v>
      </c>
      <c r="C185" s="70">
        <f t="shared" si="12"/>
        <v>1.8576388888886554E-2</v>
      </c>
      <c r="D185" s="118"/>
      <c r="E185" s="86">
        <v>30</v>
      </c>
      <c r="F185" s="84">
        <f t="shared" si="16"/>
        <v>3.4722222222222224E-4</v>
      </c>
      <c r="G185" s="94" t="s">
        <v>88</v>
      </c>
      <c r="H185" s="92" t="str">
        <f>VLOOKUP(G185,Sponsors!$A:$H,3,0)</f>
        <v>VT Audio</v>
      </c>
      <c r="I185" s="91" t="str">
        <f>VLOOKUP(G185,Sponsors!$A:$H,4,0)</f>
        <v>Aramco Video</v>
      </c>
      <c r="J185" s="92" t="str">
        <f>VLOOKUP(G185,Sponsors!$A:$H,5,0)</f>
        <v>Aramco</v>
      </c>
      <c r="K185" s="77"/>
      <c r="L185" s="78"/>
    </row>
    <row r="186" spans="1:12" ht="33" customHeight="1" outlineLevel="1" x14ac:dyDescent="0.2">
      <c r="A186" s="220">
        <f t="shared" si="8"/>
        <v>164</v>
      </c>
      <c r="B186" s="221">
        <f t="shared" si="11"/>
        <v>0.75260416666667007</v>
      </c>
      <c r="C186" s="70">
        <f t="shared" si="12"/>
        <v>1.8229166666664333E-2</v>
      </c>
      <c r="D186" s="118"/>
      <c r="E186" s="86">
        <v>30</v>
      </c>
      <c r="F186" s="84">
        <f t="shared" si="16"/>
        <v>3.4722222222222224E-4</v>
      </c>
      <c r="G186" s="94" t="s">
        <v>99</v>
      </c>
      <c r="H186" s="92" t="s">
        <v>86</v>
      </c>
      <c r="I186" s="91" t="s">
        <v>100</v>
      </c>
      <c r="J186" s="92" t="s">
        <v>101</v>
      </c>
      <c r="K186" s="77"/>
      <c r="L186" s="78"/>
    </row>
    <row r="187" spans="1:12" ht="33" customHeight="1" outlineLevel="1" x14ac:dyDescent="0.2">
      <c r="A187" s="220">
        <f t="shared" si="8"/>
        <v>165</v>
      </c>
      <c r="B187" s="221">
        <f t="shared" si="11"/>
        <v>0.75295138888889235</v>
      </c>
      <c r="C187" s="70">
        <f t="shared" si="12"/>
        <v>1.7881944444442112E-2</v>
      </c>
      <c r="D187" s="62"/>
      <c r="E187" s="62">
        <v>30</v>
      </c>
      <c r="F187" s="84">
        <f t="shared" si="16"/>
        <v>3.4722222222222224E-4</v>
      </c>
      <c r="G187" s="90" t="s">
        <v>102</v>
      </c>
      <c r="H187" s="92" t="s">
        <v>86</v>
      </c>
      <c r="I187" s="91" t="s">
        <v>103</v>
      </c>
      <c r="J187" s="92" t="s">
        <v>103</v>
      </c>
      <c r="K187" s="77"/>
      <c r="L187" s="78"/>
    </row>
    <row r="188" spans="1:12" ht="33" customHeight="1" outlineLevel="1" x14ac:dyDescent="0.2">
      <c r="A188" s="220">
        <f t="shared" si="8"/>
        <v>166</v>
      </c>
      <c r="B188" s="221">
        <f t="shared" si="11"/>
        <v>0.75329861111111462</v>
      </c>
      <c r="C188" s="70">
        <f t="shared" si="12"/>
        <v>1.7534722222219891E-2</v>
      </c>
      <c r="D188" s="62">
        <v>1</v>
      </c>
      <c r="E188" s="62">
        <v>44</v>
      </c>
      <c r="F188" s="84">
        <f t="shared" si="16"/>
        <v>1.2037037037037038E-3</v>
      </c>
      <c r="G188" s="140" t="s">
        <v>209</v>
      </c>
      <c r="H188" s="74" t="s">
        <v>86</v>
      </c>
      <c r="I188" s="161" t="s">
        <v>210</v>
      </c>
      <c r="J188" s="131" t="s">
        <v>211</v>
      </c>
      <c r="K188" s="77"/>
      <c r="L188" s="78"/>
    </row>
    <row r="189" spans="1:12" ht="18.75" customHeight="1" outlineLevel="1" x14ac:dyDescent="0.2">
      <c r="A189" s="220">
        <f t="shared" si="8"/>
        <v>167</v>
      </c>
      <c r="B189" s="221">
        <f t="shared" si="11"/>
        <v>0.75450231481481833</v>
      </c>
      <c r="C189" s="70">
        <f t="shared" si="12"/>
        <v>1.6331018518516188E-2</v>
      </c>
      <c r="D189" s="86"/>
      <c r="E189" s="86"/>
      <c r="F189" s="84">
        <f t="shared" si="16"/>
        <v>0</v>
      </c>
      <c r="G189" s="114"/>
      <c r="H189" s="114"/>
      <c r="I189" s="114"/>
      <c r="J189" s="114"/>
      <c r="K189" s="77"/>
      <c r="L189" s="78"/>
    </row>
    <row r="190" spans="1:12" ht="33" customHeight="1" outlineLevel="1" x14ac:dyDescent="0.2">
      <c r="A190" s="220">
        <f t="shared" si="8"/>
        <v>168</v>
      </c>
      <c r="B190" s="221">
        <f t="shared" ref="B190:B206" si="17">B189+F189</f>
        <v>0.75450231481481833</v>
      </c>
      <c r="C190" s="70">
        <f t="shared" ref="C190:C206" si="18">C189-F189</f>
        <v>1.6331018518516188E-2</v>
      </c>
      <c r="D190" s="62">
        <v>3</v>
      </c>
      <c r="E190" s="62">
        <v>30</v>
      </c>
      <c r="F190" s="84">
        <f t="shared" si="16"/>
        <v>2.4305555555555556E-3</v>
      </c>
      <c r="G190" s="223" t="s">
        <v>180</v>
      </c>
      <c r="H190" s="74" t="s">
        <v>35</v>
      </c>
      <c r="I190" s="75" t="s">
        <v>169</v>
      </c>
      <c r="J190" s="76" t="s">
        <v>37</v>
      </c>
      <c r="K190" s="77"/>
      <c r="L190" s="78"/>
    </row>
    <row r="191" spans="1:12" ht="18.75" customHeight="1" outlineLevel="1" x14ac:dyDescent="0.2">
      <c r="A191" s="220">
        <f t="shared" si="8"/>
        <v>169</v>
      </c>
      <c r="B191" s="221">
        <f t="shared" si="17"/>
        <v>0.75693287037037393</v>
      </c>
      <c r="C191" s="70">
        <f t="shared" si="18"/>
        <v>1.3900462962960632E-2</v>
      </c>
      <c r="D191" s="86"/>
      <c r="E191" s="86"/>
      <c r="F191" s="84">
        <f t="shared" si="16"/>
        <v>0</v>
      </c>
      <c r="G191" s="114"/>
      <c r="H191" s="114"/>
      <c r="I191" s="114"/>
      <c r="J191" s="114"/>
      <c r="K191" s="77"/>
      <c r="L191" s="78"/>
    </row>
    <row r="192" spans="1:12" ht="45" customHeight="1" outlineLevel="1" x14ac:dyDescent="0.2">
      <c r="A192" s="220">
        <f t="shared" si="8"/>
        <v>170</v>
      </c>
      <c r="B192" s="221">
        <f t="shared" si="17"/>
        <v>0.75693287037037393</v>
      </c>
      <c r="C192" s="70">
        <f t="shared" si="18"/>
        <v>1.3900462962960632E-2</v>
      </c>
      <c r="D192" s="62"/>
      <c r="E192" s="62">
        <v>30</v>
      </c>
      <c r="F192" s="84">
        <f t="shared" si="16"/>
        <v>3.4722222222222224E-4</v>
      </c>
      <c r="G192" s="140" t="s">
        <v>212</v>
      </c>
      <c r="H192" s="74" t="s">
        <v>86</v>
      </c>
      <c r="I192" s="74" t="s">
        <v>213</v>
      </c>
      <c r="J192" s="74" t="s">
        <v>37</v>
      </c>
      <c r="K192" s="77"/>
      <c r="L192" s="78"/>
    </row>
    <row r="193" spans="1:12" ht="45" customHeight="1" outlineLevel="1" x14ac:dyDescent="0.2">
      <c r="A193" s="220">
        <f t="shared" si="8"/>
        <v>171</v>
      </c>
      <c r="B193" s="221">
        <f t="shared" si="17"/>
        <v>0.75728009259259621</v>
      </c>
      <c r="C193" s="70">
        <f t="shared" si="18"/>
        <v>1.3553240740738409E-2</v>
      </c>
      <c r="D193" s="62">
        <v>2</v>
      </c>
      <c r="E193" s="62">
        <v>0</v>
      </c>
      <c r="F193" s="84">
        <f t="shared" si="16"/>
        <v>1.3888888888888889E-3</v>
      </c>
      <c r="G193" s="85" t="s">
        <v>214</v>
      </c>
      <c r="H193" s="245" t="s">
        <v>215</v>
      </c>
      <c r="I193" s="74" t="s">
        <v>137</v>
      </c>
      <c r="J193" s="74" t="s">
        <v>37</v>
      </c>
      <c r="K193" s="246"/>
      <c r="L193" s="246"/>
    </row>
    <row r="194" spans="1:12" ht="22.5" customHeight="1" outlineLevel="1" x14ac:dyDescent="0.2">
      <c r="A194" s="220">
        <f t="shared" si="8"/>
        <v>172</v>
      </c>
      <c r="B194" s="221">
        <f t="shared" ref="B194:B202" si="19">B193+F193</f>
        <v>0.75866898148148509</v>
      </c>
      <c r="C194" s="70">
        <f t="shared" ref="C194:C202" si="20">C193-F193</f>
        <v>1.216435185184952E-2</v>
      </c>
      <c r="D194" s="62">
        <v>1</v>
      </c>
      <c r="E194" s="62">
        <v>36</v>
      </c>
      <c r="F194" s="84">
        <f t="shared" si="16"/>
        <v>1.1111111111111111E-3</v>
      </c>
      <c r="G194" s="73" t="s">
        <v>966</v>
      </c>
      <c r="H194" s="74" t="s">
        <v>35</v>
      </c>
      <c r="I194" s="75" t="s">
        <v>106</v>
      </c>
      <c r="J194" s="76" t="s">
        <v>157</v>
      </c>
      <c r="K194" s="77"/>
      <c r="L194" s="78"/>
    </row>
    <row r="195" spans="1:12" ht="22.5" customHeight="1" outlineLevel="1" x14ac:dyDescent="0.2">
      <c r="A195" s="220">
        <f t="shared" si="8"/>
        <v>173</v>
      </c>
      <c r="B195" s="221">
        <f t="shared" si="19"/>
        <v>0.75978009259259616</v>
      </c>
      <c r="C195" s="70">
        <f t="shared" si="20"/>
        <v>1.1053240740738409E-2</v>
      </c>
      <c r="D195" s="86"/>
      <c r="E195" s="86"/>
      <c r="F195" s="84">
        <f t="shared" si="16"/>
        <v>0</v>
      </c>
      <c r="G195" s="126"/>
      <c r="H195" s="127"/>
      <c r="I195" s="127"/>
      <c r="J195" s="127"/>
      <c r="K195" s="77"/>
      <c r="L195" s="78"/>
    </row>
    <row r="196" spans="1:12" ht="33" customHeight="1" outlineLevel="1" x14ac:dyDescent="0.2">
      <c r="A196" s="220">
        <f t="shared" si="8"/>
        <v>174</v>
      </c>
      <c r="B196" s="221">
        <f t="shared" si="19"/>
        <v>0.75978009259259616</v>
      </c>
      <c r="C196" s="70">
        <f t="shared" si="20"/>
        <v>1.1053240740738409E-2</v>
      </c>
      <c r="D196" s="62"/>
      <c r="E196" s="62">
        <v>50</v>
      </c>
      <c r="F196" s="84">
        <f t="shared" si="16"/>
        <v>5.7870370370370367E-4</v>
      </c>
      <c r="G196" s="672" t="s">
        <v>1084</v>
      </c>
      <c r="H196" s="74" t="s">
        <v>86</v>
      </c>
      <c r="I196" s="74" t="s">
        <v>364</v>
      </c>
      <c r="J196" s="76" t="s">
        <v>37</v>
      </c>
      <c r="K196" s="77"/>
      <c r="L196" s="78"/>
    </row>
    <row r="197" spans="1:12" ht="64" customHeight="1" outlineLevel="1" x14ac:dyDescent="0.2">
      <c r="A197" s="220">
        <f t="shared" si="8"/>
        <v>175</v>
      </c>
      <c r="B197" s="221">
        <f t="shared" si="19"/>
        <v>0.76035879629629988</v>
      </c>
      <c r="C197" s="70">
        <f t="shared" si="20"/>
        <v>1.0474537037034704E-2</v>
      </c>
      <c r="D197" s="71"/>
      <c r="E197" s="71">
        <v>30</v>
      </c>
      <c r="F197" s="84">
        <f>TIME(0,D197,E197)</f>
        <v>3.4722222222222224E-4</v>
      </c>
      <c r="G197" s="85" t="s">
        <v>1085</v>
      </c>
      <c r="H197" s="74" t="s">
        <v>136</v>
      </c>
      <c r="I197" s="74" t="s">
        <v>137</v>
      </c>
      <c r="J197" s="76" t="s">
        <v>37</v>
      </c>
      <c r="K197" s="555"/>
      <c r="L197" s="554"/>
    </row>
    <row r="198" spans="1:12" ht="33" customHeight="1" outlineLevel="1" x14ac:dyDescent="0.2">
      <c r="A198" s="220">
        <f t="shared" si="8"/>
        <v>176</v>
      </c>
      <c r="B198" s="221">
        <f t="shared" si="19"/>
        <v>0.76070601851852215</v>
      </c>
      <c r="C198" s="70">
        <f t="shared" si="20"/>
        <v>1.0127314814812481E-2</v>
      </c>
      <c r="D198" s="62">
        <v>6</v>
      </c>
      <c r="E198" s="62">
        <v>15</v>
      </c>
      <c r="F198" s="247">
        <f t="shared" si="16"/>
        <v>4.340277777777778E-3</v>
      </c>
      <c r="G198" s="123" t="s">
        <v>109</v>
      </c>
      <c r="H198" s="248" t="s">
        <v>110</v>
      </c>
      <c r="I198" s="248" t="s">
        <v>111</v>
      </c>
      <c r="J198" s="249" t="s">
        <v>112</v>
      </c>
      <c r="K198" s="250"/>
      <c r="L198" s="250"/>
    </row>
    <row r="199" spans="1:12" ht="33" customHeight="1" outlineLevel="1" x14ac:dyDescent="0.2">
      <c r="A199" s="220">
        <f t="shared" si="8"/>
        <v>177</v>
      </c>
      <c r="B199" s="221">
        <f t="shared" si="19"/>
        <v>0.76504629629629994</v>
      </c>
      <c r="C199" s="70">
        <f t="shared" si="20"/>
        <v>5.7870370370347035E-3</v>
      </c>
      <c r="D199" s="62"/>
      <c r="E199" s="62"/>
      <c r="F199" s="84">
        <f t="shared" si="16"/>
        <v>0</v>
      </c>
      <c r="G199" s="251" t="s">
        <v>113</v>
      </c>
      <c r="H199" s="76" t="s">
        <v>114</v>
      </c>
      <c r="I199" s="74" t="s">
        <v>115</v>
      </c>
      <c r="J199" s="76" t="s">
        <v>37</v>
      </c>
      <c r="K199" s="77"/>
      <c r="L199" s="78"/>
    </row>
    <row r="200" spans="1:12" ht="52.5" customHeight="1" outlineLevel="1" x14ac:dyDescent="0.2">
      <c r="A200" s="220">
        <f t="shared" si="8"/>
        <v>178</v>
      </c>
      <c r="B200" s="221">
        <f t="shared" si="19"/>
        <v>0.76504629629629994</v>
      </c>
      <c r="C200" s="70">
        <f t="shared" si="20"/>
        <v>5.7870370370347035E-3</v>
      </c>
      <c r="D200" s="129">
        <v>1</v>
      </c>
      <c r="E200" s="129">
        <v>15</v>
      </c>
      <c r="F200" s="252">
        <f t="shared" si="16"/>
        <v>8.6805555555555551E-4</v>
      </c>
      <c r="G200" s="130" t="s">
        <v>116</v>
      </c>
      <c r="H200" s="253" t="s">
        <v>1086</v>
      </c>
      <c r="I200" s="74" t="s">
        <v>115</v>
      </c>
      <c r="J200" s="76" t="s">
        <v>37</v>
      </c>
      <c r="K200" s="254" t="str">
        <f>+"Let's Welcome the National teams of "&amp;C12&amp;"and "&amp;D12&amp;"."</f>
        <v>Let's Welcome the National teams of 🇲🇽 Mexico (MEX)and 🇵🇦 Panama (PAN).</v>
      </c>
      <c r="L200" s="254" t="str">
        <f>"Demos la bienvenida a los equipos nacionales del ["&amp;C12&amp;"] y ["&amp;D12&amp;"]"</f>
        <v>Demos la bienvenida a los equipos nacionales del [🇲🇽 Mexico (MEX)] y [🇵🇦 Panama (PAN)]</v>
      </c>
    </row>
    <row r="201" spans="1:12" ht="69" customHeight="1" outlineLevel="1" x14ac:dyDescent="0.2">
      <c r="A201" s="220">
        <f t="shared" si="8"/>
        <v>179</v>
      </c>
      <c r="B201" s="221">
        <f t="shared" si="19"/>
        <v>0.76591435185185552</v>
      </c>
      <c r="C201" s="70">
        <f t="shared" si="20"/>
        <v>4.9189814814791476E-3</v>
      </c>
      <c r="D201" s="62"/>
      <c r="E201" s="62">
        <v>15</v>
      </c>
      <c r="F201" s="252">
        <f t="shared" si="16"/>
        <v>1.7361111111111112E-4</v>
      </c>
      <c r="G201" s="134" t="str">
        <f>" Announce Anthem of "&amp;C12</f>
        <v xml:space="preserve"> Announce Anthem of 🇲🇽 Mexico (MEX)</v>
      </c>
      <c r="H201" s="121" t="s">
        <v>118</v>
      </c>
      <c r="I201" s="74" t="s">
        <v>115</v>
      </c>
      <c r="J201" s="76" t="s">
        <v>119</v>
      </c>
      <c r="K201" s="255" t="str">
        <f>"Please rise for the National Anthem of ["&amp;C12&amp;"]"</f>
        <v>Please rise for the National Anthem of [🇲🇽 Mexico (MEX)]</v>
      </c>
      <c r="L201" s="254" t="str">
        <f>"POR FAVOR PONGASE DE PIE PARA EL HIMNO NACIONAL DE "&amp;C12</f>
        <v>POR FAVOR PONGASE DE PIE PARA EL HIMNO NACIONAL DE 🇲🇽 Mexico (MEX)</v>
      </c>
    </row>
    <row r="202" spans="1:12" ht="33" customHeight="1" outlineLevel="1" x14ac:dyDescent="0.2">
      <c r="A202" s="220">
        <f t="shared" si="8"/>
        <v>180</v>
      </c>
      <c r="B202" s="221">
        <f t="shared" si="19"/>
        <v>0.76608796296296666</v>
      </c>
      <c r="C202" s="70">
        <f t="shared" si="20"/>
        <v>4.7453703703680362E-3</v>
      </c>
      <c r="D202" s="62">
        <v>1</v>
      </c>
      <c r="E202" s="62">
        <v>35</v>
      </c>
      <c r="F202" s="252">
        <f t="shared" si="16"/>
        <v>1.0995370370370371E-3</v>
      </c>
      <c r="G202" s="137" t="str">
        <f>"Play National Announce of "&amp;C12</f>
        <v>Play National Announce of 🇲🇽 Mexico (MEX)</v>
      </c>
      <c r="H202" s="138" t="s">
        <v>216</v>
      </c>
      <c r="I202" s="74" t="s">
        <v>115</v>
      </c>
      <c r="J202" s="76" t="s">
        <v>119</v>
      </c>
      <c r="K202" s="256"/>
      <c r="L202" s="257"/>
    </row>
    <row r="203" spans="1:12" ht="48" customHeight="1" outlineLevel="1" x14ac:dyDescent="0.2">
      <c r="A203" s="220">
        <f t="shared" si="8"/>
        <v>181</v>
      </c>
      <c r="B203" s="221">
        <f t="shared" si="17"/>
        <v>0.76718750000000369</v>
      </c>
      <c r="C203" s="70">
        <f t="shared" si="18"/>
        <v>3.6458333333309993E-3</v>
      </c>
      <c r="D203" s="62"/>
      <c r="E203" s="62">
        <v>15</v>
      </c>
      <c r="F203" s="252">
        <f t="shared" si="16"/>
        <v>1.7361111111111112E-4</v>
      </c>
      <c r="G203" s="134" t="str">
        <f>" Announce Anthem of "&amp;D12</f>
        <v xml:space="preserve"> Announce Anthem of 🇵🇦 Panama (PAN)</v>
      </c>
      <c r="H203" s="121" t="s">
        <v>118</v>
      </c>
      <c r="I203" s="74" t="s">
        <v>115</v>
      </c>
      <c r="J203" s="76" t="s">
        <v>119</v>
      </c>
      <c r="K203" s="255" t="str">
        <f>"Please remain standing for the National Anthem of ["&amp;D12&amp;"]"</f>
        <v>Please remain standing for the National Anthem of [🇵🇦 Panama (PAN)]</v>
      </c>
      <c r="L203" s="255" t="str">
        <f>"POR FAVOR permanezca de pie  Para EL HIMNO NACIONAL DE "&amp;D12</f>
        <v>POR FAVOR permanezca de pie  Para EL HIMNO NACIONAL DE 🇵🇦 Panama (PAN)</v>
      </c>
    </row>
    <row r="204" spans="1:12" ht="33" customHeight="1" outlineLevel="1" x14ac:dyDescent="0.2">
      <c r="A204" s="220">
        <f t="shared" si="8"/>
        <v>182</v>
      </c>
      <c r="B204" s="221">
        <f t="shared" si="17"/>
        <v>0.76736111111111482</v>
      </c>
      <c r="C204" s="70">
        <f t="shared" si="18"/>
        <v>3.4722222222198884E-3</v>
      </c>
      <c r="D204" s="62">
        <v>1</v>
      </c>
      <c r="E204" s="62">
        <v>25</v>
      </c>
      <c r="F204" s="252">
        <f t="shared" si="16"/>
        <v>9.837962962962962E-4</v>
      </c>
      <c r="G204" s="137" t="str">
        <f>"Play National Announce of "&amp;D12</f>
        <v>Play National Announce of 🇵🇦 Panama (PAN)</v>
      </c>
      <c r="H204" s="138" t="s">
        <v>217</v>
      </c>
      <c r="I204" s="74" t="s">
        <v>115</v>
      </c>
      <c r="J204" s="76" t="s">
        <v>119</v>
      </c>
      <c r="K204" s="258"/>
      <c r="L204" s="259"/>
    </row>
    <row r="205" spans="1:12" ht="33" customHeight="1" outlineLevel="1" x14ac:dyDescent="0.2">
      <c r="A205" s="220">
        <f t="shared" si="8"/>
        <v>183</v>
      </c>
      <c r="B205" s="221">
        <f t="shared" si="17"/>
        <v>0.76834490740741113</v>
      </c>
      <c r="C205" s="70">
        <f t="shared" si="18"/>
        <v>2.488425925923592E-3</v>
      </c>
      <c r="D205" s="62">
        <v>3</v>
      </c>
      <c r="E205" s="62">
        <v>17</v>
      </c>
      <c r="F205" s="84">
        <f t="shared" si="16"/>
        <v>2.2800925925925927E-3</v>
      </c>
      <c r="G205" s="139" t="s">
        <v>218</v>
      </c>
      <c r="H205" s="76" t="s">
        <v>123</v>
      </c>
      <c r="I205" s="74" t="s">
        <v>115</v>
      </c>
      <c r="J205" s="76" t="s">
        <v>37</v>
      </c>
      <c r="K205" s="258"/>
      <c r="L205" s="259"/>
    </row>
    <row r="206" spans="1:12" ht="33" customHeight="1" outlineLevel="1" x14ac:dyDescent="0.2">
      <c r="A206" s="220">
        <f t="shared" si="8"/>
        <v>184</v>
      </c>
      <c r="B206" s="221">
        <f t="shared" si="17"/>
        <v>0.77062500000000367</v>
      </c>
      <c r="C206" s="70">
        <f t="shared" si="18"/>
        <v>2.083333333309993E-4</v>
      </c>
      <c r="D206" s="62"/>
      <c r="E206" s="62">
        <v>18</v>
      </c>
      <c r="F206" s="84">
        <f t="shared" si="16"/>
        <v>2.0833333333333335E-4</v>
      </c>
      <c r="G206" s="140" t="s">
        <v>125</v>
      </c>
      <c r="H206" s="76" t="s">
        <v>126</v>
      </c>
      <c r="I206" s="74"/>
      <c r="J206" s="76"/>
      <c r="K206" s="556" t="s">
        <v>219</v>
      </c>
      <c r="L206" s="554"/>
    </row>
    <row r="207" spans="1:12" ht="33" customHeight="1" outlineLevel="1" x14ac:dyDescent="0.2">
      <c r="A207" s="220">
        <f t="shared" si="8"/>
        <v>185</v>
      </c>
      <c r="B207" s="141">
        <f t="shared" si="9"/>
        <v>0.77083333333333703</v>
      </c>
      <c r="C207" s="142" t="str">
        <f>IF(C206-F206&gt;=0,TEXT(ABS(C206-F206),"-mm:ss"),TEXT(ABS(C206-F206),"+mm:ss"))</f>
        <v>+00:00</v>
      </c>
      <c r="D207" s="143"/>
      <c r="E207" s="143"/>
      <c r="F207" s="84">
        <f t="shared" si="16"/>
        <v>0</v>
      </c>
      <c r="G207" s="144" t="s">
        <v>130</v>
      </c>
      <c r="H207" s="145"/>
      <c r="I207" s="146"/>
      <c r="J207" s="146"/>
      <c r="K207" s="147"/>
      <c r="L207" s="148"/>
    </row>
    <row r="208" spans="1:12" ht="33" customHeight="1" outlineLevel="1" x14ac:dyDescent="0.2">
      <c r="A208" s="220">
        <f t="shared" si="8"/>
        <v>186</v>
      </c>
      <c r="B208" s="60">
        <f t="shared" si="9"/>
        <v>0.77083333333333703</v>
      </c>
      <c r="C208" s="61"/>
      <c r="D208" s="62">
        <v>45</v>
      </c>
      <c r="E208" s="62"/>
      <c r="F208" s="84">
        <f t="shared" si="16"/>
        <v>3.125E-2</v>
      </c>
      <c r="G208" s="150" t="s">
        <v>131</v>
      </c>
      <c r="H208" s="74" t="s">
        <v>132</v>
      </c>
      <c r="I208" s="74" t="s">
        <v>115</v>
      </c>
      <c r="J208" s="76" t="s">
        <v>133</v>
      </c>
      <c r="K208" s="151" t="s">
        <v>134</v>
      </c>
      <c r="L208" s="152" t="s">
        <v>134</v>
      </c>
    </row>
    <row r="209" spans="1:12" ht="33" customHeight="1" outlineLevel="1" x14ac:dyDescent="0.2">
      <c r="A209" s="220">
        <f t="shared" si="8"/>
        <v>187</v>
      </c>
      <c r="B209" s="60">
        <f t="shared" si="9"/>
        <v>0.80208333333333703</v>
      </c>
      <c r="C209" s="61"/>
      <c r="D209" s="86"/>
      <c r="E209" s="86"/>
      <c r="F209" s="84">
        <f t="shared" si="16"/>
        <v>0</v>
      </c>
      <c r="G209" s="153"/>
      <c r="H209" s="83"/>
      <c r="I209" s="83"/>
      <c r="J209" s="83"/>
      <c r="K209" s="77"/>
      <c r="L209" s="154"/>
    </row>
    <row r="210" spans="1:12" ht="78" customHeight="1" outlineLevel="1" x14ac:dyDescent="0.2">
      <c r="A210" s="220">
        <f t="shared" si="8"/>
        <v>188</v>
      </c>
      <c r="B210" s="60">
        <f t="shared" si="9"/>
        <v>0.80208333333333703</v>
      </c>
      <c r="C210" s="61">
        <v>1.0416666666666666E-2</v>
      </c>
      <c r="D210" s="62">
        <v>1</v>
      </c>
      <c r="E210" s="62">
        <v>0</v>
      </c>
      <c r="F210" s="84">
        <f t="shared" si="16"/>
        <v>6.9444444444444447E-4</v>
      </c>
      <c r="G210" s="85" t="s">
        <v>135</v>
      </c>
      <c r="H210" s="74" t="s">
        <v>136</v>
      </c>
      <c r="I210" s="74" t="s">
        <v>137</v>
      </c>
      <c r="J210" s="76" t="s">
        <v>37</v>
      </c>
      <c r="K210" s="260" t="s">
        <v>138</v>
      </c>
      <c r="L210" s="261" t="s">
        <v>139</v>
      </c>
    </row>
    <row r="211" spans="1:12" ht="33" customHeight="1" outlineLevel="1" x14ac:dyDescent="0.2">
      <c r="A211" s="220">
        <f t="shared" si="8"/>
        <v>189</v>
      </c>
      <c r="B211" s="60">
        <f t="shared" si="9"/>
        <v>0.80277777777778148</v>
      </c>
      <c r="C211" s="61">
        <f t="shared" ref="C211:C238" si="21">C210-F210</f>
        <v>9.7222222222222224E-3</v>
      </c>
      <c r="D211" s="62">
        <v>1</v>
      </c>
      <c r="E211" s="111"/>
      <c r="F211" s="84">
        <f t="shared" si="16"/>
        <v>6.9444444444444447E-4</v>
      </c>
      <c r="G211" s="157" t="s">
        <v>140</v>
      </c>
      <c r="H211" s="74" t="s">
        <v>35</v>
      </c>
      <c r="I211" s="74" t="s">
        <v>141</v>
      </c>
      <c r="J211" s="76" t="s">
        <v>37</v>
      </c>
      <c r="K211" s="262"/>
      <c r="L211" s="262"/>
    </row>
    <row r="212" spans="1:12" ht="33" customHeight="1" outlineLevel="1" x14ac:dyDescent="0.2">
      <c r="A212" s="220">
        <f t="shared" si="8"/>
        <v>190</v>
      </c>
      <c r="B212" s="60">
        <f t="shared" si="9"/>
        <v>0.80347222222222592</v>
      </c>
      <c r="C212" s="61">
        <f t="shared" si="21"/>
        <v>9.0277777777777787E-3</v>
      </c>
      <c r="D212" s="62"/>
      <c r="E212" s="111"/>
      <c r="F212" s="84">
        <f t="shared" si="16"/>
        <v>0</v>
      </c>
      <c r="G212" s="126"/>
      <c r="H212" s="126"/>
      <c r="I212" s="126"/>
      <c r="J212" s="126"/>
      <c r="K212" s="77"/>
      <c r="L212" s="78"/>
    </row>
    <row r="213" spans="1:12" ht="33" customHeight="1" outlineLevel="1" x14ac:dyDescent="0.2">
      <c r="A213" s="220">
        <f t="shared" si="8"/>
        <v>191</v>
      </c>
      <c r="B213" s="60">
        <f t="shared" si="9"/>
        <v>0.80347222222222592</v>
      </c>
      <c r="C213" s="61">
        <f t="shared" si="21"/>
        <v>9.0277777777777787E-3</v>
      </c>
      <c r="D213" s="62"/>
      <c r="E213" s="111"/>
      <c r="F213" s="84">
        <f t="shared" si="16"/>
        <v>0</v>
      </c>
      <c r="G213" s="88" t="s">
        <v>142</v>
      </c>
      <c r="H213" s="89"/>
      <c r="I213" s="263"/>
      <c r="J213" s="263"/>
      <c r="K213" s="77"/>
      <c r="L213" s="78"/>
    </row>
    <row r="214" spans="1:12" ht="33" customHeight="1" outlineLevel="1" x14ac:dyDescent="0.2">
      <c r="A214" s="220">
        <f t="shared" si="8"/>
        <v>192</v>
      </c>
      <c r="B214" s="60">
        <f t="shared" si="9"/>
        <v>0.80347222222222592</v>
      </c>
      <c r="C214" s="61">
        <f t="shared" si="21"/>
        <v>9.0277777777777787E-3</v>
      </c>
      <c r="D214" s="62"/>
      <c r="E214" s="111">
        <v>39</v>
      </c>
      <c r="F214" s="84">
        <f t="shared" si="16"/>
        <v>4.5138888888888887E-4</v>
      </c>
      <c r="G214" s="140" t="s">
        <v>143</v>
      </c>
      <c r="H214" s="74" t="s">
        <v>86</v>
      </c>
      <c r="I214" s="264" t="s">
        <v>144</v>
      </c>
      <c r="J214" s="265" t="s">
        <v>145</v>
      </c>
      <c r="K214" s="77"/>
      <c r="L214" s="78"/>
    </row>
    <row r="215" spans="1:12" ht="98.25" customHeight="1" outlineLevel="1" x14ac:dyDescent="0.2">
      <c r="A215" s="220">
        <f t="shared" si="8"/>
        <v>193</v>
      </c>
      <c r="B215" s="60">
        <f t="shared" si="9"/>
        <v>0.80392361111111477</v>
      </c>
      <c r="C215" s="61">
        <f t="shared" si="21"/>
        <v>8.5763888888888903E-3</v>
      </c>
      <c r="D215" s="62"/>
      <c r="E215" s="62">
        <v>30</v>
      </c>
      <c r="F215" s="84">
        <f t="shared" si="16"/>
        <v>3.4722222222222224E-4</v>
      </c>
      <c r="G215" s="94" t="s">
        <v>51</v>
      </c>
      <c r="H215" s="91" t="str">
        <f>VLOOKUP(G215,Sponsors!$A:$H,3,0)</f>
        <v>PA+BGM</v>
      </c>
      <c r="I215" s="92" t="str">
        <f>VLOOKUP(G215,Sponsors!$A:$H,4,0)</f>
        <v xml:space="preserve">Valvoline Still </v>
      </c>
      <c r="J215" s="92" t="str">
        <f>VLOOKUP(G215,Sponsors!$A:$H,5,0)</f>
        <v>Valvoline</v>
      </c>
      <c r="K215" s="95" t="s">
        <v>52</v>
      </c>
      <c r="L215" s="95" t="s">
        <v>53</v>
      </c>
    </row>
    <row r="216" spans="1:12" ht="51" customHeight="1" outlineLevel="1" x14ac:dyDescent="0.2">
      <c r="A216" s="220">
        <f t="shared" si="8"/>
        <v>194</v>
      </c>
      <c r="B216" s="60">
        <f t="shared" si="9"/>
        <v>0.80427083333333704</v>
      </c>
      <c r="C216" s="61">
        <f t="shared" si="21"/>
        <v>8.2291666666666676E-3</v>
      </c>
      <c r="D216" s="62"/>
      <c r="E216" s="62">
        <v>15</v>
      </c>
      <c r="F216" s="84">
        <f t="shared" si="16"/>
        <v>1.7361111111111112E-4</v>
      </c>
      <c r="G216" s="90" t="s">
        <v>46</v>
      </c>
      <c r="H216" s="91" t="str">
        <f>VLOOKUP(G216,Sponsors!$A:$H,3,0)</f>
        <v>PA+BGM</v>
      </c>
      <c r="I216" s="91" t="s">
        <v>47</v>
      </c>
      <c r="J216" s="92" t="s">
        <v>48</v>
      </c>
      <c r="K216" s="165" t="s">
        <v>49</v>
      </c>
      <c r="L216" s="165" t="s">
        <v>50</v>
      </c>
    </row>
    <row r="217" spans="1:12" ht="87.75" customHeight="1" outlineLevel="1" x14ac:dyDescent="0.2">
      <c r="A217" s="220">
        <f t="shared" si="8"/>
        <v>195</v>
      </c>
      <c r="B217" s="60">
        <f t="shared" si="9"/>
        <v>0.80444444444444818</v>
      </c>
      <c r="C217" s="61">
        <f t="shared" si="21"/>
        <v>8.0555555555555571E-3</v>
      </c>
      <c r="D217" s="62"/>
      <c r="E217" s="111">
        <v>30</v>
      </c>
      <c r="F217" s="84">
        <f t="shared" si="16"/>
        <v>3.4722222222222224E-4</v>
      </c>
      <c r="G217" s="94" t="s">
        <v>60</v>
      </c>
      <c r="H217" s="91" t="str">
        <f>VLOOKUP(G217,Sponsors!$A:$H,3,0)</f>
        <v>PA+BGM</v>
      </c>
      <c r="I217" s="98" t="s">
        <v>61</v>
      </c>
      <c r="J217" s="266" t="s">
        <v>146</v>
      </c>
      <c r="K217" s="558" t="s">
        <v>147</v>
      </c>
      <c r="L217" s="554"/>
    </row>
    <row r="218" spans="1:12" ht="72.75" customHeight="1" outlineLevel="1" x14ac:dyDescent="0.2">
      <c r="A218" s="220">
        <f t="shared" si="8"/>
        <v>196</v>
      </c>
      <c r="B218" s="60">
        <f t="shared" si="9"/>
        <v>0.80479166666667046</v>
      </c>
      <c r="C218" s="61">
        <f t="shared" si="21"/>
        <v>7.7083333333333353E-3</v>
      </c>
      <c r="D218" s="62"/>
      <c r="E218" s="111">
        <v>15</v>
      </c>
      <c r="F218" s="84">
        <f t="shared" si="16"/>
        <v>1.7361111111111112E-4</v>
      </c>
      <c r="G218" s="94" t="s">
        <v>64</v>
      </c>
      <c r="H218" s="91" t="s">
        <v>65</v>
      </c>
      <c r="I218" s="92" t="s">
        <v>175</v>
      </c>
      <c r="J218" s="228" t="s">
        <v>67</v>
      </c>
      <c r="K218" s="559" t="s">
        <v>68</v>
      </c>
      <c r="L218" s="554"/>
    </row>
    <row r="219" spans="1:12" ht="65.25" customHeight="1" outlineLevel="1" x14ac:dyDescent="0.2">
      <c r="A219" s="220">
        <f t="shared" si="8"/>
        <v>197</v>
      </c>
      <c r="B219" s="60">
        <f t="shared" si="9"/>
        <v>0.8049652777777816</v>
      </c>
      <c r="C219" s="61">
        <f t="shared" si="21"/>
        <v>7.5347222222222239E-3</v>
      </c>
      <c r="D219" s="62"/>
      <c r="E219" s="111">
        <v>30</v>
      </c>
      <c r="F219" s="84">
        <f t="shared" si="16"/>
        <v>3.4722222222222224E-4</v>
      </c>
      <c r="G219" s="94" t="s">
        <v>69</v>
      </c>
      <c r="H219" s="91" t="str">
        <f>VLOOKUP(G219,Sponsors!$A:$H,3,0)</f>
        <v>PA+BGM</v>
      </c>
      <c r="I219" s="92" t="str">
        <f>VLOOKUP(G219,Sponsors!$A:$H,4,0)</f>
        <v>Molten Still</v>
      </c>
      <c r="J219" s="228" t="str">
        <f>VLOOKUP(G219,Sponsors!$A:$H,5,0)</f>
        <v xml:space="preserve">Molten </v>
      </c>
      <c r="K219" s="553" t="s">
        <v>70</v>
      </c>
      <c r="L219" s="554"/>
    </row>
    <row r="220" spans="1:12" ht="95.25" customHeight="1" outlineLevel="1" x14ac:dyDescent="0.2">
      <c r="A220" s="220">
        <f t="shared" si="8"/>
        <v>198</v>
      </c>
      <c r="B220" s="60">
        <f t="shared" si="9"/>
        <v>0.80531250000000387</v>
      </c>
      <c r="C220" s="61">
        <f t="shared" si="21"/>
        <v>7.187500000000002E-3</v>
      </c>
      <c r="D220" s="62"/>
      <c r="E220" s="86">
        <v>15</v>
      </c>
      <c r="F220" s="84">
        <f t="shared" si="16"/>
        <v>1.7361111111111112E-4</v>
      </c>
      <c r="G220" s="94" t="s">
        <v>72</v>
      </c>
      <c r="H220" s="92" t="s">
        <v>65</v>
      </c>
      <c r="I220" s="91" t="s">
        <v>72</v>
      </c>
      <c r="J220" s="92" t="s">
        <v>101</v>
      </c>
      <c r="K220" s="558" t="s">
        <v>73</v>
      </c>
      <c r="L220" s="554"/>
    </row>
    <row r="221" spans="1:12" ht="139" customHeight="1" outlineLevel="1" x14ac:dyDescent="0.2">
      <c r="A221" s="220">
        <f t="shared" si="8"/>
        <v>199</v>
      </c>
      <c r="B221" s="60">
        <f t="shared" si="9"/>
        <v>0.80548611111111501</v>
      </c>
      <c r="C221" s="61">
        <f t="shared" si="21"/>
        <v>7.0138888888888907E-3</v>
      </c>
      <c r="D221" s="62"/>
      <c r="E221" s="111">
        <v>15</v>
      </c>
      <c r="F221" s="84">
        <f t="shared" si="16"/>
        <v>1.7361111111111112E-4</v>
      </c>
      <c r="G221" s="94" t="s">
        <v>74</v>
      </c>
      <c r="H221" s="91" t="s">
        <v>65</v>
      </c>
      <c r="I221" s="91" t="s">
        <v>177</v>
      </c>
      <c r="J221" s="92" t="s">
        <v>94</v>
      </c>
      <c r="K221" s="670" t="s">
        <v>1083</v>
      </c>
      <c r="L221" s="671"/>
    </row>
    <row r="222" spans="1:12" ht="33" customHeight="1" outlineLevel="1" x14ac:dyDescent="0.2">
      <c r="A222" s="220">
        <f t="shared" si="8"/>
        <v>200</v>
      </c>
      <c r="B222" s="60">
        <f t="shared" si="9"/>
        <v>0.80565972222222615</v>
      </c>
      <c r="C222" s="61">
        <f t="shared" si="21"/>
        <v>6.8402777777777793E-3</v>
      </c>
      <c r="D222" s="62"/>
      <c r="E222" s="111">
        <v>30</v>
      </c>
      <c r="F222" s="84">
        <f t="shared" si="16"/>
        <v>3.4722222222222224E-4</v>
      </c>
      <c r="G222" s="94" t="s">
        <v>91</v>
      </c>
      <c r="H222" s="101" t="str">
        <f>VLOOKUP(G222,Sponsors!$A:$H,3,0)</f>
        <v>VT Audio</v>
      </c>
      <c r="I222" s="101" t="str">
        <f>VLOOKUP(G222,Sponsors!$A:$H,4,0)</f>
        <v>Neau Water Video</v>
      </c>
      <c r="J222" s="97" t="str">
        <f>VLOOKUP(G222,Sponsors!$A:$H,5,0)</f>
        <v>Neau Water</v>
      </c>
      <c r="K222" s="77"/>
      <c r="L222" s="78"/>
    </row>
    <row r="223" spans="1:12" ht="33" customHeight="1" outlineLevel="1" x14ac:dyDescent="0.2">
      <c r="A223" s="220">
        <f t="shared" si="8"/>
        <v>201</v>
      </c>
      <c r="B223" s="60">
        <f t="shared" si="9"/>
        <v>0.80600694444444843</v>
      </c>
      <c r="C223" s="61">
        <f t="shared" si="21"/>
        <v>6.4930555555555575E-3</v>
      </c>
      <c r="D223" s="62"/>
      <c r="E223" s="111">
        <v>30</v>
      </c>
      <c r="F223" s="84">
        <f t="shared" si="16"/>
        <v>3.4722222222222224E-4</v>
      </c>
      <c r="G223" s="94" t="s">
        <v>98</v>
      </c>
      <c r="H223" s="91" t="s">
        <v>35</v>
      </c>
      <c r="I223" s="91" t="str">
        <f>VLOOKUP(G223,Sponsors!$A:$H,4,0)</f>
        <v>Riyadh Video</v>
      </c>
      <c r="J223" s="92" t="s">
        <v>146</v>
      </c>
      <c r="K223" s="77"/>
      <c r="L223" s="78"/>
    </row>
    <row r="224" spans="1:12" ht="33" customHeight="1" outlineLevel="1" x14ac:dyDescent="0.2">
      <c r="A224" s="220">
        <f t="shared" si="8"/>
        <v>202</v>
      </c>
      <c r="B224" s="60">
        <f t="shared" si="9"/>
        <v>0.8063541666666707</v>
      </c>
      <c r="C224" s="61">
        <f t="shared" si="21"/>
        <v>6.1458333333333356E-3</v>
      </c>
      <c r="D224" s="62"/>
      <c r="E224" s="111">
        <v>30</v>
      </c>
      <c r="F224" s="84">
        <f t="shared" si="16"/>
        <v>3.4722222222222224E-4</v>
      </c>
      <c r="G224" s="94" t="s">
        <v>83</v>
      </c>
      <c r="H224" s="91" t="s">
        <v>86</v>
      </c>
      <c r="I224" s="91" t="s">
        <v>83</v>
      </c>
      <c r="J224" s="92" t="s">
        <v>48</v>
      </c>
      <c r="K224" s="77"/>
      <c r="L224" s="78"/>
    </row>
    <row r="225" spans="1:12" ht="33" customHeight="1" outlineLevel="1" x14ac:dyDescent="0.2">
      <c r="A225" s="220">
        <f t="shared" si="8"/>
        <v>203</v>
      </c>
      <c r="B225" s="60">
        <f t="shared" ref="B225:B237" si="22">B224+F224</f>
        <v>0.80670138888889298</v>
      </c>
      <c r="C225" s="61">
        <f t="shared" ref="C225:C237" si="23">C224-F224</f>
        <v>5.7986111111111138E-3</v>
      </c>
      <c r="D225" s="62"/>
      <c r="E225" s="111">
        <v>30</v>
      </c>
      <c r="F225" s="84">
        <f t="shared" si="16"/>
        <v>3.4722222222222224E-4</v>
      </c>
      <c r="G225" s="94" t="s">
        <v>85</v>
      </c>
      <c r="H225" s="91" t="s">
        <v>86</v>
      </c>
      <c r="I225" s="91" t="s">
        <v>85</v>
      </c>
      <c r="J225" s="92" t="s">
        <v>67</v>
      </c>
      <c r="K225" s="77"/>
      <c r="L225" s="78"/>
    </row>
    <row r="226" spans="1:12" ht="33" customHeight="1" outlineLevel="1" x14ac:dyDescent="0.2">
      <c r="A226" s="220">
        <f t="shared" si="8"/>
        <v>204</v>
      </c>
      <c r="B226" s="60">
        <f t="shared" si="22"/>
        <v>0.80704861111111525</v>
      </c>
      <c r="C226" s="61">
        <f t="shared" si="23"/>
        <v>5.4513888888888919E-3</v>
      </c>
      <c r="D226" s="62"/>
      <c r="E226" s="111">
        <v>30</v>
      </c>
      <c r="F226" s="84">
        <f t="shared" si="16"/>
        <v>3.4722222222222224E-4</v>
      </c>
      <c r="G226" s="94" t="s">
        <v>87</v>
      </c>
      <c r="H226" s="91" t="str">
        <f>VLOOKUP(G226,Sponsors!$A:$H,3,0)</f>
        <v>VT Audio</v>
      </c>
      <c r="I226" s="91" t="str">
        <f>VLOOKUP(G226,Sponsors!$A:$H,4,0)</f>
        <v>Molten Video</v>
      </c>
      <c r="J226" s="92" t="str">
        <f>VLOOKUP(G226,Sponsors!$A:$H,5,0)</f>
        <v xml:space="preserve">Molten </v>
      </c>
      <c r="K226" s="77"/>
      <c r="L226" s="78"/>
    </row>
    <row r="227" spans="1:12" ht="33" customHeight="1" outlineLevel="1" x14ac:dyDescent="0.2">
      <c r="A227" s="220">
        <f t="shared" si="8"/>
        <v>205</v>
      </c>
      <c r="B227" s="60">
        <f t="shared" si="22"/>
        <v>0.80739583333333753</v>
      </c>
      <c r="C227" s="61">
        <f t="shared" si="23"/>
        <v>5.10416666666667E-3</v>
      </c>
      <c r="D227" s="62"/>
      <c r="E227" s="111">
        <v>30</v>
      </c>
      <c r="F227" s="84">
        <f t="shared" si="16"/>
        <v>3.4722222222222224E-4</v>
      </c>
      <c r="G227" s="94" t="s">
        <v>88</v>
      </c>
      <c r="H227" s="91" t="str">
        <f>VLOOKUP(G227,Sponsors!$A:$H,3,0)</f>
        <v>VT Audio</v>
      </c>
      <c r="I227" s="91" t="str">
        <f>VLOOKUP(G227,Sponsors!$A:$H,4,0)</f>
        <v>Aramco Video</v>
      </c>
      <c r="J227" s="92" t="str">
        <f>VLOOKUP(G227,Sponsors!$A:$H,5,0)</f>
        <v>Aramco</v>
      </c>
      <c r="K227" s="77"/>
      <c r="L227" s="78"/>
    </row>
    <row r="228" spans="1:12" ht="33" customHeight="1" outlineLevel="1" x14ac:dyDescent="0.2">
      <c r="A228" s="220">
        <f t="shared" si="8"/>
        <v>206</v>
      </c>
      <c r="B228" s="60">
        <f t="shared" si="22"/>
        <v>0.80774305555555981</v>
      </c>
      <c r="C228" s="61">
        <f t="shared" si="23"/>
        <v>4.7569444444444482E-3</v>
      </c>
      <c r="D228" s="62"/>
      <c r="E228" s="111">
        <v>30</v>
      </c>
      <c r="F228" s="84">
        <f t="shared" si="16"/>
        <v>3.4722222222222224E-4</v>
      </c>
      <c r="G228" s="96" t="s">
        <v>99</v>
      </c>
      <c r="H228" s="91" t="s">
        <v>86</v>
      </c>
      <c r="I228" s="101" t="s">
        <v>100</v>
      </c>
      <c r="J228" s="97" t="s">
        <v>101</v>
      </c>
      <c r="K228" s="77"/>
      <c r="L228" s="78"/>
    </row>
    <row r="229" spans="1:12" ht="33" customHeight="1" outlineLevel="1" x14ac:dyDescent="0.2">
      <c r="A229" s="220">
        <f t="shared" si="8"/>
        <v>207</v>
      </c>
      <c r="B229" s="60">
        <f t="shared" si="22"/>
        <v>0.80809027777778208</v>
      </c>
      <c r="C229" s="61">
        <f t="shared" si="23"/>
        <v>4.4097222222222263E-3</v>
      </c>
      <c r="D229" s="62"/>
      <c r="E229" s="111">
        <v>30</v>
      </c>
      <c r="F229" s="84">
        <f t="shared" si="16"/>
        <v>3.4722222222222224E-4</v>
      </c>
      <c r="G229" s="90" t="s">
        <v>149</v>
      </c>
      <c r="H229" s="91" t="str">
        <f>VLOOKUP(G229,Sponsors!$A:$H,3,0)</f>
        <v>VT Audio</v>
      </c>
      <c r="I229" s="91" t="str">
        <f>VLOOKUP(G229,Sponsors!$A:$H,4,0)</f>
        <v>Valvoline Video</v>
      </c>
      <c r="J229" s="92" t="str">
        <f>VLOOKUP(G229,Sponsors!$A:$H,5,0)</f>
        <v>Valvoline</v>
      </c>
      <c r="K229" s="77"/>
      <c r="L229" s="78"/>
    </row>
    <row r="230" spans="1:12" ht="33" customHeight="1" outlineLevel="1" x14ac:dyDescent="0.2">
      <c r="A230" s="220">
        <f t="shared" si="8"/>
        <v>208</v>
      </c>
      <c r="B230" s="60">
        <f t="shared" si="22"/>
        <v>0.80843750000000436</v>
      </c>
      <c r="C230" s="61">
        <f t="shared" si="23"/>
        <v>4.0625000000000045E-3</v>
      </c>
      <c r="D230" s="62"/>
      <c r="E230" s="111">
        <v>30</v>
      </c>
      <c r="F230" s="84">
        <f t="shared" si="16"/>
        <v>3.4722222222222224E-4</v>
      </c>
      <c r="G230" s="90" t="s">
        <v>150</v>
      </c>
      <c r="H230" s="91" t="s">
        <v>86</v>
      </c>
      <c r="I230" s="101" t="s">
        <v>151</v>
      </c>
      <c r="J230" s="97" t="s">
        <v>151</v>
      </c>
      <c r="K230" s="77"/>
      <c r="L230" s="78"/>
    </row>
    <row r="231" spans="1:12" ht="33" customHeight="1" outlineLevel="1" x14ac:dyDescent="0.2">
      <c r="A231" s="220">
        <f t="shared" si="8"/>
        <v>209</v>
      </c>
      <c r="B231" s="60">
        <f t="shared" si="22"/>
        <v>0.80878472222222664</v>
      </c>
      <c r="C231" s="61">
        <f t="shared" si="23"/>
        <v>3.7152777777777822E-3</v>
      </c>
      <c r="D231" s="62"/>
      <c r="E231" s="111">
        <v>30</v>
      </c>
      <c r="F231" s="84">
        <f t="shared" si="16"/>
        <v>3.4722222222222224E-4</v>
      </c>
      <c r="G231" s="94" t="s">
        <v>91</v>
      </c>
      <c r="H231" s="101" t="str">
        <f>VLOOKUP(G231,Sponsors!$A:$H,3,0)</f>
        <v>VT Audio</v>
      </c>
      <c r="I231" s="101" t="str">
        <f>VLOOKUP(G231,Sponsors!$A:$H,4,0)</f>
        <v>Neau Water Video</v>
      </c>
      <c r="J231" s="97" t="str">
        <f>VLOOKUP(G231,Sponsors!$A:$H,5,0)</f>
        <v>Neau Water</v>
      </c>
      <c r="K231" s="77"/>
      <c r="L231" s="78"/>
    </row>
    <row r="232" spans="1:12" ht="33" customHeight="1" outlineLevel="1" x14ac:dyDescent="0.2">
      <c r="A232" s="220">
        <f t="shared" si="8"/>
        <v>210</v>
      </c>
      <c r="B232" s="60">
        <f t="shared" si="22"/>
        <v>0.80913194444444891</v>
      </c>
      <c r="C232" s="61">
        <f t="shared" si="23"/>
        <v>3.3680555555555599E-3</v>
      </c>
      <c r="D232" s="62"/>
      <c r="E232" s="111">
        <v>30</v>
      </c>
      <c r="F232" s="84">
        <f t="shared" si="16"/>
        <v>3.4722222222222224E-4</v>
      </c>
      <c r="G232" s="107" t="s">
        <v>93</v>
      </c>
      <c r="H232" s="91" t="s">
        <v>86</v>
      </c>
      <c r="I232" s="91" t="s">
        <v>93</v>
      </c>
      <c r="J232" s="92" t="s">
        <v>94</v>
      </c>
      <c r="K232" s="77"/>
      <c r="L232" s="78"/>
    </row>
    <row r="233" spans="1:12" ht="33" customHeight="1" outlineLevel="1" x14ac:dyDescent="0.2">
      <c r="A233" s="220">
        <f t="shared" si="8"/>
        <v>211</v>
      </c>
      <c r="B233" s="60">
        <f t="shared" si="22"/>
        <v>0.80947916666667119</v>
      </c>
      <c r="C233" s="61">
        <f t="shared" si="23"/>
        <v>3.0208333333333376E-3</v>
      </c>
      <c r="D233" s="62"/>
      <c r="E233" s="111">
        <v>39</v>
      </c>
      <c r="F233" s="84">
        <f t="shared" si="16"/>
        <v>4.5138888888888887E-4</v>
      </c>
      <c r="G233" s="140" t="s">
        <v>143</v>
      </c>
      <c r="H233" s="74" t="s">
        <v>220</v>
      </c>
      <c r="I233" s="161" t="s">
        <v>153</v>
      </c>
      <c r="J233" s="131" t="s">
        <v>211</v>
      </c>
      <c r="K233" s="77"/>
      <c r="L233" s="78"/>
    </row>
    <row r="234" spans="1:12" ht="33" customHeight="1" outlineLevel="1" x14ac:dyDescent="0.2">
      <c r="A234" s="220">
        <f t="shared" si="8"/>
        <v>212</v>
      </c>
      <c r="B234" s="60">
        <f t="shared" si="22"/>
        <v>0.80993055555556004</v>
      </c>
      <c r="C234" s="61">
        <f t="shared" si="23"/>
        <v>2.5694444444444488E-3</v>
      </c>
      <c r="D234" s="86"/>
      <c r="E234" s="104"/>
      <c r="F234" s="84">
        <f t="shared" si="16"/>
        <v>0</v>
      </c>
      <c r="G234" s="166"/>
      <c r="H234" s="167"/>
      <c r="I234" s="167"/>
      <c r="J234" s="167"/>
      <c r="K234" s="163"/>
      <c r="L234" s="164"/>
    </row>
    <row r="235" spans="1:12" ht="33" customHeight="1" outlineLevel="1" x14ac:dyDescent="0.2">
      <c r="A235" s="220">
        <f t="shared" si="8"/>
        <v>213</v>
      </c>
      <c r="B235" s="60">
        <f t="shared" si="22"/>
        <v>0.80993055555556004</v>
      </c>
      <c r="C235" s="61">
        <f t="shared" si="23"/>
        <v>2.5694444444444488E-3</v>
      </c>
      <c r="D235" s="62">
        <v>2</v>
      </c>
      <c r="E235" s="62">
        <v>42</v>
      </c>
      <c r="F235" s="84">
        <f t="shared" si="16"/>
        <v>1.8749999999999999E-3</v>
      </c>
      <c r="G235" s="168" t="s">
        <v>191</v>
      </c>
      <c r="H235" s="74" t="s">
        <v>136</v>
      </c>
      <c r="I235" s="74" t="s">
        <v>137</v>
      </c>
      <c r="J235" s="76" t="s">
        <v>37</v>
      </c>
      <c r="K235" s="267"/>
      <c r="L235" s="268"/>
    </row>
    <row r="236" spans="1:12" ht="19.5" customHeight="1" outlineLevel="1" x14ac:dyDescent="0.2">
      <c r="A236" s="220">
        <f t="shared" si="8"/>
        <v>214</v>
      </c>
      <c r="B236" s="60">
        <f t="shared" si="22"/>
        <v>0.81180555555556</v>
      </c>
      <c r="C236" s="61">
        <f t="shared" si="23"/>
        <v>6.9444444444444892E-4</v>
      </c>
      <c r="D236" s="86"/>
      <c r="E236" s="104"/>
      <c r="F236" s="84">
        <f t="shared" si="16"/>
        <v>0</v>
      </c>
      <c r="G236" s="269"/>
      <c r="H236" s="83"/>
      <c r="I236" s="114"/>
      <c r="J236" s="83"/>
      <c r="K236" s="270"/>
      <c r="L236" s="164"/>
    </row>
    <row r="237" spans="1:12" ht="33" customHeight="1" outlineLevel="1" x14ac:dyDescent="0.2">
      <c r="A237" s="220">
        <f t="shared" si="8"/>
        <v>215</v>
      </c>
      <c r="B237" s="60">
        <f t="shared" si="22"/>
        <v>0.81180555555556</v>
      </c>
      <c r="C237" s="61">
        <f t="shared" si="23"/>
        <v>6.9444444444444892E-4</v>
      </c>
      <c r="D237" s="62">
        <v>1</v>
      </c>
      <c r="E237" s="111"/>
      <c r="F237" s="84">
        <f t="shared" si="16"/>
        <v>6.9444444444444447E-4</v>
      </c>
      <c r="G237" s="73" t="s">
        <v>221</v>
      </c>
      <c r="H237" s="74" t="s">
        <v>35</v>
      </c>
      <c r="I237" s="75" t="s">
        <v>106</v>
      </c>
      <c r="J237" s="76" t="s">
        <v>37</v>
      </c>
      <c r="K237" s="270"/>
      <c r="L237" s="164"/>
    </row>
    <row r="238" spans="1:12" ht="33" customHeight="1" outlineLevel="1" x14ac:dyDescent="0.2">
      <c r="A238" s="220">
        <f t="shared" si="8"/>
        <v>216</v>
      </c>
      <c r="B238" s="60">
        <f t="shared" si="9"/>
        <v>0.81250000000000444</v>
      </c>
      <c r="C238" s="61">
        <f t="shared" si="21"/>
        <v>4.4452289071905682E-18</v>
      </c>
      <c r="D238" s="62"/>
      <c r="E238" s="62"/>
      <c r="F238" s="84">
        <f t="shared" si="16"/>
        <v>0</v>
      </c>
      <c r="G238" s="171" t="s">
        <v>159</v>
      </c>
      <c r="H238" s="172"/>
      <c r="I238" s="172"/>
      <c r="J238" s="172"/>
      <c r="K238" s="271"/>
      <c r="L238" s="174"/>
    </row>
    <row r="239" spans="1:12" ht="33" customHeight="1" outlineLevel="1" x14ac:dyDescent="0.2">
      <c r="A239" s="220">
        <f t="shared" si="8"/>
        <v>217</v>
      </c>
      <c r="B239" s="60">
        <f t="shared" si="9"/>
        <v>0.81250000000000444</v>
      </c>
      <c r="C239" s="61"/>
      <c r="D239" s="62">
        <v>45</v>
      </c>
      <c r="E239" s="62"/>
      <c r="F239" s="84">
        <f t="shared" si="16"/>
        <v>3.125E-2</v>
      </c>
      <c r="G239" s="175" t="s">
        <v>160</v>
      </c>
      <c r="H239" s="74"/>
      <c r="I239" s="74"/>
      <c r="J239" s="76"/>
      <c r="K239" s="77"/>
      <c r="L239" s="78"/>
    </row>
    <row r="240" spans="1:12" ht="111" customHeight="1" outlineLevel="1" x14ac:dyDescent="0.2">
      <c r="A240" s="220">
        <f t="shared" si="8"/>
        <v>218</v>
      </c>
      <c r="B240" s="60">
        <f t="shared" ref="B240:B246" si="24">B239+F239</f>
        <v>0.84375000000000444</v>
      </c>
      <c r="C240" s="61"/>
      <c r="D240" s="62"/>
      <c r="E240" s="62"/>
      <c r="F240" s="84">
        <f t="shared" si="16"/>
        <v>0</v>
      </c>
      <c r="G240" s="176" t="s">
        <v>161</v>
      </c>
      <c r="H240" s="74"/>
      <c r="I240" s="74"/>
      <c r="J240" s="76"/>
      <c r="K240" s="152" t="s">
        <v>967</v>
      </c>
      <c r="L240" s="152" t="s">
        <v>163</v>
      </c>
    </row>
    <row r="241" spans="1:12" ht="84.75" customHeight="1" outlineLevel="1" x14ac:dyDescent="0.2">
      <c r="A241" s="220">
        <f t="shared" si="8"/>
        <v>219</v>
      </c>
      <c r="B241" s="60">
        <f t="shared" si="24"/>
        <v>0.84375000000000444</v>
      </c>
      <c r="C241" s="276"/>
      <c r="D241" s="281">
        <v>1</v>
      </c>
      <c r="E241" s="281">
        <v>0</v>
      </c>
      <c r="F241" s="278">
        <f>TIME(0,D241,E241)</f>
        <v>6.9444444444444447E-4</v>
      </c>
      <c r="G241" s="279" t="s">
        <v>228</v>
      </c>
      <c r="H241" s="282" t="s">
        <v>229</v>
      </c>
      <c r="I241" s="282" t="s">
        <v>226</v>
      </c>
      <c r="J241" s="282" t="s">
        <v>230</v>
      </c>
      <c r="K241" s="593" t="s">
        <v>968</v>
      </c>
      <c r="L241" s="592"/>
    </row>
    <row r="242" spans="1:12" ht="84.75" customHeight="1" outlineLevel="1" x14ac:dyDescent="0.2">
      <c r="A242" s="220">
        <f t="shared" si="8"/>
        <v>220</v>
      </c>
      <c r="B242" s="60">
        <f t="shared" si="24"/>
        <v>0.84444444444444888</v>
      </c>
      <c r="C242" s="276"/>
      <c r="D242" s="281">
        <v>1</v>
      </c>
      <c r="E242" s="281">
        <v>0</v>
      </c>
      <c r="F242" s="278">
        <f>TIME(0,D242,E242)</f>
        <v>6.9444444444444447E-4</v>
      </c>
      <c r="G242" s="279" t="s">
        <v>231</v>
      </c>
      <c r="H242" s="282" t="s">
        <v>229</v>
      </c>
      <c r="I242" s="282" t="s">
        <v>226</v>
      </c>
      <c r="J242" s="282" t="s">
        <v>232</v>
      </c>
      <c r="K242" s="594" t="s">
        <v>969</v>
      </c>
      <c r="L242" s="592"/>
    </row>
    <row r="243" spans="1:12" ht="33" customHeight="1" outlineLevel="1" x14ac:dyDescent="0.2">
      <c r="A243" s="220">
        <f t="shared" si="8"/>
        <v>221</v>
      </c>
      <c r="B243" s="60">
        <f t="shared" si="24"/>
        <v>0.84513888888889332</v>
      </c>
      <c r="C243" s="61"/>
      <c r="D243" s="62">
        <v>3</v>
      </c>
      <c r="E243" s="62">
        <v>0</v>
      </c>
      <c r="F243" s="84">
        <f t="shared" si="16"/>
        <v>2.0833333333333333E-3</v>
      </c>
      <c r="G243" s="168" t="s">
        <v>191</v>
      </c>
      <c r="H243" s="74" t="s">
        <v>136</v>
      </c>
      <c r="I243" s="74" t="s">
        <v>137</v>
      </c>
      <c r="J243" s="76" t="s">
        <v>37</v>
      </c>
      <c r="K243" s="272"/>
      <c r="L243" s="273"/>
    </row>
    <row r="244" spans="1:12" ht="33" customHeight="1" outlineLevel="1" x14ac:dyDescent="0.2">
      <c r="A244" s="220">
        <f t="shared" si="8"/>
        <v>222</v>
      </c>
      <c r="B244" s="60">
        <f t="shared" si="24"/>
        <v>0.84722222222222665</v>
      </c>
      <c r="C244" s="61"/>
      <c r="D244" s="86"/>
      <c r="E244" s="104"/>
      <c r="F244" s="84">
        <f t="shared" si="16"/>
        <v>0</v>
      </c>
      <c r="G244" s="166"/>
      <c r="H244" s="167"/>
      <c r="I244" s="167"/>
      <c r="J244" s="167"/>
      <c r="K244" s="163"/>
      <c r="L244" s="164"/>
    </row>
    <row r="245" spans="1:12" ht="33" customHeight="1" outlineLevel="1" x14ac:dyDescent="0.2">
      <c r="A245" s="220">
        <f t="shared" si="8"/>
        <v>223</v>
      </c>
      <c r="B245" s="60">
        <f t="shared" si="24"/>
        <v>0.84722222222222665</v>
      </c>
      <c r="C245" s="61"/>
      <c r="D245" s="62">
        <v>2</v>
      </c>
      <c r="E245" s="111"/>
      <c r="F245" s="84">
        <f t="shared" si="16"/>
        <v>1.3888888888888889E-3</v>
      </c>
      <c r="G245" s="73" t="s">
        <v>222</v>
      </c>
      <c r="H245" s="74" t="s">
        <v>35</v>
      </c>
      <c r="I245" s="75" t="s">
        <v>106</v>
      </c>
      <c r="J245" s="76" t="s">
        <v>37</v>
      </c>
      <c r="K245" s="272"/>
      <c r="L245" s="273"/>
    </row>
    <row r="246" spans="1:12" ht="30" customHeight="1" x14ac:dyDescent="0.25">
      <c r="A246" s="220">
        <f t="shared" ref="A246" si="25">A245+1</f>
        <v>224</v>
      </c>
      <c r="B246" s="60">
        <f t="shared" si="24"/>
        <v>0.84861111111111553</v>
      </c>
      <c r="C246" s="274"/>
      <c r="D246" s="274"/>
      <c r="E246" s="274"/>
      <c r="F246" s="274"/>
      <c r="G246" s="275" t="s">
        <v>223</v>
      </c>
      <c r="H246" s="274"/>
      <c r="I246" s="274"/>
      <c r="J246" s="274"/>
      <c r="K246" s="498"/>
      <c r="L246" s="499"/>
    </row>
    <row r="247" spans="1:12" ht="52.5" customHeight="1" outlineLevel="1" x14ac:dyDescent="0.25">
      <c r="A247" s="220">
        <f t="shared" ref="A247" si="26">A246+1</f>
        <v>225</v>
      </c>
      <c r="B247" s="60">
        <f t="shared" ref="B247" si="27">B246+F246</f>
        <v>0.84861111111111553</v>
      </c>
      <c r="C247" s="276"/>
      <c r="D247" s="277">
        <v>0</v>
      </c>
      <c r="E247" s="277">
        <v>30</v>
      </c>
      <c r="F247" s="278">
        <f t="shared" ref="F247:F265" si="28">TIME(0,D247,E247)</f>
        <v>3.4722222222222224E-4</v>
      </c>
      <c r="G247" s="279" t="s">
        <v>224</v>
      </c>
      <c r="H247" s="280" t="s">
        <v>225</v>
      </c>
      <c r="I247" s="280" t="s">
        <v>226</v>
      </c>
      <c r="J247" s="280" t="s">
        <v>227</v>
      </c>
      <c r="K247" s="589" t="s">
        <v>970</v>
      </c>
      <c r="L247" s="590"/>
    </row>
    <row r="248" spans="1:12" ht="99" customHeight="1" outlineLevel="1" x14ac:dyDescent="0.25">
      <c r="A248" s="220">
        <f>A242+1</f>
        <v>221</v>
      </c>
      <c r="B248" s="60">
        <f>B241+F241</f>
        <v>0.84444444444444888</v>
      </c>
      <c r="C248" s="276"/>
      <c r="D248" s="277">
        <v>1</v>
      </c>
      <c r="E248" s="277">
        <v>0</v>
      </c>
      <c r="F248" s="278">
        <f t="shared" si="28"/>
        <v>6.9444444444444447E-4</v>
      </c>
      <c r="G248" s="279" t="s">
        <v>233</v>
      </c>
      <c r="H248" s="280" t="s">
        <v>977</v>
      </c>
      <c r="I248" s="280" t="s">
        <v>226</v>
      </c>
      <c r="J248" s="280" t="s">
        <v>234</v>
      </c>
      <c r="K248" s="589" t="s">
        <v>971</v>
      </c>
      <c r="L248" s="590"/>
    </row>
    <row r="249" spans="1:12" ht="84.75" customHeight="1" outlineLevel="1" x14ac:dyDescent="0.2">
      <c r="A249" s="220">
        <f t="shared" ref="A249:A265" si="29">A248+1</f>
        <v>222</v>
      </c>
      <c r="B249" s="60">
        <f>B242+F242</f>
        <v>0.84513888888889332</v>
      </c>
      <c r="C249" s="276"/>
      <c r="D249" s="277">
        <v>1</v>
      </c>
      <c r="E249" s="277">
        <v>0</v>
      </c>
      <c r="F249" s="278">
        <f t="shared" si="28"/>
        <v>6.9444444444444447E-4</v>
      </c>
      <c r="G249" s="279" t="s">
        <v>235</v>
      </c>
      <c r="H249" s="280" t="s">
        <v>977</v>
      </c>
      <c r="I249" s="280" t="s">
        <v>226</v>
      </c>
      <c r="J249" s="280" t="s">
        <v>236</v>
      </c>
      <c r="K249" s="591" t="s">
        <v>972</v>
      </c>
      <c r="L249" s="592"/>
    </row>
    <row r="250" spans="1:12" ht="84.75" customHeight="1" outlineLevel="1" x14ac:dyDescent="0.25">
      <c r="A250" s="220">
        <f t="shared" si="29"/>
        <v>223</v>
      </c>
      <c r="B250" s="60">
        <f t="shared" ref="B250:B259" si="30">B248+F248</f>
        <v>0.84513888888889332</v>
      </c>
      <c r="C250" s="276"/>
      <c r="D250" s="277">
        <v>1</v>
      </c>
      <c r="E250" s="277">
        <v>0</v>
      </c>
      <c r="F250" s="278">
        <f t="shared" si="28"/>
        <v>6.9444444444444447E-4</v>
      </c>
      <c r="G250" s="279" t="s">
        <v>237</v>
      </c>
      <c r="H250" s="280" t="s">
        <v>977</v>
      </c>
      <c r="I250" s="280" t="s">
        <v>226</v>
      </c>
      <c r="J250" s="280" t="s">
        <v>238</v>
      </c>
      <c r="K250" s="589" t="s">
        <v>973</v>
      </c>
      <c r="L250" s="590"/>
    </row>
    <row r="251" spans="1:12" ht="84.75" customHeight="1" outlineLevel="1" x14ac:dyDescent="0.2">
      <c r="A251" s="220">
        <f t="shared" si="29"/>
        <v>224</v>
      </c>
      <c r="B251" s="60">
        <f t="shared" si="30"/>
        <v>0.84583333333333777</v>
      </c>
      <c r="C251" s="276"/>
      <c r="D251" s="277">
        <v>1</v>
      </c>
      <c r="E251" s="277">
        <v>30</v>
      </c>
      <c r="F251" s="278">
        <f t="shared" si="28"/>
        <v>1.0416666666666667E-3</v>
      </c>
      <c r="G251" s="279" t="s">
        <v>239</v>
      </c>
      <c r="H251" s="280" t="s">
        <v>977</v>
      </c>
      <c r="I251" s="280" t="s">
        <v>226</v>
      </c>
      <c r="J251" s="280" t="s">
        <v>240</v>
      </c>
      <c r="K251" s="591" t="s">
        <v>241</v>
      </c>
      <c r="L251" s="592"/>
    </row>
    <row r="252" spans="1:12" ht="84.75" customHeight="1" outlineLevel="1" x14ac:dyDescent="0.2">
      <c r="A252" s="220">
        <f t="shared" si="29"/>
        <v>225</v>
      </c>
      <c r="B252" s="60">
        <f t="shared" si="30"/>
        <v>0.84583333333333777</v>
      </c>
      <c r="C252" s="276"/>
      <c r="D252" s="277">
        <v>3</v>
      </c>
      <c r="E252" s="277">
        <v>0</v>
      </c>
      <c r="F252" s="278">
        <f t="shared" si="28"/>
        <v>2.0833333333333333E-3</v>
      </c>
      <c r="G252" s="279" t="s">
        <v>242</v>
      </c>
      <c r="H252" s="280" t="s">
        <v>977</v>
      </c>
      <c r="I252" s="280" t="s">
        <v>226</v>
      </c>
      <c r="J252" s="280" t="s">
        <v>243</v>
      </c>
      <c r="K252" s="591" t="s">
        <v>974</v>
      </c>
      <c r="L252" s="592"/>
    </row>
    <row r="253" spans="1:12" ht="84.75" customHeight="1" outlineLevel="1" x14ac:dyDescent="0.2">
      <c r="A253" s="220">
        <f t="shared" si="29"/>
        <v>226</v>
      </c>
      <c r="B253" s="60">
        <f t="shared" si="30"/>
        <v>0.84687500000000449</v>
      </c>
      <c r="C253" s="276"/>
      <c r="D253" s="277">
        <v>3</v>
      </c>
      <c r="E253" s="277">
        <v>0</v>
      </c>
      <c r="F253" s="278">
        <f t="shared" si="28"/>
        <v>2.0833333333333333E-3</v>
      </c>
      <c r="G253" s="279" t="s">
        <v>244</v>
      </c>
      <c r="H253" s="280" t="s">
        <v>977</v>
      </c>
      <c r="I253" s="280" t="s">
        <v>226</v>
      </c>
      <c r="J253" s="280" t="s">
        <v>245</v>
      </c>
      <c r="K253" s="591" t="s">
        <v>975</v>
      </c>
      <c r="L253" s="592"/>
    </row>
    <row r="254" spans="1:12" ht="84.75" customHeight="1" outlineLevel="1" x14ac:dyDescent="0.2">
      <c r="A254" s="220">
        <f t="shared" si="29"/>
        <v>227</v>
      </c>
      <c r="B254" s="60">
        <f t="shared" si="30"/>
        <v>0.84791666666667109</v>
      </c>
      <c r="C254" s="276"/>
      <c r="D254" s="277">
        <v>1</v>
      </c>
      <c r="E254" s="277">
        <v>0</v>
      </c>
      <c r="F254" s="278">
        <f t="shared" si="28"/>
        <v>6.9444444444444447E-4</v>
      </c>
      <c r="G254" s="279" t="s">
        <v>246</v>
      </c>
      <c r="H254" s="500" t="s">
        <v>247</v>
      </c>
      <c r="I254" s="280" t="s">
        <v>248</v>
      </c>
      <c r="J254" s="280" t="s">
        <v>244</v>
      </c>
      <c r="K254" s="591" t="s">
        <v>979</v>
      </c>
      <c r="L254" s="592"/>
    </row>
    <row r="255" spans="1:12" ht="84.75" customHeight="1" outlineLevel="1" x14ac:dyDescent="0.2">
      <c r="A255" s="220">
        <f t="shared" si="29"/>
        <v>228</v>
      </c>
      <c r="B255" s="60">
        <f t="shared" si="30"/>
        <v>0.84895833333333781</v>
      </c>
      <c r="C255" s="276"/>
      <c r="D255" s="277">
        <v>0</v>
      </c>
      <c r="E255" s="277">
        <v>30</v>
      </c>
      <c r="F255" s="278">
        <f t="shared" si="28"/>
        <v>3.4722222222222224E-4</v>
      </c>
      <c r="G255" s="279" t="s">
        <v>249</v>
      </c>
      <c r="H255" s="500" t="s">
        <v>978</v>
      </c>
      <c r="I255" s="280" t="s">
        <v>248</v>
      </c>
      <c r="J255" s="280" t="s">
        <v>244</v>
      </c>
      <c r="K255" s="591" t="s">
        <v>976</v>
      </c>
      <c r="L255" s="592"/>
    </row>
    <row r="256" spans="1:12" ht="84.75" customHeight="1" outlineLevel="1" x14ac:dyDescent="0.2">
      <c r="A256" s="220">
        <f t="shared" si="29"/>
        <v>229</v>
      </c>
      <c r="B256" s="60">
        <f t="shared" si="30"/>
        <v>0.84861111111111553</v>
      </c>
      <c r="C256" s="276"/>
      <c r="D256" s="277">
        <v>0</v>
      </c>
      <c r="E256" s="277">
        <v>30</v>
      </c>
      <c r="F256" s="278">
        <f t="shared" si="28"/>
        <v>3.4722222222222224E-4</v>
      </c>
      <c r="G256" s="279" t="s">
        <v>250</v>
      </c>
      <c r="H256" s="500" t="s">
        <v>251</v>
      </c>
      <c r="I256" s="280" t="s">
        <v>248</v>
      </c>
      <c r="J256" s="280" t="s">
        <v>37</v>
      </c>
      <c r="K256" s="591" t="s">
        <v>252</v>
      </c>
      <c r="L256" s="592"/>
    </row>
    <row r="257" spans="1:12" ht="33" customHeight="1" outlineLevel="1" x14ac:dyDescent="0.2">
      <c r="A257" s="220">
        <f t="shared" si="29"/>
        <v>230</v>
      </c>
      <c r="B257" s="60">
        <f t="shared" si="30"/>
        <v>0.84930555555556009</v>
      </c>
      <c r="C257" s="61"/>
      <c r="D257" s="62"/>
      <c r="E257" s="62"/>
      <c r="F257" s="84">
        <f t="shared" si="28"/>
        <v>0</v>
      </c>
      <c r="G257" s="88" t="s">
        <v>166</v>
      </c>
      <c r="H257" s="180"/>
      <c r="I257" s="180"/>
      <c r="J257" s="180"/>
      <c r="K257" s="283"/>
      <c r="L257" s="283"/>
    </row>
    <row r="258" spans="1:12" ht="63.75" customHeight="1" outlineLevel="1" x14ac:dyDescent="0.2">
      <c r="A258" s="220">
        <f t="shared" si="29"/>
        <v>231</v>
      </c>
      <c r="B258" s="60">
        <f t="shared" si="30"/>
        <v>0.84895833333333781</v>
      </c>
      <c r="C258" s="61"/>
      <c r="D258" s="62"/>
      <c r="E258" s="62">
        <v>15</v>
      </c>
      <c r="F258" s="84">
        <f t="shared" si="28"/>
        <v>1.7361111111111112E-4</v>
      </c>
      <c r="G258" s="90" t="s">
        <v>46</v>
      </c>
      <c r="H258" s="91" t="str">
        <f>VLOOKUP(G258,Sponsors!$A:$H,3,0)</f>
        <v>PA+BGM</v>
      </c>
      <c r="I258" s="91" t="s">
        <v>47</v>
      </c>
      <c r="J258" s="92" t="s">
        <v>48</v>
      </c>
      <c r="K258" s="93" t="s">
        <v>49</v>
      </c>
      <c r="L258" s="93" t="s">
        <v>50</v>
      </c>
    </row>
    <row r="259" spans="1:12" ht="85.5" customHeight="1" outlineLevel="1" x14ac:dyDescent="0.25">
      <c r="A259" s="220">
        <f t="shared" si="29"/>
        <v>232</v>
      </c>
      <c r="B259" s="60">
        <f t="shared" si="30"/>
        <v>0.84930555555556009</v>
      </c>
      <c r="C259" s="61"/>
      <c r="D259" s="62"/>
      <c r="E259" s="62">
        <v>15</v>
      </c>
      <c r="F259" s="84">
        <f t="shared" si="28"/>
        <v>1.7361111111111112E-4</v>
      </c>
      <c r="G259" s="94" t="s">
        <v>64</v>
      </c>
      <c r="H259" s="91" t="s">
        <v>65</v>
      </c>
      <c r="I259" s="91" t="s">
        <v>175</v>
      </c>
      <c r="J259" s="92" t="s">
        <v>67</v>
      </c>
      <c r="K259" s="559" t="s">
        <v>68</v>
      </c>
      <c r="L259" s="588"/>
    </row>
    <row r="260" spans="1:12" ht="43.5" customHeight="1" outlineLevel="1" x14ac:dyDescent="0.25">
      <c r="A260" s="220">
        <f t="shared" si="29"/>
        <v>233</v>
      </c>
      <c r="B260" s="60">
        <f t="shared" ref="B260:B265" si="31">B259+F259</f>
        <v>0.84947916666667123</v>
      </c>
      <c r="C260" s="61"/>
      <c r="D260" s="62"/>
      <c r="E260" s="62">
        <v>30</v>
      </c>
      <c r="F260" s="84">
        <f t="shared" si="28"/>
        <v>3.4722222222222224E-4</v>
      </c>
      <c r="G260" s="94" t="s">
        <v>69</v>
      </c>
      <c r="H260" s="91" t="str">
        <f>VLOOKUP(G260,Sponsors!$A:$H,3,0)</f>
        <v>PA+BGM</v>
      </c>
      <c r="I260" s="91" t="str">
        <f>VLOOKUP(G260,Sponsors!$A:$H,4,0)</f>
        <v>Molten Still</v>
      </c>
      <c r="J260" s="92" t="s">
        <v>253</v>
      </c>
      <c r="K260" s="553" t="s">
        <v>70</v>
      </c>
      <c r="L260" s="588"/>
    </row>
    <row r="261" spans="1:12" ht="33" customHeight="1" outlineLevel="1" x14ac:dyDescent="0.2">
      <c r="A261" s="220">
        <f t="shared" si="29"/>
        <v>234</v>
      </c>
      <c r="B261" s="60">
        <f t="shared" si="31"/>
        <v>0.8498263888888935</v>
      </c>
      <c r="C261" s="61"/>
      <c r="D261" s="62"/>
      <c r="E261" s="111">
        <v>30</v>
      </c>
      <c r="F261" s="84">
        <f t="shared" si="28"/>
        <v>3.4722222222222224E-4</v>
      </c>
      <c r="G261" s="94" t="s">
        <v>83</v>
      </c>
      <c r="H261" s="91" t="s">
        <v>86</v>
      </c>
      <c r="I261" s="91" t="s">
        <v>83</v>
      </c>
      <c r="J261" s="92" t="s">
        <v>48</v>
      </c>
      <c r="K261" s="77"/>
      <c r="L261" s="78"/>
    </row>
    <row r="262" spans="1:12" ht="33" customHeight="1" outlineLevel="1" x14ac:dyDescent="0.2">
      <c r="A262" s="220">
        <f t="shared" si="29"/>
        <v>235</v>
      </c>
      <c r="B262" s="60">
        <f t="shared" si="31"/>
        <v>0.85017361111111578</v>
      </c>
      <c r="C262" s="61"/>
      <c r="D262" s="62"/>
      <c r="E262" s="62">
        <v>30</v>
      </c>
      <c r="F262" s="84">
        <f t="shared" si="28"/>
        <v>3.4722222222222224E-4</v>
      </c>
      <c r="G262" s="94" t="s">
        <v>85</v>
      </c>
      <c r="H262" s="91" t="s">
        <v>86</v>
      </c>
      <c r="I262" s="91" t="s">
        <v>85</v>
      </c>
      <c r="J262" s="92" t="s">
        <v>67</v>
      </c>
      <c r="K262" s="77"/>
      <c r="L262" s="78"/>
    </row>
    <row r="263" spans="1:12" ht="33" customHeight="1" outlineLevel="1" x14ac:dyDescent="0.2">
      <c r="A263" s="220">
        <f t="shared" si="29"/>
        <v>236</v>
      </c>
      <c r="B263" s="60">
        <f t="shared" si="31"/>
        <v>0.85052083333333806</v>
      </c>
      <c r="C263" s="61"/>
      <c r="D263" s="62"/>
      <c r="E263" s="62">
        <v>30</v>
      </c>
      <c r="F263" s="84">
        <f t="shared" si="28"/>
        <v>3.4722222222222224E-4</v>
      </c>
      <c r="G263" s="94" t="s">
        <v>87</v>
      </c>
      <c r="H263" s="91" t="str">
        <f>VLOOKUP(G263,Sponsors!$A:$H,3,0)</f>
        <v>VT Audio</v>
      </c>
      <c r="I263" s="91" t="str">
        <f>VLOOKUP(G263,Sponsors!$A:$H,4,0)</f>
        <v>Molten Video</v>
      </c>
      <c r="J263" s="92" t="str">
        <f>VLOOKUP(G263,Sponsors!$A:$H,5,0)</f>
        <v xml:space="preserve">Molten </v>
      </c>
      <c r="K263" s="77"/>
      <c r="L263" s="78"/>
    </row>
    <row r="264" spans="1:12" ht="33" customHeight="1" outlineLevel="1" x14ac:dyDescent="0.2">
      <c r="A264" s="220">
        <f t="shared" si="29"/>
        <v>237</v>
      </c>
      <c r="B264" s="60">
        <f t="shared" si="31"/>
        <v>0.85086805555556033</v>
      </c>
      <c r="C264" s="61"/>
      <c r="D264" s="62"/>
      <c r="E264" s="62">
        <v>30</v>
      </c>
      <c r="F264" s="84">
        <f t="shared" si="28"/>
        <v>3.4722222222222224E-4</v>
      </c>
      <c r="G264" s="94" t="s">
        <v>88</v>
      </c>
      <c r="H264" s="91" t="str">
        <f>VLOOKUP(G264,Sponsors!$A:$H,3,0)</f>
        <v>VT Audio</v>
      </c>
      <c r="I264" s="91" t="str">
        <f>VLOOKUP(G264,Sponsors!$A:$H,4,0)</f>
        <v>Aramco Video</v>
      </c>
      <c r="J264" s="92" t="str">
        <f>VLOOKUP(G264,Sponsors!$A:$H,5,0)</f>
        <v>Aramco</v>
      </c>
      <c r="K264" s="77"/>
      <c r="L264" s="78"/>
    </row>
    <row r="265" spans="1:12" ht="33" customHeight="1" outlineLevel="1" x14ac:dyDescent="0.2">
      <c r="A265" s="220">
        <f t="shared" si="29"/>
        <v>238</v>
      </c>
      <c r="B265" s="60">
        <f t="shared" si="31"/>
        <v>0.85121527777778261</v>
      </c>
      <c r="C265" s="61"/>
      <c r="D265" s="62">
        <v>4</v>
      </c>
      <c r="E265" s="62">
        <v>30</v>
      </c>
      <c r="F265" s="84">
        <f t="shared" si="28"/>
        <v>3.1250000000000002E-3</v>
      </c>
      <c r="G265" s="140" t="s">
        <v>168</v>
      </c>
      <c r="H265" s="74" t="s">
        <v>35</v>
      </c>
      <c r="I265" s="75" t="s">
        <v>169</v>
      </c>
      <c r="J265" s="76" t="s">
        <v>37</v>
      </c>
      <c r="K265" s="77"/>
      <c r="L265" s="78"/>
    </row>
    <row r="266" spans="1:12" ht="33" customHeight="1" x14ac:dyDescent="0.2">
      <c r="A266" s="284"/>
      <c r="B266" s="285"/>
      <c r="C266" s="284"/>
      <c r="D266" s="284"/>
      <c r="E266" s="284"/>
      <c r="F266" s="284"/>
      <c r="G266" s="286"/>
      <c r="H266" s="287"/>
      <c r="I266" s="287"/>
      <c r="J266" s="287"/>
      <c r="K266" s="288"/>
      <c r="L266" s="288"/>
    </row>
    <row r="267" spans="1:12" ht="13.5" customHeight="1" x14ac:dyDescent="0.2">
      <c r="A267" s="289"/>
      <c r="B267" s="290"/>
      <c r="C267" s="289"/>
      <c r="D267" s="289"/>
      <c r="E267" s="289"/>
      <c r="F267" s="289"/>
      <c r="G267" s="291"/>
      <c r="H267" s="292"/>
      <c r="I267" s="292"/>
      <c r="J267" s="292"/>
      <c r="K267" s="33"/>
      <c r="L267" s="33"/>
    </row>
    <row r="268" spans="1:12" ht="13.5" customHeight="1" x14ac:dyDescent="0.2">
      <c r="A268" s="289"/>
      <c r="B268" s="290"/>
      <c r="C268" s="289"/>
      <c r="D268" s="289"/>
      <c r="E268" s="289"/>
      <c r="F268" s="289"/>
      <c r="G268" s="291"/>
      <c r="H268" s="292"/>
      <c r="I268" s="292"/>
      <c r="J268" s="292"/>
      <c r="K268" s="33"/>
      <c r="L268" s="33"/>
    </row>
    <row r="269" spans="1:12" ht="13.5" customHeight="1" x14ac:dyDescent="0.2">
      <c r="A269" s="289"/>
      <c r="B269" s="290"/>
      <c r="C269" s="289"/>
      <c r="D269" s="289"/>
      <c r="E269" s="289"/>
      <c r="F269" s="289"/>
      <c r="G269" s="291"/>
      <c r="H269" s="292"/>
      <c r="I269" s="292"/>
      <c r="J269" s="292"/>
      <c r="K269" s="33"/>
      <c r="L269" s="33"/>
    </row>
    <row r="270" spans="1:12" ht="13.5" customHeight="1" x14ac:dyDescent="0.2">
      <c r="A270" s="289"/>
      <c r="B270" s="290"/>
      <c r="C270" s="289"/>
      <c r="D270" s="289"/>
      <c r="E270" s="289"/>
      <c r="F270" s="289"/>
      <c r="G270" s="291"/>
      <c r="H270" s="292"/>
      <c r="I270" s="292"/>
      <c r="J270" s="292"/>
      <c r="K270" s="33"/>
      <c r="L270" s="33"/>
    </row>
    <row r="271" spans="1:12" ht="13.5" customHeight="1" x14ac:dyDescent="0.2">
      <c r="A271" s="289"/>
      <c r="B271" s="290"/>
      <c r="C271" s="289"/>
      <c r="D271" s="289"/>
      <c r="E271" s="289"/>
      <c r="F271" s="289"/>
      <c r="G271" s="291"/>
      <c r="H271" s="292"/>
      <c r="I271" s="292"/>
      <c r="J271" s="292"/>
      <c r="K271" s="33"/>
      <c r="L271" s="33"/>
    </row>
    <row r="272" spans="1:12" ht="13.5" customHeight="1" x14ac:dyDescent="0.2">
      <c r="A272" s="289"/>
      <c r="B272" s="290"/>
      <c r="C272" s="289"/>
      <c r="D272" s="289"/>
      <c r="E272" s="289"/>
      <c r="F272" s="289"/>
      <c r="G272" s="291"/>
      <c r="H272" s="292"/>
      <c r="I272" s="292"/>
      <c r="J272" s="292"/>
      <c r="K272" s="33"/>
      <c r="L272" s="33"/>
    </row>
    <row r="273" spans="1:12" ht="13.5" customHeight="1" x14ac:dyDescent="0.2">
      <c r="A273" s="289"/>
      <c r="B273" s="290"/>
      <c r="C273" s="289"/>
      <c r="D273" s="289"/>
      <c r="E273" s="289"/>
      <c r="F273" s="289"/>
      <c r="G273" s="291"/>
      <c r="H273" s="292"/>
      <c r="I273" s="292"/>
      <c r="J273" s="292"/>
      <c r="K273" s="33"/>
      <c r="L273" s="33"/>
    </row>
    <row r="274" spans="1:12" ht="13.5" customHeight="1" x14ac:dyDescent="0.2">
      <c r="A274" s="289"/>
      <c r="B274" s="290"/>
      <c r="C274" s="289"/>
      <c r="D274" s="289"/>
      <c r="E274" s="289"/>
      <c r="F274" s="289"/>
      <c r="G274" s="291"/>
      <c r="H274" s="292"/>
      <c r="I274" s="292"/>
      <c r="J274" s="292"/>
      <c r="K274" s="33"/>
      <c r="L274" s="33"/>
    </row>
    <row r="275" spans="1:12" ht="13.5" customHeight="1" x14ac:dyDescent="0.2">
      <c r="A275" s="289"/>
      <c r="B275" s="290"/>
      <c r="C275" s="289"/>
      <c r="D275" s="289"/>
      <c r="E275" s="289"/>
      <c r="F275" s="289"/>
      <c r="G275" s="291"/>
      <c r="H275" s="292"/>
      <c r="I275" s="292"/>
      <c r="J275" s="292"/>
      <c r="K275" s="33"/>
      <c r="L275" s="33"/>
    </row>
    <row r="276" spans="1:12" ht="13.5" customHeight="1" x14ac:dyDescent="0.2">
      <c r="A276" s="289"/>
      <c r="B276" s="290"/>
      <c r="C276" s="289"/>
      <c r="D276" s="289"/>
      <c r="E276" s="289"/>
      <c r="F276" s="289"/>
      <c r="G276" s="291"/>
      <c r="H276" s="292"/>
      <c r="I276" s="292"/>
      <c r="J276" s="292"/>
      <c r="K276" s="33"/>
      <c r="L276" s="33"/>
    </row>
    <row r="277" spans="1:12" ht="13.5" customHeight="1" x14ac:dyDescent="0.2">
      <c r="A277" s="289"/>
      <c r="B277" s="290"/>
      <c r="C277" s="289"/>
      <c r="D277" s="289"/>
      <c r="E277" s="289"/>
      <c r="F277" s="289"/>
      <c r="G277" s="291"/>
      <c r="H277" s="292"/>
      <c r="I277" s="292"/>
      <c r="J277" s="292"/>
      <c r="K277" s="33"/>
      <c r="L277" s="33"/>
    </row>
    <row r="278" spans="1:12" ht="13.5" customHeight="1" x14ac:dyDescent="0.2">
      <c r="A278" s="289"/>
      <c r="B278" s="290"/>
      <c r="C278" s="289"/>
      <c r="D278" s="289"/>
      <c r="E278" s="289"/>
      <c r="F278" s="289"/>
      <c r="G278" s="291"/>
      <c r="H278" s="292"/>
      <c r="I278" s="292"/>
      <c r="J278" s="292"/>
      <c r="K278" s="33"/>
      <c r="L278" s="33"/>
    </row>
    <row r="279" spans="1:12" ht="13.5" customHeight="1" x14ac:dyDescent="0.2">
      <c r="A279" s="289"/>
      <c r="B279" s="290"/>
      <c r="C279" s="289"/>
      <c r="D279" s="289"/>
      <c r="E279" s="289"/>
      <c r="F279" s="289"/>
      <c r="G279" s="291"/>
      <c r="H279" s="292"/>
      <c r="I279" s="292"/>
      <c r="J279" s="292"/>
      <c r="K279" s="33"/>
      <c r="L279" s="33"/>
    </row>
    <row r="280" spans="1:12" ht="13.5" customHeight="1" x14ac:dyDescent="0.2">
      <c r="A280" s="289"/>
      <c r="B280" s="290"/>
      <c r="C280" s="289"/>
      <c r="D280" s="289"/>
      <c r="E280" s="289"/>
      <c r="F280" s="289"/>
      <c r="G280" s="291"/>
      <c r="H280" s="292"/>
      <c r="I280" s="292"/>
      <c r="J280" s="292"/>
      <c r="K280" s="33"/>
      <c r="L280" s="33"/>
    </row>
    <row r="281" spans="1:12" ht="13.5" customHeight="1" x14ac:dyDescent="0.2">
      <c r="A281" s="289"/>
      <c r="B281" s="290"/>
      <c r="C281" s="289"/>
      <c r="D281" s="289"/>
      <c r="E281" s="289"/>
      <c r="F281" s="289"/>
      <c r="G281" s="291"/>
      <c r="H281" s="292"/>
      <c r="I281" s="292"/>
      <c r="J281" s="292"/>
      <c r="K281" s="33"/>
      <c r="L281" s="33"/>
    </row>
    <row r="282" spans="1:12" ht="13.5" customHeight="1" x14ac:dyDescent="0.2">
      <c r="A282" s="289"/>
      <c r="B282" s="290"/>
      <c r="C282" s="289"/>
      <c r="D282" s="289"/>
      <c r="E282" s="289"/>
      <c r="F282" s="289"/>
      <c r="G282" s="291"/>
      <c r="H282" s="292"/>
      <c r="I282" s="292"/>
      <c r="J282" s="292"/>
      <c r="K282" s="33"/>
      <c r="L282" s="33"/>
    </row>
    <row r="283" spans="1:12" ht="13.5" customHeight="1" x14ac:dyDescent="0.2">
      <c r="A283" s="289"/>
      <c r="B283" s="290"/>
      <c r="C283" s="289"/>
      <c r="D283" s="289"/>
      <c r="E283" s="289"/>
      <c r="F283" s="289"/>
      <c r="G283" s="291"/>
      <c r="H283" s="292"/>
      <c r="I283" s="292"/>
      <c r="J283" s="292"/>
      <c r="K283" s="33"/>
      <c r="L283" s="33"/>
    </row>
    <row r="284" spans="1:12" ht="13.5" customHeight="1" x14ac:dyDescent="0.2">
      <c r="A284" s="289"/>
      <c r="B284" s="290"/>
      <c r="C284" s="289"/>
      <c r="D284" s="289"/>
      <c r="E284" s="289"/>
      <c r="F284" s="289"/>
      <c r="G284" s="291"/>
      <c r="H284" s="292"/>
      <c r="I284" s="292"/>
      <c r="J284" s="292"/>
      <c r="K284" s="33"/>
      <c r="L284" s="33"/>
    </row>
    <row r="285" spans="1:12" ht="13.5" customHeight="1" x14ac:dyDescent="0.2">
      <c r="A285" s="289"/>
      <c r="B285" s="290"/>
      <c r="C285" s="289"/>
      <c r="D285" s="289"/>
      <c r="E285" s="289"/>
      <c r="F285" s="289"/>
      <c r="G285" s="291"/>
      <c r="H285" s="292"/>
      <c r="I285" s="292"/>
      <c r="J285" s="292"/>
      <c r="K285" s="33"/>
      <c r="L285" s="33"/>
    </row>
    <row r="286" spans="1:12" ht="13.5" customHeight="1" x14ac:dyDescent="0.2">
      <c r="A286" s="293"/>
      <c r="B286" s="290"/>
      <c r="C286" s="289"/>
      <c r="D286" s="289"/>
      <c r="E286" s="289"/>
      <c r="F286" s="289"/>
      <c r="G286" s="291"/>
      <c r="H286" s="292"/>
      <c r="I286" s="292"/>
      <c r="J286" s="292"/>
      <c r="K286" s="33"/>
      <c r="L286" s="33"/>
    </row>
    <row r="287" spans="1:12" ht="13.5" customHeight="1" x14ac:dyDescent="0.2">
      <c r="A287" s="293"/>
      <c r="B287" s="290"/>
      <c r="C287" s="289"/>
      <c r="D287" s="289"/>
      <c r="E287" s="289"/>
      <c r="F287" s="289"/>
      <c r="G287" s="291"/>
      <c r="H287" s="292"/>
      <c r="I287" s="292"/>
      <c r="J287" s="292"/>
      <c r="K287" s="33"/>
      <c r="L287" s="33"/>
    </row>
    <row r="288" spans="1:12" ht="13.5" customHeight="1" x14ac:dyDescent="0.2">
      <c r="A288" s="293"/>
      <c r="B288" s="290"/>
      <c r="C288" s="289"/>
      <c r="D288" s="289"/>
      <c r="E288" s="289"/>
      <c r="F288" s="289"/>
      <c r="G288" s="291"/>
      <c r="H288" s="292"/>
      <c r="I288" s="292"/>
      <c r="J288" s="292"/>
      <c r="K288" s="33"/>
      <c r="L288" s="33"/>
    </row>
    <row r="289" spans="1:12" ht="13.5" customHeight="1" x14ac:dyDescent="0.2">
      <c r="A289" s="293"/>
      <c r="B289" s="290"/>
      <c r="C289" s="289"/>
      <c r="D289" s="289"/>
      <c r="E289" s="289"/>
      <c r="F289" s="289"/>
      <c r="G289" s="291"/>
      <c r="H289" s="292"/>
      <c r="I289" s="292"/>
      <c r="J289" s="292"/>
      <c r="K289" s="33"/>
      <c r="L289" s="33"/>
    </row>
    <row r="290" spans="1:12" ht="13.5" customHeight="1" x14ac:dyDescent="0.2">
      <c r="A290" s="293"/>
      <c r="B290" s="290"/>
      <c r="C290" s="289"/>
      <c r="D290" s="289"/>
      <c r="E290" s="289"/>
      <c r="F290" s="289"/>
      <c r="G290" s="291"/>
      <c r="H290" s="292"/>
      <c r="I290" s="292"/>
      <c r="J290" s="292"/>
      <c r="K290" s="33"/>
      <c r="L290" s="33"/>
    </row>
    <row r="291" spans="1:12" ht="13.5" customHeight="1" x14ac:dyDescent="0.2">
      <c r="A291" s="293"/>
      <c r="B291" s="290"/>
      <c r="C291" s="289"/>
      <c r="D291" s="289"/>
      <c r="E291" s="289"/>
      <c r="F291" s="289"/>
      <c r="G291" s="291"/>
      <c r="H291" s="292"/>
      <c r="I291" s="292"/>
      <c r="J291" s="292"/>
      <c r="K291" s="33"/>
      <c r="L291" s="33"/>
    </row>
    <row r="292" spans="1:12" ht="13.5" customHeight="1" x14ac:dyDescent="0.2">
      <c r="A292" s="293"/>
      <c r="B292" s="290"/>
      <c r="C292" s="289"/>
      <c r="D292" s="289"/>
      <c r="E292" s="289"/>
      <c r="F292" s="289"/>
      <c r="G292" s="291"/>
      <c r="H292" s="292"/>
      <c r="I292" s="292"/>
      <c r="J292" s="292"/>
      <c r="K292" s="33"/>
      <c r="L292" s="33"/>
    </row>
    <row r="293" spans="1:12" ht="13.5" customHeight="1" x14ac:dyDescent="0.2">
      <c r="A293" s="293"/>
      <c r="B293" s="290"/>
      <c r="C293" s="289"/>
      <c r="D293" s="289"/>
      <c r="E293" s="289"/>
      <c r="F293" s="289"/>
      <c r="G293" s="291"/>
      <c r="H293" s="292"/>
      <c r="I293" s="292"/>
      <c r="J293" s="292"/>
      <c r="K293" s="33"/>
      <c r="L293" s="33"/>
    </row>
    <row r="294" spans="1:12" ht="13.5" customHeight="1" x14ac:dyDescent="0.2">
      <c r="A294" s="293"/>
      <c r="B294" s="290"/>
      <c r="C294" s="289"/>
      <c r="D294" s="289"/>
      <c r="E294" s="289"/>
      <c r="F294" s="289"/>
      <c r="G294" s="291"/>
      <c r="H294" s="292"/>
      <c r="I294" s="292"/>
      <c r="J294" s="292"/>
      <c r="K294" s="33"/>
      <c r="L294" s="33"/>
    </row>
    <row r="295" spans="1:12" ht="13.5" customHeight="1" x14ac:dyDescent="0.2">
      <c r="A295" s="293"/>
      <c r="B295" s="290"/>
      <c r="C295" s="289"/>
      <c r="D295" s="289"/>
      <c r="E295" s="289"/>
      <c r="F295" s="289"/>
      <c r="G295" s="291"/>
      <c r="H295" s="292"/>
      <c r="I295" s="292"/>
      <c r="J295" s="292"/>
      <c r="K295" s="33"/>
      <c r="L295" s="33"/>
    </row>
    <row r="296" spans="1:12" ht="13.5" customHeight="1" x14ac:dyDescent="0.2">
      <c r="A296" s="293"/>
      <c r="B296" s="290"/>
      <c r="C296" s="289"/>
      <c r="D296" s="289"/>
      <c r="E296" s="289"/>
      <c r="F296" s="289"/>
      <c r="G296" s="291"/>
      <c r="H296" s="292"/>
      <c r="I296" s="292"/>
      <c r="J296" s="292"/>
      <c r="K296" s="33"/>
      <c r="L296" s="33"/>
    </row>
    <row r="297" spans="1:12" ht="13.5" customHeight="1" x14ac:dyDescent="0.2">
      <c r="A297" s="293"/>
      <c r="B297" s="290"/>
      <c r="C297" s="289"/>
      <c r="D297" s="289"/>
      <c r="E297" s="289"/>
      <c r="F297" s="289"/>
      <c r="G297" s="291"/>
      <c r="H297" s="292"/>
      <c r="I297" s="292"/>
      <c r="J297" s="292"/>
      <c r="K297" s="33"/>
      <c r="L297" s="33"/>
    </row>
    <row r="298" spans="1:12" ht="13.5" customHeight="1" x14ac:dyDescent="0.2">
      <c r="A298" s="293"/>
      <c r="B298" s="290"/>
      <c r="C298" s="289"/>
      <c r="D298" s="289"/>
      <c r="E298" s="289"/>
      <c r="F298" s="289"/>
      <c r="G298" s="291"/>
      <c r="H298" s="292"/>
      <c r="I298" s="292"/>
      <c r="J298" s="292"/>
      <c r="K298" s="33"/>
      <c r="L298" s="33"/>
    </row>
    <row r="299" spans="1:12" ht="13.5" customHeight="1" x14ac:dyDescent="0.2">
      <c r="A299" s="293"/>
      <c r="B299" s="290"/>
      <c r="C299" s="289"/>
      <c r="D299" s="289"/>
      <c r="E299" s="289"/>
      <c r="F299" s="289"/>
      <c r="G299" s="291"/>
      <c r="H299" s="292"/>
      <c r="I299" s="292"/>
      <c r="J299" s="292"/>
      <c r="K299" s="33"/>
      <c r="L299" s="33"/>
    </row>
    <row r="300" spans="1:12" ht="13.5" customHeight="1" x14ac:dyDescent="0.2">
      <c r="A300" s="293"/>
      <c r="B300" s="290"/>
      <c r="C300" s="289"/>
      <c r="D300" s="289"/>
      <c r="E300" s="289"/>
      <c r="F300" s="289"/>
      <c r="G300" s="291"/>
      <c r="H300" s="292"/>
      <c r="I300" s="292"/>
      <c r="J300" s="292"/>
      <c r="K300" s="33"/>
      <c r="L300" s="33"/>
    </row>
    <row r="301" spans="1:12" ht="13.5" customHeight="1" x14ac:dyDescent="0.2">
      <c r="A301" s="293"/>
      <c r="B301" s="290"/>
      <c r="C301" s="289"/>
      <c r="D301" s="289"/>
      <c r="E301" s="289"/>
      <c r="F301" s="289"/>
      <c r="G301" s="291"/>
      <c r="H301" s="292"/>
      <c r="I301" s="292"/>
      <c r="J301" s="292"/>
      <c r="K301" s="33"/>
      <c r="L301" s="33"/>
    </row>
    <row r="302" spans="1:12" ht="13.5" customHeight="1" x14ac:dyDescent="0.2">
      <c r="A302" s="293"/>
      <c r="B302" s="290"/>
      <c r="C302" s="289"/>
      <c r="D302" s="289"/>
      <c r="E302" s="289"/>
      <c r="F302" s="289"/>
      <c r="G302" s="291"/>
      <c r="H302" s="292"/>
      <c r="I302" s="292"/>
      <c r="J302" s="292"/>
      <c r="K302" s="33"/>
      <c r="L302" s="33"/>
    </row>
    <row r="303" spans="1:12" ht="13.5" customHeight="1" x14ac:dyDescent="0.2">
      <c r="A303" s="293"/>
      <c r="B303" s="290"/>
      <c r="C303" s="289"/>
      <c r="D303" s="289"/>
      <c r="E303" s="289"/>
      <c r="F303" s="289"/>
      <c r="G303" s="291"/>
      <c r="H303" s="292"/>
      <c r="I303" s="292"/>
      <c r="J303" s="292"/>
      <c r="K303" s="33"/>
      <c r="L303" s="33"/>
    </row>
    <row r="304" spans="1:12" ht="13.5" customHeight="1" x14ac:dyDescent="0.2">
      <c r="A304" s="293"/>
      <c r="B304" s="290"/>
      <c r="C304" s="289"/>
      <c r="D304" s="289"/>
      <c r="E304" s="289"/>
      <c r="F304" s="289"/>
      <c r="G304" s="291"/>
      <c r="H304" s="292"/>
      <c r="I304" s="292"/>
      <c r="J304" s="292"/>
      <c r="K304" s="33"/>
      <c r="L304" s="33"/>
    </row>
    <row r="305" spans="1:12" ht="13.5" customHeight="1" x14ac:dyDescent="0.2">
      <c r="A305" s="293"/>
      <c r="B305" s="290"/>
      <c r="C305" s="289"/>
      <c r="D305" s="289"/>
      <c r="E305" s="289"/>
      <c r="F305" s="289"/>
      <c r="G305" s="291"/>
      <c r="H305" s="292"/>
      <c r="I305" s="292"/>
      <c r="J305" s="292"/>
      <c r="K305" s="33"/>
      <c r="L305" s="33"/>
    </row>
    <row r="306" spans="1:12" ht="13.5" customHeight="1" x14ac:dyDescent="0.2">
      <c r="A306" s="293"/>
      <c r="B306" s="290"/>
      <c r="C306" s="289"/>
      <c r="D306" s="289"/>
      <c r="E306" s="289"/>
      <c r="F306" s="289"/>
      <c r="G306" s="291"/>
      <c r="H306" s="292"/>
      <c r="I306" s="292"/>
      <c r="J306" s="292"/>
      <c r="K306" s="33"/>
      <c r="L306" s="33"/>
    </row>
    <row r="307" spans="1:12" ht="13.5" customHeight="1" x14ac:dyDescent="0.2">
      <c r="A307" s="293"/>
      <c r="B307" s="290"/>
      <c r="C307" s="289"/>
      <c r="D307" s="289"/>
      <c r="E307" s="289"/>
      <c r="F307" s="289"/>
      <c r="G307" s="291"/>
      <c r="H307" s="292"/>
      <c r="I307" s="292"/>
      <c r="J307" s="292"/>
      <c r="K307" s="33"/>
      <c r="L307" s="33"/>
    </row>
    <row r="308" spans="1:12" ht="13.5" customHeight="1" x14ac:dyDescent="0.2">
      <c r="A308" s="293"/>
      <c r="B308" s="290"/>
      <c r="C308" s="289"/>
      <c r="D308" s="289"/>
      <c r="E308" s="289"/>
      <c r="F308" s="289"/>
      <c r="G308" s="291"/>
      <c r="H308" s="292"/>
      <c r="I308" s="292"/>
      <c r="J308" s="292"/>
      <c r="K308" s="33"/>
      <c r="L308" s="33"/>
    </row>
    <row r="309" spans="1:12" ht="13.5" customHeight="1" x14ac:dyDescent="0.2">
      <c r="A309" s="293"/>
      <c r="B309" s="290"/>
      <c r="C309" s="289"/>
      <c r="D309" s="289"/>
      <c r="E309" s="289"/>
      <c r="F309" s="289"/>
      <c r="G309" s="291"/>
      <c r="H309" s="292"/>
      <c r="I309" s="292"/>
      <c r="J309" s="292"/>
      <c r="K309" s="33"/>
      <c r="L309" s="33"/>
    </row>
    <row r="310" spans="1:12" ht="13.5" customHeight="1" x14ac:dyDescent="0.2">
      <c r="A310" s="293"/>
      <c r="B310" s="290"/>
      <c r="C310" s="289"/>
      <c r="D310" s="289"/>
      <c r="E310" s="289"/>
      <c r="F310" s="289"/>
      <c r="G310" s="291"/>
      <c r="H310" s="292"/>
      <c r="I310" s="292"/>
      <c r="J310" s="292"/>
      <c r="K310" s="33"/>
      <c r="L310" s="33"/>
    </row>
    <row r="311" spans="1:12" ht="13.5" customHeight="1" x14ac:dyDescent="0.2">
      <c r="A311" s="293"/>
      <c r="B311" s="290"/>
      <c r="C311" s="289"/>
      <c r="D311" s="289"/>
      <c r="E311" s="289"/>
      <c r="F311" s="289"/>
      <c r="G311" s="291"/>
      <c r="H311" s="292"/>
      <c r="I311" s="292"/>
      <c r="J311" s="292"/>
      <c r="K311" s="33"/>
      <c r="L311" s="33"/>
    </row>
    <row r="312" spans="1:12" ht="13.5" customHeight="1" x14ac:dyDescent="0.2">
      <c r="A312" s="293"/>
      <c r="B312" s="290"/>
      <c r="C312" s="289"/>
      <c r="D312" s="289"/>
      <c r="E312" s="289"/>
      <c r="F312" s="289"/>
      <c r="G312" s="291"/>
      <c r="H312" s="292"/>
      <c r="I312" s="292"/>
      <c r="J312" s="292"/>
      <c r="K312" s="33"/>
      <c r="L312" s="33"/>
    </row>
    <row r="313" spans="1:12" ht="13.5" customHeight="1" x14ac:dyDescent="0.2">
      <c r="A313" s="293"/>
      <c r="B313" s="290"/>
      <c r="C313" s="289"/>
      <c r="D313" s="289"/>
      <c r="E313" s="289"/>
      <c r="F313" s="289"/>
      <c r="G313" s="291"/>
      <c r="H313" s="292"/>
      <c r="I313" s="292"/>
      <c r="J313" s="292"/>
      <c r="K313" s="33"/>
      <c r="L313" s="33"/>
    </row>
    <row r="314" spans="1:12" ht="13.5" customHeight="1" x14ac:dyDescent="0.2">
      <c r="A314" s="293"/>
      <c r="B314" s="290"/>
      <c r="C314" s="289"/>
      <c r="D314" s="289"/>
      <c r="E314" s="289"/>
      <c r="F314" s="289"/>
      <c r="G314" s="291"/>
      <c r="H314" s="292"/>
      <c r="I314" s="292"/>
      <c r="J314" s="292"/>
      <c r="K314" s="33"/>
      <c r="L314" s="33"/>
    </row>
    <row r="315" spans="1:12" ht="13.5" customHeight="1" x14ac:dyDescent="0.2">
      <c r="A315" s="293"/>
      <c r="B315" s="290"/>
      <c r="C315" s="289"/>
      <c r="D315" s="289"/>
      <c r="E315" s="289"/>
      <c r="F315" s="289"/>
      <c r="G315" s="291"/>
      <c r="H315" s="292"/>
      <c r="I315" s="292"/>
      <c r="J315" s="292"/>
      <c r="K315" s="33"/>
      <c r="L315" s="33"/>
    </row>
    <row r="316" spans="1:12" ht="13.5" customHeight="1" x14ac:dyDescent="0.2">
      <c r="A316" s="293"/>
      <c r="B316" s="290"/>
      <c r="C316" s="289"/>
      <c r="D316" s="289"/>
      <c r="E316" s="289"/>
      <c r="F316" s="289"/>
      <c r="G316" s="291"/>
      <c r="H316" s="292"/>
      <c r="I316" s="292"/>
      <c r="J316" s="292"/>
      <c r="K316" s="33"/>
      <c r="L316" s="33"/>
    </row>
    <row r="317" spans="1:12" ht="13.5" customHeight="1" x14ac:dyDescent="0.2">
      <c r="A317" s="293"/>
      <c r="B317" s="290"/>
      <c r="C317" s="289"/>
      <c r="D317" s="289"/>
      <c r="E317" s="289"/>
      <c r="F317" s="289"/>
      <c r="G317" s="291"/>
      <c r="H317" s="292"/>
      <c r="I317" s="292"/>
      <c r="J317" s="292"/>
      <c r="K317" s="33"/>
      <c r="L317" s="33"/>
    </row>
    <row r="318" spans="1:12" ht="13.5" customHeight="1" x14ac:dyDescent="0.2">
      <c r="A318" s="293"/>
      <c r="B318" s="290"/>
      <c r="C318" s="289"/>
      <c r="D318" s="289"/>
      <c r="E318" s="289"/>
      <c r="F318" s="289"/>
      <c r="G318" s="291"/>
      <c r="H318" s="292"/>
      <c r="I318" s="292"/>
      <c r="J318" s="292"/>
      <c r="K318" s="33"/>
      <c r="L318" s="33"/>
    </row>
    <row r="319" spans="1:12" ht="13.5" customHeight="1" x14ac:dyDescent="0.2">
      <c r="A319" s="293"/>
      <c r="B319" s="290"/>
      <c r="C319" s="289"/>
      <c r="D319" s="289"/>
      <c r="E319" s="289"/>
      <c r="F319" s="289"/>
      <c r="G319" s="291"/>
      <c r="H319" s="292"/>
      <c r="I319" s="292"/>
      <c r="J319" s="292"/>
      <c r="K319" s="33"/>
      <c r="L319" s="33"/>
    </row>
    <row r="320" spans="1:12" ht="13.5" customHeight="1" x14ac:dyDescent="0.2">
      <c r="A320" s="293"/>
      <c r="B320" s="290"/>
      <c r="C320" s="289"/>
      <c r="D320" s="289"/>
      <c r="E320" s="289"/>
      <c r="F320" s="289"/>
      <c r="G320" s="291"/>
      <c r="H320" s="292"/>
      <c r="I320" s="292"/>
      <c r="J320" s="292"/>
      <c r="K320" s="33"/>
      <c r="L320" s="33"/>
    </row>
    <row r="321" spans="1:12" ht="13.5" customHeight="1" x14ac:dyDescent="0.2">
      <c r="A321" s="293"/>
      <c r="B321" s="290"/>
      <c r="C321" s="289"/>
      <c r="D321" s="289"/>
      <c r="E321" s="289"/>
      <c r="F321" s="289"/>
      <c r="G321" s="291"/>
      <c r="H321" s="292"/>
      <c r="I321" s="292"/>
      <c r="J321" s="292"/>
      <c r="K321" s="33"/>
      <c r="L321" s="33"/>
    </row>
    <row r="322" spans="1:12" ht="13.5" customHeight="1" x14ac:dyDescent="0.2">
      <c r="A322" s="293"/>
      <c r="B322" s="290"/>
      <c r="C322" s="289"/>
      <c r="D322" s="289"/>
      <c r="E322" s="289"/>
      <c r="F322" s="289"/>
      <c r="G322" s="291"/>
      <c r="H322" s="292"/>
      <c r="I322" s="292"/>
      <c r="J322" s="292"/>
      <c r="K322" s="33"/>
      <c r="L322" s="33"/>
    </row>
    <row r="323" spans="1:12" ht="13.5" customHeight="1" x14ac:dyDescent="0.2">
      <c r="A323" s="293"/>
      <c r="B323" s="290"/>
      <c r="C323" s="289"/>
      <c r="D323" s="289"/>
      <c r="E323" s="289"/>
      <c r="F323" s="289"/>
      <c r="G323" s="291"/>
      <c r="H323" s="292"/>
      <c r="I323" s="292"/>
      <c r="J323" s="292"/>
      <c r="K323" s="33"/>
      <c r="L323" s="33"/>
    </row>
    <row r="324" spans="1:12" ht="13.5" customHeight="1" x14ac:dyDescent="0.2">
      <c r="A324" s="293"/>
      <c r="B324" s="290"/>
      <c r="C324" s="289"/>
      <c r="D324" s="289"/>
      <c r="E324" s="289"/>
      <c r="F324" s="289"/>
      <c r="G324" s="291"/>
      <c r="H324" s="292"/>
      <c r="I324" s="292"/>
      <c r="J324" s="292"/>
      <c r="K324" s="33"/>
      <c r="L324" s="33"/>
    </row>
    <row r="325" spans="1:12" ht="13.5" customHeight="1" x14ac:dyDescent="0.2">
      <c r="A325" s="293"/>
      <c r="B325" s="290"/>
      <c r="C325" s="289"/>
      <c r="D325" s="289"/>
      <c r="E325" s="289"/>
      <c r="F325" s="289"/>
      <c r="G325" s="291"/>
      <c r="H325" s="292"/>
      <c r="I325" s="292"/>
      <c r="J325" s="292"/>
      <c r="K325" s="33"/>
      <c r="L325" s="33"/>
    </row>
    <row r="326" spans="1:12" ht="13.5" customHeight="1" x14ac:dyDescent="0.2">
      <c r="A326" s="293"/>
      <c r="B326" s="290"/>
      <c r="C326" s="289"/>
      <c r="D326" s="289"/>
      <c r="E326" s="289"/>
      <c r="F326" s="289"/>
      <c r="G326" s="291"/>
      <c r="H326" s="292"/>
      <c r="I326" s="292"/>
      <c r="J326" s="292"/>
      <c r="K326" s="33"/>
      <c r="L326" s="33"/>
    </row>
    <row r="327" spans="1:12" ht="13.5" customHeight="1" x14ac:dyDescent="0.2">
      <c r="A327" s="293"/>
      <c r="B327" s="290"/>
      <c r="C327" s="289"/>
      <c r="D327" s="289"/>
      <c r="E327" s="289"/>
      <c r="F327" s="289"/>
      <c r="G327" s="291"/>
      <c r="H327" s="292"/>
      <c r="I327" s="292"/>
      <c r="J327" s="292"/>
      <c r="K327" s="33"/>
      <c r="L327" s="33"/>
    </row>
    <row r="328" spans="1:12" ht="13.5" customHeight="1" x14ac:dyDescent="0.2">
      <c r="A328" s="293"/>
      <c r="B328" s="290"/>
      <c r="C328" s="289"/>
      <c r="D328" s="289"/>
      <c r="E328" s="289"/>
      <c r="F328" s="289"/>
      <c r="G328" s="291"/>
      <c r="H328" s="292"/>
      <c r="I328" s="292"/>
      <c r="J328" s="292"/>
      <c r="K328" s="33"/>
      <c r="L328" s="33"/>
    </row>
    <row r="329" spans="1:12" ht="13.5" customHeight="1" x14ac:dyDescent="0.2">
      <c r="A329" s="293"/>
      <c r="B329" s="290"/>
      <c r="C329" s="289"/>
      <c r="D329" s="289"/>
      <c r="E329" s="289"/>
      <c r="F329" s="289"/>
      <c r="G329" s="291"/>
      <c r="H329" s="292"/>
      <c r="I329" s="292"/>
      <c r="J329" s="292"/>
      <c r="K329" s="33"/>
      <c r="L329" s="33"/>
    </row>
    <row r="330" spans="1:12" ht="13.5" customHeight="1" x14ac:dyDescent="0.2">
      <c r="A330" s="293"/>
      <c r="B330" s="290"/>
      <c r="C330" s="289"/>
      <c r="D330" s="289"/>
      <c r="E330" s="289"/>
      <c r="F330" s="289"/>
      <c r="G330" s="291"/>
      <c r="H330" s="292"/>
      <c r="I330" s="292"/>
      <c r="J330" s="292"/>
      <c r="K330" s="33"/>
      <c r="L330" s="33"/>
    </row>
    <row r="331" spans="1:12" ht="13.5" customHeight="1" x14ac:dyDescent="0.2">
      <c r="A331" s="293"/>
      <c r="B331" s="290"/>
      <c r="C331" s="289"/>
      <c r="D331" s="289"/>
      <c r="E331" s="289"/>
      <c r="F331" s="289"/>
      <c r="G331" s="291"/>
      <c r="H331" s="292"/>
      <c r="I331" s="292"/>
      <c r="J331" s="292"/>
      <c r="K331" s="33"/>
      <c r="L331" s="33"/>
    </row>
    <row r="332" spans="1:12" ht="13.5" customHeight="1" x14ac:dyDescent="0.2">
      <c r="A332" s="293"/>
      <c r="B332" s="290"/>
      <c r="C332" s="289"/>
      <c r="D332" s="289"/>
      <c r="E332" s="289"/>
      <c r="F332" s="289"/>
      <c r="G332" s="291"/>
      <c r="H332" s="292"/>
      <c r="I332" s="292"/>
      <c r="J332" s="292"/>
      <c r="K332" s="33"/>
      <c r="L332" s="33"/>
    </row>
    <row r="333" spans="1:12" ht="13.5" customHeight="1" x14ac:dyDescent="0.2">
      <c r="A333" s="293"/>
      <c r="B333" s="290"/>
      <c r="C333" s="289"/>
      <c r="D333" s="289"/>
      <c r="E333" s="289"/>
      <c r="F333" s="289"/>
      <c r="G333" s="291"/>
      <c r="H333" s="292"/>
      <c r="I333" s="292"/>
      <c r="J333" s="292"/>
      <c r="K333" s="33"/>
      <c r="L333" s="33"/>
    </row>
    <row r="334" spans="1:12" ht="13.5" customHeight="1" x14ac:dyDescent="0.2">
      <c r="A334" s="293"/>
      <c r="B334" s="290"/>
      <c r="C334" s="289"/>
      <c r="D334" s="289"/>
      <c r="E334" s="289"/>
      <c r="F334" s="289"/>
      <c r="G334" s="291"/>
      <c r="H334" s="292"/>
      <c r="I334" s="292"/>
      <c r="J334" s="292"/>
      <c r="K334" s="33"/>
      <c r="L334" s="33"/>
    </row>
    <row r="335" spans="1:12" ht="13.5" customHeight="1" x14ac:dyDescent="0.2">
      <c r="A335" s="293"/>
      <c r="B335" s="290"/>
      <c r="C335" s="289"/>
      <c r="D335" s="289"/>
      <c r="E335" s="289"/>
      <c r="F335" s="289"/>
      <c r="G335" s="291"/>
      <c r="H335" s="292"/>
      <c r="I335" s="292"/>
      <c r="J335" s="292"/>
      <c r="K335" s="33"/>
      <c r="L335" s="33"/>
    </row>
    <row r="336" spans="1:12" ht="13.5" customHeight="1" x14ac:dyDescent="0.2">
      <c r="A336" s="293"/>
      <c r="B336" s="290"/>
      <c r="C336" s="289"/>
      <c r="D336" s="289"/>
      <c r="E336" s="289"/>
      <c r="F336" s="289"/>
      <c r="G336" s="291"/>
      <c r="H336" s="292"/>
      <c r="I336" s="292"/>
      <c r="J336" s="292"/>
      <c r="K336" s="33"/>
      <c r="L336" s="33"/>
    </row>
    <row r="337" spans="1:12" ht="13.5" customHeight="1" x14ac:dyDescent="0.2">
      <c r="A337" s="293"/>
      <c r="B337" s="290"/>
      <c r="C337" s="289"/>
      <c r="D337" s="289"/>
      <c r="E337" s="289"/>
      <c r="F337" s="289"/>
      <c r="G337" s="291"/>
      <c r="H337" s="292"/>
      <c r="I337" s="292"/>
      <c r="J337" s="292"/>
      <c r="K337" s="33"/>
      <c r="L337" s="33"/>
    </row>
    <row r="338" spans="1:12" ht="13.5" customHeight="1" x14ac:dyDescent="0.2">
      <c r="A338" s="293"/>
      <c r="B338" s="290"/>
      <c r="C338" s="289"/>
      <c r="D338" s="289"/>
      <c r="E338" s="289"/>
      <c r="F338" s="289"/>
      <c r="G338" s="291"/>
      <c r="H338" s="292"/>
      <c r="I338" s="292"/>
      <c r="J338" s="292"/>
      <c r="K338" s="33"/>
      <c r="L338" s="33"/>
    </row>
    <row r="339" spans="1:12" ht="13.5" customHeight="1" x14ac:dyDescent="0.2">
      <c r="A339" s="293"/>
      <c r="B339" s="290"/>
      <c r="C339" s="289"/>
      <c r="D339" s="289"/>
      <c r="E339" s="289"/>
      <c r="F339" s="289"/>
      <c r="G339" s="291"/>
      <c r="H339" s="292"/>
      <c r="I339" s="292"/>
      <c r="J339" s="292"/>
      <c r="K339" s="33"/>
      <c r="L339" s="33"/>
    </row>
    <row r="340" spans="1:12" ht="13.5" customHeight="1" x14ac:dyDescent="0.2">
      <c r="A340" s="293"/>
      <c r="B340" s="290"/>
      <c r="C340" s="289"/>
      <c r="D340" s="289"/>
      <c r="E340" s="289"/>
      <c r="F340" s="289"/>
      <c r="G340" s="291"/>
      <c r="H340" s="292"/>
      <c r="I340" s="292"/>
      <c r="J340" s="292"/>
      <c r="K340" s="33"/>
      <c r="L340" s="33"/>
    </row>
    <row r="341" spans="1:12" ht="13.5" customHeight="1" x14ac:dyDescent="0.2">
      <c r="A341" s="293"/>
      <c r="B341" s="290"/>
      <c r="C341" s="289"/>
      <c r="D341" s="289"/>
      <c r="E341" s="289"/>
      <c r="F341" s="289"/>
      <c r="G341" s="291"/>
      <c r="H341" s="292"/>
      <c r="I341" s="292"/>
      <c r="J341" s="292"/>
      <c r="K341" s="33"/>
      <c r="L341" s="33"/>
    </row>
    <row r="342" spans="1:12" ht="13.5" customHeight="1" x14ac:dyDescent="0.2">
      <c r="A342" s="293"/>
      <c r="B342" s="290"/>
      <c r="C342" s="289"/>
      <c r="D342" s="289"/>
      <c r="E342" s="289"/>
      <c r="F342" s="289"/>
      <c r="G342" s="291"/>
      <c r="H342" s="292"/>
      <c r="I342" s="292"/>
      <c r="J342" s="292"/>
      <c r="K342" s="33"/>
      <c r="L342" s="33"/>
    </row>
    <row r="343" spans="1:12" ht="13.5" customHeight="1" x14ac:dyDescent="0.2">
      <c r="A343" s="293"/>
      <c r="B343" s="290"/>
      <c r="C343" s="289"/>
      <c r="D343" s="289"/>
      <c r="E343" s="289"/>
      <c r="F343" s="289"/>
      <c r="G343" s="291"/>
      <c r="H343" s="292"/>
      <c r="I343" s="292"/>
      <c r="J343" s="292"/>
      <c r="K343" s="33"/>
      <c r="L343" s="33"/>
    </row>
    <row r="344" spans="1:12" ht="13.5" customHeight="1" x14ac:dyDescent="0.2">
      <c r="A344" s="293"/>
      <c r="B344" s="290"/>
      <c r="C344" s="289"/>
      <c r="D344" s="289"/>
      <c r="E344" s="289"/>
      <c r="F344" s="289"/>
      <c r="G344" s="291"/>
      <c r="H344" s="292"/>
      <c r="I344" s="292"/>
      <c r="J344" s="292"/>
      <c r="K344" s="33"/>
      <c r="L344" s="33"/>
    </row>
    <row r="345" spans="1:12" ht="13.5" customHeight="1" x14ac:dyDescent="0.2">
      <c r="A345" s="293"/>
      <c r="B345" s="290"/>
      <c r="C345" s="289"/>
      <c r="D345" s="289"/>
      <c r="E345" s="289"/>
      <c r="F345" s="289"/>
      <c r="G345" s="291"/>
      <c r="H345" s="292"/>
      <c r="I345" s="292"/>
      <c r="J345" s="292"/>
      <c r="K345" s="33"/>
      <c r="L345" s="33"/>
    </row>
    <row r="346" spans="1:12" ht="13.5" customHeight="1" x14ac:dyDescent="0.2">
      <c r="A346" s="293"/>
      <c r="B346" s="290"/>
      <c r="C346" s="289"/>
      <c r="D346" s="289"/>
      <c r="E346" s="289"/>
      <c r="F346" s="289"/>
      <c r="G346" s="291"/>
      <c r="H346" s="292"/>
      <c r="I346" s="292"/>
      <c r="J346" s="292"/>
      <c r="K346" s="33"/>
      <c r="L346" s="33"/>
    </row>
    <row r="347" spans="1:12" ht="13.5" customHeight="1" x14ac:dyDescent="0.2">
      <c r="A347" s="293"/>
      <c r="B347" s="290"/>
      <c r="C347" s="289"/>
      <c r="D347" s="289"/>
      <c r="E347" s="289"/>
      <c r="F347" s="289"/>
      <c r="G347" s="291"/>
      <c r="H347" s="292"/>
      <c r="I347" s="292"/>
      <c r="J347" s="292"/>
      <c r="K347" s="33"/>
      <c r="L347" s="33"/>
    </row>
    <row r="348" spans="1:12" ht="13.5" customHeight="1" x14ac:dyDescent="0.2">
      <c r="A348" s="293"/>
      <c r="B348" s="290"/>
      <c r="C348" s="289"/>
      <c r="D348" s="289"/>
      <c r="E348" s="289"/>
      <c r="F348" s="289"/>
      <c r="G348" s="291"/>
      <c r="H348" s="292"/>
      <c r="I348" s="292"/>
      <c r="J348" s="292"/>
      <c r="K348" s="33"/>
      <c r="L348" s="33"/>
    </row>
    <row r="349" spans="1:12" ht="13.5" customHeight="1" x14ac:dyDescent="0.2">
      <c r="A349" s="293"/>
      <c r="B349" s="290"/>
      <c r="C349" s="289"/>
      <c r="D349" s="289"/>
      <c r="E349" s="289"/>
      <c r="F349" s="289"/>
      <c r="G349" s="291"/>
      <c r="H349" s="292"/>
      <c r="I349" s="292"/>
      <c r="J349" s="292"/>
      <c r="K349" s="33"/>
      <c r="L349" s="33"/>
    </row>
    <row r="350" spans="1:12" ht="13.5" customHeight="1" x14ac:dyDescent="0.2">
      <c r="A350" s="293"/>
      <c r="B350" s="290"/>
      <c r="C350" s="289"/>
      <c r="D350" s="289"/>
      <c r="E350" s="289"/>
      <c r="F350" s="289"/>
      <c r="G350" s="291"/>
      <c r="H350" s="292"/>
      <c r="I350" s="292"/>
      <c r="J350" s="292"/>
      <c r="K350" s="33"/>
      <c r="L350" s="33"/>
    </row>
    <row r="351" spans="1:12" ht="13.5" customHeight="1" x14ac:dyDescent="0.2">
      <c r="A351" s="293"/>
      <c r="B351" s="290"/>
      <c r="C351" s="289"/>
      <c r="D351" s="289"/>
      <c r="E351" s="289"/>
      <c r="F351" s="289"/>
      <c r="G351" s="291"/>
      <c r="H351" s="292"/>
      <c r="I351" s="292"/>
      <c r="J351" s="292"/>
      <c r="K351" s="33"/>
      <c r="L351" s="33"/>
    </row>
    <row r="352" spans="1:12" ht="13.5" customHeight="1" x14ac:dyDescent="0.2">
      <c r="A352" s="293"/>
      <c r="B352" s="290"/>
      <c r="C352" s="289"/>
      <c r="D352" s="289"/>
      <c r="E352" s="289"/>
      <c r="F352" s="289"/>
      <c r="G352" s="291"/>
      <c r="H352" s="292"/>
      <c r="I352" s="292"/>
      <c r="J352" s="292"/>
      <c r="K352" s="33"/>
      <c r="L352" s="33"/>
    </row>
    <row r="353" spans="1:12" ht="13.5" customHeight="1" x14ac:dyDescent="0.2">
      <c r="A353" s="293"/>
      <c r="B353" s="290"/>
      <c r="C353" s="289"/>
      <c r="D353" s="289"/>
      <c r="E353" s="289"/>
      <c r="F353" s="289"/>
      <c r="G353" s="291"/>
      <c r="H353" s="292"/>
      <c r="I353" s="292"/>
      <c r="J353" s="292"/>
      <c r="K353" s="33"/>
      <c r="L353" s="33"/>
    </row>
    <row r="354" spans="1:12" ht="13.5" customHeight="1" x14ac:dyDescent="0.2">
      <c r="A354" s="293"/>
      <c r="B354" s="290"/>
      <c r="C354" s="289"/>
      <c r="D354" s="289"/>
      <c r="E354" s="289"/>
      <c r="F354" s="289"/>
      <c r="G354" s="291"/>
      <c r="H354" s="292"/>
      <c r="I354" s="292"/>
      <c r="J354" s="292"/>
      <c r="K354" s="33"/>
      <c r="L354" s="33"/>
    </row>
    <row r="355" spans="1:12" ht="13.5" customHeight="1" x14ac:dyDescent="0.2">
      <c r="A355" s="293"/>
      <c r="B355" s="290"/>
      <c r="C355" s="289"/>
      <c r="D355" s="289"/>
      <c r="E355" s="289"/>
      <c r="F355" s="289"/>
      <c r="G355" s="291"/>
      <c r="H355" s="292"/>
      <c r="I355" s="292"/>
      <c r="J355" s="292"/>
      <c r="K355" s="33"/>
      <c r="L355" s="33"/>
    </row>
    <row r="356" spans="1:12" ht="13.5" customHeight="1" x14ac:dyDescent="0.2">
      <c r="A356" s="293"/>
      <c r="B356" s="290"/>
      <c r="C356" s="289"/>
      <c r="D356" s="289"/>
      <c r="E356" s="289"/>
      <c r="F356" s="289"/>
      <c r="G356" s="291"/>
      <c r="H356" s="292"/>
      <c r="I356" s="292"/>
      <c r="J356" s="292"/>
      <c r="K356" s="33"/>
      <c r="L356" s="33"/>
    </row>
    <row r="357" spans="1:12" ht="13.5" customHeight="1" x14ac:dyDescent="0.2">
      <c r="A357" s="293"/>
      <c r="B357" s="290"/>
      <c r="C357" s="289"/>
      <c r="D357" s="289"/>
      <c r="E357" s="289"/>
      <c r="F357" s="289"/>
      <c r="G357" s="291"/>
      <c r="H357" s="292"/>
      <c r="I357" s="292"/>
      <c r="J357" s="292"/>
      <c r="K357" s="33"/>
      <c r="L357" s="33"/>
    </row>
    <row r="358" spans="1:12" ht="13.5" customHeight="1" x14ac:dyDescent="0.2">
      <c r="A358" s="293"/>
      <c r="B358" s="290"/>
      <c r="C358" s="289"/>
      <c r="D358" s="289"/>
      <c r="E358" s="289"/>
      <c r="F358" s="289"/>
      <c r="G358" s="291"/>
      <c r="H358" s="292"/>
      <c r="I358" s="292"/>
      <c r="J358" s="292"/>
      <c r="K358" s="33"/>
      <c r="L358" s="33"/>
    </row>
    <row r="359" spans="1:12" ht="13.5" customHeight="1" x14ac:dyDescent="0.2">
      <c r="A359" s="293"/>
      <c r="B359" s="290"/>
      <c r="C359" s="289"/>
      <c r="D359" s="289"/>
      <c r="E359" s="289"/>
      <c r="F359" s="289"/>
      <c r="G359" s="291"/>
      <c r="H359" s="292"/>
      <c r="I359" s="292"/>
      <c r="J359" s="292"/>
      <c r="K359" s="33"/>
      <c r="L359" s="33"/>
    </row>
    <row r="360" spans="1:12" ht="13.5" customHeight="1" x14ac:dyDescent="0.2">
      <c r="A360" s="293"/>
      <c r="B360" s="290"/>
      <c r="C360" s="289"/>
      <c r="D360" s="289"/>
      <c r="E360" s="289"/>
      <c r="F360" s="289"/>
      <c r="G360" s="291"/>
      <c r="H360" s="292"/>
      <c r="I360" s="292"/>
      <c r="J360" s="292"/>
      <c r="K360" s="33"/>
      <c r="L360" s="33"/>
    </row>
    <row r="361" spans="1:12" ht="13.5" customHeight="1" x14ac:dyDescent="0.2">
      <c r="A361" s="293"/>
      <c r="B361" s="290"/>
      <c r="C361" s="289"/>
      <c r="D361" s="289"/>
      <c r="E361" s="289"/>
      <c r="F361" s="289"/>
      <c r="G361" s="291"/>
      <c r="H361" s="292"/>
      <c r="I361" s="292"/>
      <c r="J361" s="292"/>
      <c r="K361" s="33"/>
      <c r="L361" s="33"/>
    </row>
    <row r="362" spans="1:12" ht="13.5" customHeight="1" x14ac:dyDescent="0.2">
      <c r="A362" s="293"/>
      <c r="B362" s="290"/>
      <c r="C362" s="289"/>
      <c r="D362" s="289"/>
      <c r="E362" s="289"/>
      <c r="F362" s="289"/>
      <c r="G362" s="291"/>
      <c r="H362" s="292"/>
      <c r="I362" s="292"/>
      <c r="J362" s="292"/>
      <c r="K362" s="33"/>
      <c r="L362" s="33"/>
    </row>
    <row r="363" spans="1:12" ht="13.5" customHeight="1" x14ac:dyDescent="0.2">
      <c r="A363" s="293"/>
      <c r="B363" s="290"/>
      <c r="C363" s="289"/>
      <c r="D363" s="289"/>
      <c r="E363" s="289"/>
      <c r="F363" s="289"/>
      <c r="G363" s="291"/>
      <c r="H363" s="292"/>
      <c r="I363" s="292"/>
      <c r="J363" s="292"/>
      <c r="K363" s="33"/>
      <c r="L363" s="33"/>
    </row>
    <row r="364" spans="1:12" ht="13.5" customHeight="1" x14ac:dyDescent="0.2">
      <c r="A364" s="293"/>
      <c r="B364" s="290"/>
      <c r="C364" s="289"/>
      <c r="D364" s="289"/>
      <c r="E364" s="289"/>
      <c r="F364" s="289"/>
      <c r="G364" s="291"/>
      <c r="H364" s="292"/>
      <c r="I364" s="292"/>
      <c r="J364" s="292"/>
      <c r="K364" s="33"/>
      <c r="L364" s="33"/>
    </row>
    <row r="365" spans="1:12" ht="13.5" customHeight="1" x14ac:dyDescent="0.2">
      <c r="A365" s="293"/>
      <c r="B365" s="290"/>
      <c r="C365" s="289"/>
      <c r="D365" s="289"/>
      <c r="E365" s="289"/>
      <c r="F365" s="289"/>
      <c r="G365" s="291"/>
      <c r="H365" s="292"/>
      <c r="I365" s="292"/>
      <c r="J365" s="292"/>
      <c r="K365" s="33"/>
      <c r="L365" s="33"/>
    </row>
    <row r="366" spans="1:12" ht="13.5" customHeight="1" x14ac:dyDescent="0.2">
      <c r="A366" s="293"/>
      <c r="B366" s="290"/>
      <c r="C366" s="289"/>
      <c r="D366" s="289"/>
      <c r="E366" s="289"/>
      <c r="F366" s="289"/>
      <c r="G366" s="291"/>
      <c r="H366" s="292"/>
      <c r="I366" s="292"/>
      <c r="J366" s="292"/>
      <c r="K366" s="33"/>
      <c r="L366" s="33"/>
    </row>
    <row r="367" spans="1:12" ht="13.5" customHeight="1" x14ac:dyDescent="0.2">
      <c r="A367" s="293"/>
      <c r="B367" s="290"/>
      <c r="C367" s="289"/>
      <c r="D367" s="289"/>
      <c r="E367" s="289"/>
      <c r="F367" s="289"/>
      <c r="G367" s="291"/>
      <c r="H367" s="292"/>
      <c r="I367" s="292"/>
      <c r="J367" s="292"/>
      <c r="K367" s="33"/>
      <c r="L367" s="33"/>
    </row>
    <row r="368" spans="1:12" ht="13.5" customHeight="1" x14ac:dyDescent="0.2">
      <c r="A368" s="293"/>
      <c r="B368" s="290"/>
      <c r="C368" s="289"/>
      <c r="D368" s="289"/>
      <c r="E368" s="289"/>
      <c r="F368" s="289"/>
      <c r="G368" s="291"/>
      <c r="H368" s="292"/>
      <c r="I368" s="292"/>
      <c r="J368" s="292"/>
      <c r="K368" s="33"/>
      <c r="L368" s="33"/>
    </row>
    <row r="369" spans="1:12" ht="13.5" customHeight="1" x14ac:dyDescent="0.2">
      <c r="A369" s="293"/>
      <c r="B369" s="290"/>
      <c r="C369" s="289"/>
      <c r="D369" s="289"/>
      <c r="E369" s="289"/>
      <c r="F369" s="289"/>
      <c r="G369" s="291"/>
      <c r="H369" s="292"/>
      <c r="I369" s="292"/>
      <c r="J369" s="292"/>
      <c r="K369" s="33"/>
      <c r="L369" s="33"/>
    </row>
    <row r="370" spans="1:12" ht="13.5" customHeight="1" x14ac:dyDescent="0.2">
      <c r="A370" s="293"/>
      <c r="B370" s="290"/>
      <c r="C370" s="289"/>
      <c r="D370" s="289"/>
      <c r="E370" s="289"/>
      <c r="F370" s="289"/>
      <c r="G370" s="291"/>
      <c r="H370" s="292"/>
      <c r="I370" s="292"/>
      <c r="J370" s="292"/>
      <c r="K370" s="33"/>
      <c r="L370" s="33"/>
    </row>
    <row r="371" spans="1:12" ht="13.5" customHeight="1" x14ac:dyDescent="0.2">
      <c r="A371" s="293"/>
      <c r="B371" s="290"/>
      <c r="C371" s="289"/>
      <c r="D371" s="289"/>
      <c r="E371" s="289"/>
      <c r="F371" s="289"/>
      <c r="G371" s="291"/>
      <c r="H371" s="292"/>
      <c r="I371" s="292"/>
      <c r="J371" s="292"/>
      <c r="K371" s="33"/>
      <c r="L371" s="33"/>
    </row>
    <row r="372" spans="1:12" ht="13.5" customHeight="1" x14ac:dyDescent="0.2">
      <c r="A372" s="293"/>
      <c r="B372" s="290"/>
      <c r="C372" s="289"/>
      <c r="D372" s="289"/>
      <c r="E372" s="289"/>
      <c r="F372" s="289"/>
      <c r="G372" s="291"/>
      <c r="H372" s="292"/>
      <c r="I372" s="292"/>
      <c r="J372" s="292"/>
      <c r="K372" s="33"/>
      <c r="L372" s="33"/>
    </row>
    <row r="373" spans="1:12" ht="13.5" customHeight="1" x14ac:dyDescent="0.2">
      <c r="A373" s="293"/>
      <c r="B373" s="290"/>
      <c r="C373" s="289"/>
      <c r="D373" s="289"/>
      <c r="E373" s="289"/>
      <c r="F373" s="289"/>
      <c r="G373" s="291"/>
      <c r="H373" s="292"/>
      <c r="I373" s="292"/>
      <c r="J373" s="292"/>
      <c r="K373" s="33"/>
      <c r="L373" s="33"/>
    </row>
    <row r="374" spans="1:12" ht="13.5" customHeight="1" x14ac:dyDescent="0.2">
      <c r="A374" s="293"/>
      <c r="B374" s="290"/>
      <c r="C374" s="289"/>
      <c r="D374" s="289"/>
      <c r="E374" s="289"/>
      <c r="F374" s="289"/>
      <c r="G374" s="291"/>
      <c r="H374" s="292"/>
      <c r="I374" s="292"/>
      <c r="J374" s="292"/>
      <c r="K374" s="33"/>
      <c r="L374" s="33"/>
    </row>
    <row r="375" spans="1:12" ht="13.5" customHeight="1" x14ac:dyDescent="0.2">
      <c r="A375" s="293"/>
      <c r="B375" s="290"/>
      <c r="C375" s="289"/>
      <c r="D375" s="289"/>
      <c r="E375" s="289"/>
      <c r="F375" s="289"/>
      <c r="G375" s="291"/>
      <c r="H375" s="292"/>
      <c r="I375" s="292"/>
      <c r="J375" s="292"/>
      <c r="K375" s="33"/>
      <c r="L375" s="33"/>
    </row>
    <row r="376" spans="1:12" ht="13.5" customHeight="1" x14ac:dyDescent="0.2">
      <c r="A376" s="293"/>
      <c r="B376" s="290"/>
      <c r="C376" s="289"/>
      <c r="D376" s="289"/>
      <c r="E376" s="289"/>
      <c r="F376" s="289"/>
      <c r="G376" s="291"/>
      <c r="H376" s="292"/>
      <c r="I376" s="292"/>
      <c r="J376" s="292"/>
      <c r="K376" s="33"/>
      <c r="L376" s="33"/>
    </row>
    <row r="377" spans="1:12" ht="13.5" customHeight="1" x14ac:dyDescent="0.2">
      <c r="A377" s="293"/>
      <c r="B377" s="290"/>
      <c r="C377" s="289"/>
      <c r="D377" s="289"/>
      <c r="E377" s="289"/>
      <c r="F377" s="289"/>
      <c r="G377" s="291"/>
      <c r="H377" s="292"/>
      <c r="I377" s="292"/>
      <c r="J377" s="292"/>
      <c r="K377" s="33"/>
      <c r="L377" s="33"/>
    </row>
    <row r="378" spans="1:12" ht="13.5" customHeight="1" x14ac:dyDescent="0.2">
      <c r="A378" s="293"/>
      <c r="B378" s="290"/>
      <c r="C378" s="289"/>
      <c r="D378" s="289"/>
      <c r="E378" s="289"/>
      <c r="F378" s="289"/>
      <c r="G378" s="291"/>
      <c r="H378" s="292"/>
      <c r="I378" s="292"/>
      <c r="J378" s="292"/>
      <c r="K378" s="33"/>
      <c r="L378" s="33"/>
    </row>
    <row r="379" spans="1:12" ht="13.5" customHeight="1" x14ac:dyDescent="0.2">
      <c r="A379" s="293"/>
      <c r="B379" s="290"/>
      <c r="C379" s="289"/>
      <c r="D379" s="289"/>
      <c r="E379" s="289"/>
      <c r="F379" s="289"/>
      <c r="G379" s="291"/>
      <c r="H379" s="292"/>
      <c r="I379" s="292"/>
      <c r="J379" s="292"/>
      <c r="K379" s="33"/>
      <c r="L379" s="33"/>
    </row>
    <row r="380" spans="1:12" ht="13.5" customHeight="1" x14ac:dyDescent="0.2">
      <c r="A380" s="293"/>
      <c r="B380" s="290"/>
      <c r="C380" s="289"/>
      <c r="D380" s="289"/>
      <c r="E380" s="289"/>
      <c r="F380" s="289"/>
      <c r="G380" s="291"/>
      <c r="H380" s="292"/>
      <c r="I380" s="292"/>
      <c r="J380" s="292"/>
      <c r="K380" s="33"/>
      <c r="L380" s="33"/>
    </row>
    <row r="381" spans="1:12" ht="13.5" customHeight="1" x14ac:dyDescent="0.2">
      <c r="A381" s="293"/>
      <c r="B381" s="290"/>
      <c r="C381" s="289"/>
      <c r="D381" s="289"/>
      <c r="E381" s="289"/>
      <c r="F381" s="289"/>
      <c r="G381" s="291"/>
      <c r="H381" s="292"/>
      <c r="I381" s="292"/>
      <c r="J381" s="292"/>
      <c r="K381" s="33"/>
      <c r="L381" s="33"/>
    </row>
    <row r="382" spans="1:12" ht="13.5" customHeight="1" x14ac:dyDescent="0.2">
      <c r="A382" s="293"/>
      <c r="B382" s="290"/>
      <c r="C382" s="289"/>
      <c r="D382" s="289"/>
      <c r="E382" s="289"/>
      <c r="F382" s="289"/>
      <c r="G382" s="291"/>
      <c r="H382" s="292"/>
      <c r="I382" s="292"/>
      <c r="J382" s="292"/>
      <c r="K382" s="33"/>
      <c r="L382" s="33"/>
    </row>
    <row r="383" spans="1:12" ht="13.5" customHeight="1" x14ac:dyDescent="0.2">
      <c r="A383" s="293"/>
      <c r="B383" s="290"/>
      <c r="C383" s="289"/>
      <c r="D383" s="289"/>
      <c r="E383" s="289"/>
      <c r="F383" s="289"/>
      <c r="G383" s="291"/>
      <c r="H383" s="292"/>
      <c r="I383" s="292"/>
      <c r="J383" s="292"/>
      <c r="K383" s="33"/>
      <c r="L383" s="33"/>
    </row>
    <row r="384" spans="1:12" ht="13.5" customHeight="1" x14ac:dyDescent="0.2">
      <c r="A384" s="293"/>
      <c r="B384" s="290"/>
      <c r="C384" s="289"/>
      <c r="D384" s="289"/>
      <c r="E384" s="289"/>
      <c r="F384" s="289"/>
      <c r="G384" s="291"/>
      <c r="H384" s="292"/>
      <c r="I384" s="292"/>
      <c r="J384" s="292"/>
      <c r="K384" s="33"/>
      <c r="L384" s="33"/>
    </row>
    <row r="385" spans="1:12" ht="13.5" customHeight="1" x14ac:dyDescent="0.2">
      <c r="A385" s="293"/>
      <c r="B385" s="290"/>
      <c r="C385" s="289"/>
      <c r="D385" s="289"/>
      <c r="E385" s="289"/>
      <c r="F385" s="289"/>
      <c r="G385" s="291"/>
      <c r="H385" s="292"/>
      <c r="I385" s="292"/>
      <c r="J385" s="292"/>
      <c r="K385" s="33"/>
      <c r="L385" s="33"/>
    </row>
    <row r="386" spans="1:12" ht="13.5" customHeight="1" x14ac:dyDescent="0.2">
      <c r="A386" s="293"/>
      <c r="B386" s="290"/>
      <c r="C386" s="289"/>
      <c r="D386" s="289"/>
      <c r="E386" s="289"/>
      <c r="F386" s="289"/>
      <c r="G386" s="291"/>
      <c r="H386" s="292"/>
      <c r="I386" s="292"/>
      <c r="J386" s="292"/>
      <c r="K386" s="33"/>
      <c r="L386" s="33"/>
    </row>
    <row r="387" spans="1:12" ht="13.5" customHeight="1" x14ac:dyDescent="0.2">
      <c r="A387" s="293"/>
      <c r="B387" s="290"/>
      <c r="C387" s="289"/>
      <c r="D387" s="289"/>
      <c r="E387" s="289"/>
      <c r="F387" s="289"/>
      <c r="G387" s="291"/>
      <c r="H387" s="292"/>
      <c r="I387" s="292"/>
      <c r="J387" s="292"/>
      <c r="K387" s="33"/>
      <c r="L387" s="33"/>
    </row>
    <row r="388" spans="1:12" ht="13.5" customHeight="1" x14ac:dyDescent="0.2">
      <c r="A388" s="293"/>
      <c r="B388" s="290"/>
      <c r="C388" s="289"/>
      <c r="D388" s="289"/>
      <c r="E388" s="289"/>
      <c r="F388" s="289"/>
      <c r="G388" s="291"/>
      <c r="H388" s="292"/>
      <c r="I388" s="292"/>
      <c r="J388" s="292"/>
      <c r="K388" s="33"/>
      <c r="L388" s="33"/>
    </row>
    <row r="389" spans="1:12" ht="13.5" customHeight="1" x14ac:dyDescent="0.2">
      <c r="A389" s="293"/>
      <c r="B389" s="290"/>
      <c r="C389" s="289"/>
      <c r="D389" s="289"/>
      <c r="E389" s="289"/>
      <c r="F389" s="289"/>
      <c r="G389" s="291"/>
      <c r="H389" s="292"/>
      <c r="I389" s="292"/>
      <c r="J389" s="292"/>
      <c r="K389" s="33"/>
      <c r="L389" s="33"/>
    </row>
    <row r="390" spans="1:12" ht="13.5" customHeight="1" x14ac:dyDescent="0.2">
      <c r="A390" s="293"/>
      <c r="B390" s="290"/>
      <c r="C390" s="289"/>
      <c r="D390" s="289"/>
      <c r="E390" s="289"/>
      <c r="F390" s="289"/>
      <c r="G390" s="291"/>
      <c r="H390" s="292"/>
      <c r="I390" s="292"/>
      <c r="J390" s="292"/>
      <c r="K390" s="33"/>
      <c r="L390" s="33"/>
    </row>
    <row r="391" spans="1:12" ht="13.5" customHeight="1" x14ac:dyDescent="0.2">
      <c r="A391" s="293"/>
      <c r="B391" s="290"/>
      <c r="C391" s="289"/>
      <c r="D391" s="289"/>
      <c r="E391" s="289"/>
      <c r="F391" s="289"/>
      <c r="G391" s="291"/>
      <c r="H391" s="292"/>
      <c r="I391" s="292"/>
      <c r="J391" s="292"/>
      <c r="K391" s="33"/>
      <c r="L391" s="33"/>
    </row>
    <row r="392" spans="1:12" ht="13.5" customHeight="1" x14ac:dyDescent="0.2">
      <c r="A392" s="293"/>
      <c r="B392" s="290"/>
      <c r="C392" s="289"/>
      <c r="D392" s="289"/>
      <c r="E392" s="289"/>
      <c r="F392" s="289"/>
      <c r="G392" s="291"/>
      <c r="H392" s="292"/>
      <c r="I392" s="292"/>
      <c r="J392" s="292"/>
      <c r="K392" s="33"/>
      <c r="L392" s="33"/>
    </row>
    <row r="393" spans="1:12" ht="13.5" customHeight="1" x14ac:dyDescent="0.2">
      <c r="A393" s="293"/>
      <c r="B393" s="290"/>
      <c r="C393" s="289"/>
      <c r="D393" s="289"/>
      <c r="E393" s="289"/>
      <c r="F393" s="289"/>
      <c r="G393" s="291"/>
      <c r="H393" s="292"/>
      <c r="I393" s="292"/>
      <c r="J393" s="292"/>
      <c r="K393" s="33"/>
      <c r="L393" s="33"/>
    </row>
    <row r="394" spans="1:12" ht="13.5" customHeight="1" x14ac:dyDescent="0.2">
      <c r="A394" s="293"/>
      <c r="B394" s="290"/>
      <c r="C394" s="289"/>
      <c r="D394" s="289"/>
      <c r="E394" s="289"/>
      <c r="F394" s="289"/>
      <c r="G394" s="291"/>
      <c r="H394" s="292"/>
      <c r="I394" s="292"/>
      <c r="J394" s="292"/>
      <c r="K394" s="33"/>
      <c r="L394" s="33"/>
    </row>
    <row r="395" spans="1:12" ht="13.5" customHeight="1" x14ac:dyDescent="0.2">
      <c r="A395" s="293"/>
      <c r="B395" s="290"/>
      <c r="C395" s="289"/>
      <c r="D395" s="289"/>
      <c r="E395" s="289"/>
      <c r="F395" s="289"/>
      <c r="G395" s="291"/>
      <c r="H395" s="292"/>
      <c r="I395" s="292"/>
      <c r="J395" s="292"/>
      <c r="K395" s="33"/>
      <c r="L395" s="33"/>
    </row>
    <row r="396" spans="1:12" ht="13.5" customHeight="1" x14ac:dyDescent="0.2">
      <c r="A396" s="293"/>
      <c r="B396" s="290"/>
      <c r="C396" s="289"/>
      <c r="D396" s="289"/>
      <c r="E396" s="289"/>
      <c r="F396" s="289"/>
      <c r="G396" s="291"/>
      <c r="H396" s="292"/>
      <c r="I396" s="292"/>
      <c r="J396" s="292"/>
      <c r="K396" s="33"/>
      <c r="L396" s="33"/>
    </row>
    <row r="397" spans="1:12" ht="13.5" customHeight="1" x14ac:dyDescent="0.2">
      <c r="A397" s="293"/>
      <c r="B397" s="290"/>
      <c r="C397" s="289"/>
      <c r="D397" s="289"/>
      <c r="E397" s="289"/>
      <c r="F397" s="289"/>
      <c r="G397" s="291"/>
      <c r="H397" s="292"/>
      <c r="I397" s="292"/>
      <c r="J397" s="292"/>
      <c r="K397" s="33"/>
      <c r="L397" s="33"/>
    </row>
    <row r="398" spans="1:12" ht="13.5" customHeight="1" x14ac:dyDescent="0.2">
      <c r="A398" s="293"/>
      <c r="B398" s="290"/>
      <c r="C398" s="289"/>
      <c r="D398" s="289"/>
      <c r="E398" s="289"/>
      <c r="F398" s="289"/>
      <c r="G398" s="291"/>
      <c r="H398" s="292"/>
      <c r="I398" s="292"/>
      <c r="J398" s="292"/>
      <c r="K398" s="33"/>
      <c r="L398" s="33"/>
    </row>
    <row r="399" spans="1:12" ht="13.5" customHeight="1" x14ac:dyDescent="0.2">
      <c r="A399" s="293"/>
      <c r="B399" s="290"/>
      <c r="C399" s="289"/>
      <c r="D399" s="289"/>
      <c r="E399" s="289"/>
      <c r="F399" s="289"/>
      <c r="G399" s="291"/>
      <c r="H399" s="292"/>
      <c r="I399" s="292"/>
      <c r="J399" s="292"/>
      <c r="K399" s="33"/>
      <c r="L399" s="33"/>
    </row>
    <row r="400" spans="1:12" ht="13.5" customHeight="1" x14ac:dyDescent="0.2">
      <c r="A400" s="293"/>
      <c r="B400" s="290"/>
      <c r="C400" s="289"/>
      <c r="D400" s="289"/>
      <c r="E400" s="289"/>
      <c r="F400" s="289"/>
      <c r="G400" s="291"/>
      <c r="H400" s="292"/>
      <c r="I400" s="292"/>
      <c r="J400" s="292"/>
      <c r="K400" s="33"/>
      <c r="L400" s="33"/>
    </row>
    <row r="401" spans="1:12" ht="13.5" customHeight="1" x14ac:dyDescent="0.2">
      <c r="A401" s="293"/>
      <c r="B401" s="290"/>
      <c r="C401" s="289"/>
      <c r="D401" s="289"/>
      <c r="E401" s="289"/>
      <c r="F401" s="289"/>
      <c r="G401" s="291"/>
      <c r="H401" s="292"/>
      <c r="I401" s="292"/>
      <c r="J401" s="292"/>
      <c r="K401" s="33"/>
      <c r="L401" s="33"/>
    </row>
    <row r="402" spans="1:12" ht="13.5" customHeight="1" x14ac:dyDescent="0.2">
      <c r="A402" s="293"/>
      <c r="B402" s="290"/>
      <c r="C402" s="289"/>
      <c r="D402" s="289"/>
      <c r="E402" s="289"/>
      <c r="F402" s="289"/>
      <c r="G402" s="291"/>
      <c r="H402" s="292"/>
      <c r="I402" s="292"/>
      <c r="J402" s="292"/>
      <c r="K402" s="33"/>
      <c r="L402" s="33"/>
    </row>
    <row r="403" spans="1:12" ht="13.5" customHeight="1" x14ac:dyDescent="0.2">
      <c r="A403" s="293"/>
      <c r="B403" s="290"/>
      <c r="C403" s="289"/>
      <c r="D403" s="289"/>
      <c r="E403" s="289"/>
      <c r="F403" s="289"/>
      <c r="G403" s="291"/>
      <c r="H403" s="292"/>
      <c r="I403" s="292"/>
      <c r="J403" s="292"/>
      <c r="K403" s="33"/>
      <c r="L403" s="33"/>
    </row>
    <row r="404" spans="1:12" ht="13.5" customHeight="1" x14ac:dyDescent="0.2">
      <c r="A404" s="293"/>
      <c r="B404" s="290"/>
      <c r="C404" s="289"/>
      <c r="D404" s="289"/>
      <c r="E404" s="289"/>
      <c r="F404" s="289"/>
      <c r="G404" s="291"/>
      <c r="H404" s="292"/>
      <c r="I404" s="292"/>
      <c r="J404" s="292"/>
      <c r="K404" s="33"/>
      <c r="L404" s="33"/>
    </row>
    <row r="405" spans="1:12" ht="13.5" customHeight="1" x14ac:dyDescent="0.2">
      <c r="A405" s="293"/>
      <c r="B405" s="290"/>
      <c r="C405" s="289"/>
      <c r="D405" s="289"/>
      <c r="E405" s="289"/>
      <c r="F405" s="289"/>
      <c r="G405" s="291"/>
      <c r="H405" s="292"/>
      <c r="I405" s="292"/>
      <c r="J405" s="292"/>
      <c r="K405" s="33"/>
      <c r="L405" s="33"/>
    </row>
    <row r="406" spans="1:12" ht="13.5" customHeight="1" x14ac:dyDescent="0.2">
      <c r="A406" s="293"/>
      <c r="B406" s="290"/>
      <c r="C406" s="289"/>
      <c r="D406" s="289"/>
      <c r="E406" s="289"/>
      <c r="F406" s="289"/>
      <c r="G406" s="291"/>
      <c r="H406" s="292"/>
      <c r="I406" s="292"/>
      <c r="J406" s="292"/>
      <c r="K406" s="33"/>
      <c r="L406" s="33"/>
    </row>
    <row r="407" spans="1:12" ht="13.5" customHeight="1" x14ac:dyDescent="0.2">
      <c r="A407" s="293"/>
      <c r="B407" s="290"/>
      <c r="C407" s="289"/>
      <c r="D407" s="289"/>
      <c r="E407" s="289"/>
      <c r="F407" s="289"/>
      <c r="G407" s="291"/>
      <c r="H407" s="292"/>
      <c r="I407" s="292"/>
      <c r="J407" s="292"/>
      <c r="K407" s="33"/>
      <c r="L407" s="33"/>
    </row>
    <row r="408" spans="1:12" ht="13.5" customHeight="1" x14ac:dyDescent="0.2">
      <c r="A408" s="293"/>
      <c r="B408" s="290"/>
      <c r="C408" s="289"/>
      <c r="D408" s="289"/>
      <c r="E408" s="289"/>
      <c r="F408" s="289"/>
      <c r="G408" s="291"/>
      <c r="H408" s="292"/>
      <c r="I408" s="292"/>
      <c r="J408" s="292"/>
      <c r="K408" s="33"/>
      <c r="L408" s="33"/>
    </row>
    <row r="409" spans="1:12" ht="13.5" customHeight="1" x14ac:dyDescent="0.2">
      <c r="A409" s="293"/>
      <c r="B409" s="290"/>
      <c r="C409" s="289"/>
      <c r="D409" s="289"/>
      <c r="E409" s="289"/>
      <c r="F409" s="289"/>
      <c r="G409" s="291"/>
      <c r="H409" s="292"/>
      <c r="I409" s="292"/>
      <c r="J409" s="292"/>
      <c r="K409" s="33"/>
      <c r="L409" s="33"/>
    </row>
    <row r="410" spans="1:12" ht="13.5" customHeight="1" x14ac:dyDescent="0.2">
      <c r="A410" s="293"/>
      <c r="B410" s="290"/>
      <c r="C410" s="289"/>
      <c r="D410" s="289"/>
      <c r="E410" s="289"/>
      <c r="F410" s="289"/>
      <c r="G410" s="291"/>
      <c r="H410" s="292"/>
      <c r="I410" s="292"/>
      <c r="J410" s="292"/>
      <c r="K410" s="33"/>
      <c r="L410" s="33"/>
    </row>
    <row r="411" spans="1:12" ht="13.5" customHeight="1" x14ac:dyDescent="0.2">
      <c r="A411" s="293"/>
      <c r="B411" s="290"/>
      <c r="C411" s="289"/>
      <c r="D411" s="289"/>
      <c r="E411" s="289"/>
      <c r="F411" s="289"/>
      <c r="G411" s="291"/>
      <c r="H411" s="292"/>
      <c r="I411" s="292"/>
      <c r="J411" s="292"/>
      <c r="K411" s="33"/>
      <c r="L411" s="33"/>
    </row>
    <row r="412" spans="1:12" ht="13.5" customHeight="1" x14ac:dyDescent="0.2">
      <c r="A412" s="293"/>
      <c r="B412" s="290"/>
      <c r="C412" s="289"/>
      <c r="D412" s="289"/>
      <c r="E412" s="289"/>
      <c r="F412" s="289"/>
      <c r="G412" s="291"/>
      <c r="H412" s="292"/>
      <c r="I412" s="292"/>
      <c r="J412" s="292"/>
      <c r="K412" s="33"/>
      <c r="L412" s="33"/>
    </row>
    <row r="413" spans="1:12" ht="13.5" customHeight="1" x14ac:dyDescent="0.2">
      <c r="A413" s="293"/>
      <c r="B413" s="290"/>
      <c r="C413" s="289"/>
      <c r="D413" s="289"/>
      <c r="E413" s="289"/>
      <c r="F413" s="289"/>
      <c r="G413" s="291"/>
      <c r="H413" s="292"/>
      <c r="I413" s="292"/>
      <c r="J413" s="292"/>
      <c r="K413" s="33"/>
      <c r="L413" s="33"/>
    </row>
    <row r="414" spans="1:12" ht="13.5" customHeight="1" x14ac:dyDescent="0.2">
      <c r="A414" s="293"/>
      <c r="B414" s="290"/>
      <c r="C414" s="289"/>
      <c r="D414" s="289"/>
      <c r="E414" s="289"/>
      <c r="F414" s="289"/>
      <c r="G414" s="291"/>
      <c r="H414" s="292"/>
      <c r="I414" s="292"/>
      <c r="J414" s="292"/>
      <c r="K414" s="33"/>
      <c r="L414" s="33"/>
    </row>
    <row r="415" spans="1:12" ht="13.5" customHeight="1" x14ac:dyDescent="0.2">
      <c r="A415" s="293"/>
      <c r="B415" s="290"/>
      <c r="C415" s="289"/>
      <c r="D415" s="289"/>
      <c r="E415" s="289"/>
      <c r="F415" s="289"/>
      <c r="G415" s="291"/>
      <c r="H415" s="292"/>
      <c r="I415" s="292"/>
      <c r="J415" s="292"/>
      <c r="K415" s="33"/>
      <c r="L415" s="33"/>
    </row>
    <row r="416" spans="1:12" ht="13.5" customHeight="1" x14ac:dyDescent="0.2">
      <c r="A416" s="293"/>
      <c r="B416" s="290"/>
      <c r="C416" s="289"/>
      <c r="D416" s="289"/>
      <c r="E416" s="289"/>
      <c r="F416" s="289"/>
      <c r="G416" s="291"/>
      <c r="H416" s="292"/>
      <c r="I416" s="292"/>
      <c r="J416" s="292"/>
      <c r="K416" s="33"/>
      <c r="L416" s="33"/>
    </row>
    <row r="417" spans="1:12" ht="13.5" customHeight="1" x14ac:dyDescent="0.2">
      <c r="A417" s="293"/>
      <c r="B417" s="290"/>
      <c r="C417" s="289"/>
      <c r="D417" s="289"/>
      <c r="E417" s="289"/>
      <c r="F417" s="289"/>
      <c r="G417" s="291"/>
      <c r="H417" s="292"/>
      <c r="I417" s="292"/>
      <c r="J417" s="292"/>
      <c r="K417" s="33"/>
      <c r="L417" s="33"/>
    </row>
    <row r="418" spans="1:12" ht="13.5" customHeight="1" x14ac:dyDescent="0.2">
      <c r="A418" s="293"/>
      <c r="B418" s="290"/>
      <c r="C418" s="289"/>
      <c r="D418" s="289"/>
      <c r="E418" s="289"/>
      <c r="F418" s="289"/>
      <c r="G418" s="291"/>
      <c r="H418" s="292"/>
      <c r="I418" s="292"/>
      <c r="J418" s="292"/>
      <c r="K418" s="33"/>
      <c r="L418" s="33"/>
    </row>
    <row r="419" spans="1:12" ht="13.5" customHeight="1" x14ac:dyDescent="0.2">
      <c r="A419" s="293"/>
      <c r="B419" s="290"/>
      <c r="C419" s="289"/>
      <c r="D419" s="289"/>
      <c r="E419" s="289"/>
      <c r="F419" s="289"/>
      <c r="G419" s="291"/>
      <c r="H419" s="292"/>
      <c r="I419" s="292"/>
      <c r="J419" s="292"/>
      <c r="K419" s="33"/>
      <c r="L419" s="33"/>
    </row>
    <row r="420" spans="1:12" ht="13.5" customHeight="1" x14ac:dyDescent="0.2">
      <c r="A420" s="293"/>
      <c r="B420" s="290"/>
      <c r="C420" s="289"/>
      <c r="D420" s="289"/>
      <c r="E420" s="289"/>
      <c r="F420" s="289"/>
      <c r="G420" s="291"/>
      <c r="H420" s="292"/>
      <c r="I420" s="292"/>
      <c r="J420" s="292"/>
      <c r="K420" s="33"/>
      <c r="L420" s="33"/>
    </row>
    <row r="421" spans="1:12" ht="13.5" customHeight="1" x14ac:dyDescent="0.2">
      <c r="A421" s="293"/>
      <c r="B421" s="290"/>
      <c r="C421" s="289"/>
      <c r="D421" s="289"/>
      <c r="E421" s="289"/>
      <c r="F421" s="289"/>
      <c r="G421" s="291"/>
      <c r="H421" s="292"/>
      <c r="I421" s="292"/>
      <c r="J421" s="292"/>
      <c r="K421" s="33"/>
      <c r="L421" s="33"/>
    </row>
    <row r="422" spans="1:12" ht="13.5" customHeight="1" x14ac:dyDescent="0.2">
      <c r="A422" s="293"/>
      <c r="B422" s="290"/>
      <c r="C422" s="289"/>
      <c r="D422" s="289"/>
      <c r="E422" s="289"/>
      <c r="F422" s="289"/>
      <c r="G422" s="291"/>
      <c r="H422" s="292"/>
      <c r="I422" s="292"/>
      <c r="J422" s="292"/>
      <c r="K422" s="33"/>
      <c r="L422" s="33"/>
    </row>
    <row r="423" spans="1:12" ht="13.5" customHeight="1" x14ac:dyDescent="0.2">
      <c r="A423" s="293"/>
      <c r="B423" s="290"/>
      <c r="C423" s="289"/>
      <c r="D423" s="289"/>
      <c r="E423" s="289"/>
      <c r="F423" s="289"/>
      <c r="G423" s="291"/>
      <c r="H423" s="292"/>
      <c r="I423" s="292"/>
      <c r="J423" s="292"/>
      <c r="K423" s="33"/>
      <c r="L423" s="33"/>
    </row>
    <row r="424" spans="1:12" ht="13.5" customHeight="1" x14ac:dyDescent="0.2">
      <c r="A424" s="293"/>
      <c r="B424" s="290"/>
      <c r="C424" s="289"/>
      <c r="D424" s="289"/>
      <c r="E424" s="289"/>
      <c r="F424" s="289"/>
      <c r="G424" s="291"/>
      <c r="H424" s="292"/>
      <c r="I424" s="292"/>
      <c r="J424" s="292"/>
      <c r="K424" s="33"/>
      <c r="L424" s="33"/>
    </row>
    <row r="425" spans="1:12" ht="13.5" customHeight="1" x14ac:dyDescent="0.2">
      <c r="A425" s="293"/>
      <c r="B425" s="290"/>
      <c r="C425" s="289"/>
      <c r="D425" s="289"/>
      <c r="E425" s="289"/>
      <c r="F425" s="289"/>
      <c r="G425" s="291"/>
      <c r="H425" s="292"/>
      <c r="I425" s="292"/>
      <c r="J425" s="292"/>
      <c r="K425" s="33"/>
      <c r="L425" s="33"/>
    </row>
    <row r="426" spans="1:12" ht="13.5" customHeight="1" x14ac:dyDescent="0.2">
      <c r="A426" s="293"/>
      <c r="B426" s="290"/>
      <c r="C426" s="289"/>
      <c r="D426" s="289"/>
      <c r="E426" s="289"/>
      <c r="F426" s="289"/>
      <c r="G426" s="291"/>
      <c r="H426" s="292"/>
      <c r="I426" s="292"/>
      <c r="J426" s="292"/>
      <c r="K426" s="33"/>
      <c r="L426" s="33"/>
    </row>
    <row r="427" spans="1:12" ht="13.5" customHeight="1" x14ac:dyDescent="0.2">
      <c r="A427" s="293"/>
      <c r="B427" s="290"/>
      <c r="C427" s="289"/>
      <c r="D427" s="289"/>
      <c r="E427" s="289"/>
      <c r="F427" s="289"/>
      <c r="G427" s="291"/>
      <c r="H427" s="292"/>
      <c r="I427" s="292"/>
      <c r="J427" s="292"/>
      <c r="K427" s="33"/>
      <c r="L427" s="33"/>
    </row>
    <row r="428" spans="1:12" ht="13.5" customHeight="1" x14ac:dyDescent="0.2">
      <c r="A428" s="293"/>
      <c r="B428" s="290"/>
      <c r="C428" s="289"/>
      <c r="D428" s="289"/>
      <c r="E428" s="289"/>
      <c r="F428" s="289"/>
      <c r="G428" s="291"/>
      <c r="H428" s="292"/>
      <c r="I428" s="292"/>
      <c r="J428" s="292"/>
      <c r="K428" s="33"/>
      <c r="L428" s="33"/>
    </row>
    <row r="429" spans="1:12" ht="13.5" customHeight="1" x14ac:dyDescent="0.2">
      <c r="A429" s="293"/>
      <c r="B429" s="290"/>
      <c r="C429" s="289"/>
      <c r="D429" s="289"/>
      <c r="E429" s="289"/>
      <c r="F429" s="289"/>
      <c r="G429" s="291"/>
      <c r="H429" s="292"/>
      <c r="I429" s="292"/>
      <c r="J429" s="292"/>
      <c r="K429" s="33"/>
      <c r="L429" s="33"/>
    </row>
    <row r="430" spans="1:12" ht="13.5" customHeight="1" x14ac:dyDescent="0.2">
      <c r="A430" s="293"/>
      <c r="B430" s="290"/>
      <c r="C430" s="289"/>
      <c r="D430" s="289"/>
      <c r="E430" s="289"/>
      <c r="F430" s="289"/>
      <c r="G430" s="291"/>
      <c r="H430" s="292"/>
      <c r="I430" s="292"/>
      <c r="J430" s="292"/>
      <c r="K430" s="33"/>
      <c r="L430" s="33"/>
    </row>
    <row r="431" spans="1:12" ht="13.5" customHeight="1" x14ac:dyDescent="0.2">
      <c r="A431" s="293"/>
      <c r="B431" s="290"/>
      <c r="C431" s="289"/>
      <c r="D431" s="289"/>
      <c r="E431" s="289"/>
      <c r="F431" s="289"/>
      <c r="G431" s="291"/>
      <c r="H431" s="292"/>
      <c r="I431" s="292"/>
      <c r="J431" s="292"/>
      <c r="K431" s="33"/>
      <c r="L431" s="33"/>
    </row>
    <row r="432" spans="1:12" ht="13.5" customHeight="1" x14ac:dyDescent="0.2">
      <c r="A432" s="293"/>
      <c r="B432" s="290"/>
      <c r="C432" s="289"/>
      <c r="D432" s="289"/>
      <c r="E432" s="289"/>
      <c r="F432" s="289"/>
      <c r="G432" s="291"/>
      <c r="H432" s="292"/>
      <c r="I432" s="292"/>
      <c r="J432" s="292"/>
      <c r="K432" s="33"/>
      <c r="L432" s="33"/>
    </row>
    <row r="433" spans="1:12" ht="13.5" customHeight="1" x14ac:dyDescent="0.2">
      <c r="A433" s="293"/>
      <c r="B433" s="290"/>
      <c r="C433" s="289"/>
      <c r="D433" s="289"/>
      <c r="E433" s="289"/>
      <c r="F433" s="289"/>
      <c r="G433" s="291"/>
      <c r="H433" s="292"/>
      <c r="I433" s="292"/>
      <c r="J433" s="292"/>
      <c r="K433" s="33"/>
      <c r="L433" s="33"/>
    </row>
    <row r="434" spans="1:12" ht="13.5" customHeight="1" x14ac:dyDescent="0.2">
      <c r="A434" s="293"/>
      <c r="B434" s="290"/>
      <c r="C434" s="289"/>
      <c r="D434" s="289"/>
      <c r="E434" s="289"/>
      <c r="F434" s="289"/>
      <c r="G434" s="291"/>
      <c r="H434" s="292"/>
      <c r="I434" s="292"/>
      <c r="J434" s="292"/>
      <c r="K434" s="33"/>
      <c r="L434" s="33"/>
    </row>
    <row r="435" spans="1:12" ht="13.5" customHeight="1" x14ac:dyDescent="0.2">
      <c r="A435" s="293"/>
      <c r="B435" s="290"/>
      <c r="C435" s="289"/>
      <c r="D435" s="289"/>
      <c r="E435" s="289"/>
      <c r="F435" s="289"/>
      <c r="G435" s="291"/>
      <c r="H435" s="292"/>
      <c r="I435" s="292"/>
      <c r="J435" s="292"/>
      <c r="K435" s="33"/>
      <c r="L435" s="33"/>
    </row>
    <row r="436" spans="1:12" ht="13.5" customHeight="1" x14ac:dyDescent="0.2">
      <c r="A436" s="293"/>
      <c r="B436" s="290"/>
      <c r="C436" s="289"/>
      <c r="D436" s="289"/>
      <c r="E436" s="289"/>
      <c r="F436" s="289"/>
      <c r="G436" s="291"/>
      <c r="H436" s="292"/>
      <c r="I436" s="292"/>
      <c r="J436" s="292"/>
      <c r="K436" s="33"/>
      <c r="L436" s="33"/>
    </row>
    <row r="437" spans="1:12" ht="13.5" customHeight="1" x14ac:dyDescent="0.2">
      <c r="A437" s="293"/>
      <c r="B437" s="290"/>
      <c r="C437" s="289"/>
      <c r="D437" s="289"/>
      <c r="E437" s="289"/>
      <c r="F437" s="289"/>
      <c r="G437" s="291"/>
      <c r="H437" s="292"/>
      <c r="I437" s="292"/>
      <c r="J437" s="292"/>
      <c r="K437" s="33"/>
      <c r="L437" s="33"/>
    </row>
    <row r="438" spans="1:12" ht="13.5" customHeight="1" x14ac:dyDescent="0.2">
      <c r="A438" s="293"/>
      <c r="B438" s="290"/>
      <c r="C438" s="289"/>
      <c r="D438" s="289"/>
      <c r="E438" s="289"/>
      <c r="F438" s="289"/>
      <c r="G438" s="291"/>
      <c r="H438" s="292"/>
      <c r="I438" s="292"/>
      <c r="J438" s="292"/>
      <c r="K438" s="33"/>
      <c r="L438" s="33"/>
    </row>
    <row r="439" spans="1:12" ht="13.5" customHeight="1" x14ac:dyDescent="0.2">
      <c r="A439" s="293"/>
      <c r="B439" s="290"/>
      <c r="C439" s="289"/>
      <c r="D439" s="289"/>
      <c r="E439" s="289"/>
      <c r="F439" s="289"/>
      <c r="G439" s="291"/>
      <c r="H439" s="292"/>
      <c r="I439" s="292"/>
      <c r="J439" s="292"/>
      <c r="K439" s="33"/>
      <c r="L439" s="33"/>
    </row>
    <row r="440" spans="1:12" ht="13.5" customHeight="1" x14ac:dyDescent="0.2">
      <c r="A440" s="293"/>
      <c r="B440" s="290"/>
      <c r="C440" s="289"/>
      <c r="D440" s="289"/>
      <c r="E440" s="289"/>
      <c r="F440" s="289"/>
      <c r="G440" s="291"/>
      <c r="H440" s="292"/>
      <c r="I440" s="292"/>
      <c r="J440" s="292"/>
      <c r="K440" s="33"/>
      <c r="L440" s="33"/>
    </row>
    <row r="441" spans="1:12" ht="13.5" customHeight="1" x14ac:dyDescent="0.2">
      <c r="A441" s="293"/>
      <c r="B441" s="290"/>
      <c r="C441" s="289"/>
      <c r="D441" s="289"/>
      <c r="E441" s="289"/>
      <c r="F441" s="289"/>
      <c r="G441" s="291"/>
      <c r="H441" s="292"/>
      <c r="I441" s="292"/>
      <c r="J441" s="292"/>
      <c r="K441" s="33"/>
      <c r="L441" s="33"/>
    </row>
    <row r="442" spans="1:12" ht="13.5" customHeight="1" x14ac:dyDescent="0.2">
      <c r="A442" s="293"/>
      <c r="B442" s="290"/>
      <c r="C442" s="289"/>
      <c r="D442" s="289"/>
      <c r="E442" s="289"/>
      <c r="F442" s="289"/>
      <c r="G442" s="291"/>
      <c r="H442" s="292"/>
      <c r="I442" s="292"/>
      <c r="J442" s="292"/>
      <c r="K442" s="33"/>
      <c r="L442" s="33"/>
    </row>
    <row r="443" spans="1:12" ht="13.5" customHeight="1" x14ac:dyDescent="0.2">
      <c r="A443" s="293"/>
      <c r="B443" s="290"/>
      <c r="C443" s="289"/>
      <c r="D443" s="289"/>
      <c r="E443" s="289"/>
      <c r="F443" s="289"/>
      <c r="G443" s="291"/>
      <c r="H443" s="292"/>
      <c r="I443" s="292"/>
      <c r="J443" s="292"/>
      <c r="K443" s="33"/>
      <c r="L443" s="33"/>
    </row>
    <row r="444" spans="1:12" ht="13.5" customHeight="1" x14ac:dyDescent="0.2">
      <c r="A444" s="293"/>
      <c r="B444" s="290"/>
      <c r="C444" s="289"/>
      <c r="D444" s="289"/>
      <c r="E444" s="289"/>
      <c r="F444" s="289"/>
      <c r="G444" s="291"/>
      <c r="H444" s="292"/>
      <c r="I444" s="292"/>
      <c r="J444" s="292"/>
      <c r="K444" s="33"/>
      <c r="L444" s="33"/>
    </row>
    <row r="445" spans="1:12" ht="13.5" customHeight="1" x14ac:dyDescent="0.2">
      <c r="A445" s="293"/>
      <c r="B445" s="290"/>
      <c r="C445" s="289"/>
      <c r="D445" s="289"/>
      <c r="E445" s="289"/>
      <c r="F445" s="289"/>
      <c r="G445" s="291"/>
      <c r="H445" s="292"/>
      <c r="I445" s="292"/>
      <c r="J445" s="292"/>
      <c r="K445" s="33"/>
      <c r="L445" s="33"/>
    </row>
    <row r="446" spans="1:12" ht="13.5" customHeight="1" x14ac:dyDescent="0.2">
      <c r="A446" s="293"/>
      <c r="B446" s="290"/>
      <c r="C446" s="289"/>
      <c r="D446" s="289"/>
      <c r="E446" s="289"/>
      <c r="F446" s="289"/>
      <c r="G446" s="291"/>
      <c r="H446" s="292"/>
      <c r="I446" s="292"/>
      <c r="J446" s="292"/>
      <c r="K446" s="33"/>
      <c r="L446" s="33"/>
    </row>
    <row r="447" spans="1:12" ht="13.5" customHeight="1" x14ac:dyDescent="0.2">
      <c r="A447" s="293"/>
      <c r="B447" s="290"/>
      <c r="C447" s="289"/>
      <c r="D447" s="289"/>
      <c r="E447" s="289"/>
      <c r="F447" s="289"/>
      <c r="G447" s="291"/>
      <c r="H447" s="292"/>
      <c r="I447" s="292"/>
      <c r="J447" s="292"/>
      <c r="K447" s="33"/>
      <c r="L447" s="33"/>
    </row>
    <row r="448" spans="1:12" ht="13.5" customHeight="1" x14ac:dyDescent="0.2">
      <c r="A448" s="293"/>
      <c r="B448" s="290"/>
      <c r="C448" s="289"/>
      <c r="D448" s="289"/>
      <c r="E448" s="289"/>
      <c r="F448" s="289"/>
      <c r="G448" s="291"/>
      <c r="H448" s="292"/>
      <c r="I448" s="292"/>
      <c r="J448" s="292"/>
      <c r="K448" s="33"/>
      <c r="L448" s="33"/>
    </row>
    <row r="449" spans="1:12" ht="13.5" customHeight="1" x14ac:dyDescent="0.2">
      <c r="A449" s="293"/>
      <c r="B449" s="290"/>
      <c r="C449" s="289"/>
      <c r="D449" s="289"/>
      <c r="E449" s="289"/>
      <c r="F449" s="289"/>
      <c r="G449" s="291"/>
      <c r="H449" s="292"/>
      <c r="I449" s="292"/>
      <c r="J449" s="292"/>
      <c r="K449" s="33"/>
      <c r="L449" s="33"/>
    </row>
    <row r="450" spans="1:12" ht="13.5" customHeight="1" x14ac:dyDescent="0.2">
      <c r="A450" s="293"/>
      <c r="B450" s="290"/>
      <c r="C450" s="289"/>
      <c r="D450" s="289"/>
      <c r="E450" s="289"/>
      <c r="F450" s="289"/>
      <c r="G450" s="291"/>
      <c r="H450" s="292"/>
      <c r="I450" s="292"/>
      <c r="J450" s="292"/>
      <c r="K450" s="33"/>
      <c r="L450" s="33"/>
    </row>
    <row r="451" spans="1:12" ht="13.5" customHeight="1" x14ac:dyDescent="0.2">
      <c r="A451" s="293"/>
      <c r="B451" s="290"/>
      <c r="C451" s="289"/>
      <c r="D451" s="289"/>
      <c r="E451" s="289"/>
      <c r="F451" s="289"/>
      <c r="G451" s="291"/>
      <c r="H451" s="292"/>
      <c r="I451" s="292"/>
      <c r="J451" s="292"/>
      <c r="K451" s="33"/>
      <c r="L451" s="33"/>
    </row>
    <row r="452" spans="1:12" ht="13.5" customHeight="1" x14ac:dyDescent="0.2">
      <c r="A452" s="293"/>
      <c r="B452" s="290"/>
      <c r="C452" s="289"/>
      <c r="D452" s="289"/>
      <c r="E452" s="289"/>
      <c r="F452" s="289"/>
      <c r="G452" s="291"/>
      <c r="H452" s="292"/>
      <c r="I452" s="292"/>
      <c r="J452" s="292"/>
      <c r="K452" s="33"/>
      <c r="L452" s="33"/>
    </row>
    <row r="453" spans="1:12" ht="13.5" customHeight="1" x14ac:dyDescent="0.2">
      <c r="A453" s="293"/>
      <c r="B453" s="290"/>
      <c r="C453" s="289"/>
      <c r="D453" s="289"/>
      <c r="E453" s="289"/>
      <c r="F453" s="289"/>
      <c r="G453" s="291"/>
      <c r="H453" s="292"/>
      <c r="I453" s="292"/>
      <c r="J453" s="292"/>
      <c r="K453" s="33"/>
      <c r="L453" s="33"/>
    </row>
    <row r="454" spans="1:12" ht="13.5" customHeight="1" x14ac:dyDescent="0.2">
      <c r="A454" s="293"/>
      <c r="B454" s="290"/>
      <c r="C454" s="289"/>
      <c r="D454" s="289"/>
      <c r="E454" s="289"/>
      <c r="F454" s="289"/>
      <c r="G454" s="291"/>
      <c r="H454" s="292"/>
      <c r="I454" s="292"/>
      <c r="J454" s="292"/>
      <c r="K454" s="33"/>
      <c r="L454" s="33"/>
    </row>
    <row r="455" spans="1:12" ht="13.5" customHeight="1" x14ac:dyDescent="0.2">
      <c r="A455" s="293"/>
      <c r="B455" s="290"/>
      <c r="C455" s="289"/>
      <c r="D455" s="289"/>
      <c r="E455" s="289"/>
      <c r="F455" s="289"/>
      <c r="G455" s="291"/>
      <c r="H455" s="292"/>
      <c r="I455" s="292"/>
      <c r="J455" s="292"/>
      <c r="K455" s="33"/>
      <c r="L455" s="33"/>
    </row>
    <row r="456" spans="1:12" ht="13.5" customHeight="1" x14ac:dyDescent="0.2">
      <c r="A456" s="293"/>
      <c r="B456" s="290"/>
      <c r="C456" s="289"/>
      <c r="D456" s="289"/>
      <c r="E456" s="289"/>
      <c r="F456" s="289"/>
      <c r="G456" s="291"/>
      <c r="H456" s="292"/>
      <c r="I456" s="292"/>
      <c r="J456" s="292"/>
      <c r="K456" s="33"/>
      <c r="L456" s="33"/>
    </row>
    <row r="457" spans="1:12" ht="13.5" customHeight="1" x14ac:dyDescent="0.2">
      <c r="A457" s="293"/>
      <c r="B457" s="290"/>
      <c r="C457" s="289"/>
      <c r="D457" s="289"/>
      <c r="E457" s="289"/>
      <c r="F457" s="289"/>
      <c r="G457" s="291"/>
      <c r="H457" s="292"/>
      <c r="I457" s="292"/>
      <c r="J457" s="292"/>
      <c r="K457" s="33"/>
      <c r="L457" s="33"/>
    </row>
    <row r="458" spans="1:12" ht="13.5" customHeight="1" x14ac:dyDescent="0.2">
      <c r="A458" s="293"/>
      <c r="B458" s="290"/>
      <c r="C458" s="289"/>
      <c r="D458" s="289"/>
      <c r="E458" s="289"/>
      <c r="F458" s="289"/>
      <c r="G458" s="291"/>
      <c r="H458" s="292"/>
      <c r="I458" s="292"/>
      <c r="J458" s="292"/>
      <c r="K458" s="33"/>
      <c r="L458" s="33"/>
    </row>
    <row r="459" spans="1:12" ht="13.5" customHeight="1" x14ac:dyDescent="0.2">
      <c r="A459" s="293"/>
      <c r="B459" s="290"/>
      <c r="C459" s="289"/>
      <c r="D459" s="289"/>
      <c r="E459" s="289"/>
      <c r="F459" s="289"/>
      <c r="G459" s="291"/>
      <c r="H459" s="292"/>
      <c r="I459" s="292"/>
      <c r="J459" s="292"/>
      <c r="K459" s="33"/>
      <c r="L459" s="33"/>
    </row>
    <row r="460" spans="1:12" ht="13.5" customHeight="1" x14ac:dyDescent="0.2">
      <c r="A460" s="293"/>
      <c r="B460" s="290"/>
      <c r="C460" s="289"/>
      <c r="D460" s="289"/>
      <c r="E460" s="289"/>
      <c r="F460" s="289"/>
      <c r="G460" s="291"/>
      <c r="H460" s="292"/>
      <c r="I460" s="292"/>
      <c r="J460" s="292"/>
      <c r="K460" s="33"/>
      <c r="L460" s="33"/>
    </row>
    <row r="461" spans="1:12" ht="13.5" customHeight="1" x14ac:dyDescent="0.2">
      <c r="A461" s="293"/>
      <c r="B461" s="290"/>
      <c r="C461" s="289"/>
      <c r="D461" s="289"/>
      <c r="E461" s="289"/>
      <c r="F461" s="289"/>
      <c r="G461" s="291"/>
      <c r="H461" s="292"/>
      <c r="I461" s="292"/>
      <c r="J461" s="292"/>
      <c r="K461" s="33"/>
      <c r="L461" s="33"/>
    </row>
    <row r="462" spans="1:12" ht="13.5" customHeight="1" x14ac:dyDescent="0.2">
      <c r="A462" s="293"/>
      <c r="B462" s="290"/>
      <c r="C462" s="289"/>
      <c r="D462" s="289"/>
      <c r="E462" s="289"/>
      <c r="F462" s="289"/>
      <c r="G462" s="291"/>
      <c r="H462" s="292"/>
      <c r="I462" s="292"/>
      <c r="J462" s="292"/>
      <c r="K462" s="33"/>
      <c r="L462" s="33"/>
    </row>
    <row r="463" spans="1:12" ht="13.5" customHeight="1" x14ac:dyDescent="0.2">
      <c r="A463" s="293"/>
      <c r="B463" s="290"/>
      <c r="C463" s="289"/>
      <c r="D463" s="289"/>
      <c r="E463" s="289"/>
      <c r="F463" s="289"/>
      <c r="G463" s="291"/>
      <c r="H463" s="292"/>
      <c r="I463" s="292"/>
      <c r="J463" s="292"/>
      <c r="K463" s="33"/>
      <c r="L463" s="33"/>
    </row>
    <row r="464" spans="1:12" ht="13.5" customHeight="1" x14ac:dyDescent="0.2">
      <c r="A464" s="293"/>
      <c r="B464" s="290"/>
      <c r="C464" s="289"/>
      <c r="D464" s="289"/>
      <c r="E464" s="289"/>
      <c r="F464" s="289"/>
      <c r="G464" s="291"/>
      <c r="H464" s="292"/>
      <c r="I464" s="292"/>
      <c r="J464" s="292"/>
      <c r="K464" s="33"/>
      <c r="L464" s="33"/>
    </row>
    <row r="465" spans="1:12" ht="13.5" customHeight="1" x14ac:dyDescent="0.2">
      <c r="A465" s="293"/>
      <c r="B465" s="290"/>
      <c r="C465" s="289"/>
      <c r="D465" s="289"/>
      <c r="E465" s="289"/>
      <c r="F465" s="289"/>
      <c r="G465" s="291"/>
      <c r="H465" s="292"/>
      <c r="I465" s="292"/>
      <c r="J465" s="292"/>
      <c r="K465" s="33"/>
      <c r="L465" s="33"/>
    </row>
    <row r="466" spans="1:12" ht="13.5" customHeight="1" x14ac:dyDescent="0.2">
      <c r="A466" s="293"/>
      <c r="B466" s="290"/>
      <c r="C466" s="289"/>
      <c r="D466" s="289"/>
      <c r="E466" s="289"/>
      <c r="F466" s="289"/>
      <c r="G466" s="291"/>
      <c r="H466" s="292"/>
      <c r="I466" s="292"/>
      <c r="J466" s="292"/>
      <c r="K466" s="33"/>
      <c r="L466" s="33"/>
    </row>
    <row r="467" spans="1:12" ht="13.5" customHeight="1" x14ac:dyDescent="0.2">
      <c r="A467" s="293"/>
      <c r="B467" s="290"/>
      <c r="C467" s="289"/>
      <c r="D467" s="289"/>
      <c r="E467" s="289"/>
      <c r="F467" s="289"/>
      <c r="G467" s="291"/>
      <c r="H467" s="292"/>
      <c r="I467" s="292"/>
      <c r="J467" s="292"/>
      <c r="K467" s="33"/>
      <c r="L467" s="33"/>
    </row>
    <row r="468" spans="1:12" ht="13.5" customHeight="1" x14ac:dyDescent="0.2">
      <c r="A468" s="293"/>
      <c r="B468" s="290"/>
      <c r="C468" s="289"/>
      <c r="D468" s="289"/>
      <c r="E468" s="289"/>
      <c r="F468" s="289"/>
      <c r="G468" s="291"/>
      <c r="H468" s="292"/>
      <c r="I468" s="292"/>
      <c r="J468" s="292"/>
      <c r="K468" s="33"/>
      <c r="L468" s="33"/>
    </row>
    <row r="469" spans="1:12" ht="13.5" customHeight="1" x14ac:dyDescent="0.2">
      <c r="A469" s="293"/>
      <c r="B469" s="290"/>
      <c r="C469" s="289"/>
      <c r="D469" s="289"/>
      <c r="E469" s="289"/>
      <c r="F469" s="289"/>
      <c r="G469" s="291"/>
      <c r="H469" s="292"/>
      <c r="I469" s="292"/>
      <c r="J469" s="292"/>
      <c r="K469" s="33"/>
      <c r="L469" s="33"/>
    </row>
    <row r="470" spans="1:12" ht="13.5" customHeight="1" x14ac:dyDescent="0.2">
      <c r="A470" s="293"/>
      <c r="B470" s="290"/>
      <c r="C470" s="289"/>
      <c r="D470" s="289"/>
      <c r="E470" s="289"/>
      <c r="F470" s="289"/>
      <c r="G470" s="291"/>
      <c r="H470" s="292"/>
      <c r="I470" s="292"/>
      <c r="J470" s="292"/>
      <c r="K470" s="33"/>
      <c r="L470" s="33"/>
    </row>
    <row r="471" spans="1:12" ht="13.5" customHeight="1" x14ac:dyDescent="0.2">
      <c r="A471" s="293"/>
      <c r="B471" s="290"/>
      <c r="C471" s="289"/>
      <c r="D471" s="289"/>
      <c r="E471" s="289"/>
      <c r="F471" s="289"/>
      <c r="G471" s="291"/>
      <c r="H471" s="292"/>
      <c r="I471" s="292"/>
      <c r="J471" s="292"/>
      <c r="K471" s="33"/>
      <c r="L471" s="33"/>
    </row>
    <row r="472" spans="1:12" ht="13.5" customHeight="1" x14ac:dyDescent="0.2">
      <c r="A472" s="293"/>
      <c r="B472" s="290"/>
      <c r="C472" s="289"/>
      <c r="D472" s="289"/>
      <c r="E472" s="289"/>
      <c r="F472" s="289"/>
      <c r="G472" s="291"/>
      <c r="H472" s="292"/>
      <c r="I472" s="292"/>
      <c r="J472" s="292"/>
      <c r="K472" s="33"/>
      <c r="L472" s="33"/>
    </row>
    <row r="473" spans="1:12" ht="13.5" customHeight="1" x14ac:dyDescent="0.2">
      <c r="A473" s="293"/>
      <c r="B473" s="290"/>
      <c r="C473" s="289"/>
      <c r="D473" s="289"/>
      <c r="E473" s="289"/>
      <c r="F473" s="289"/>
      <c r="G473" s="291"/>
      <c r="H473" s="292"/>
      <c r="I473" s="292"/>
      <c r="J473" s="292"/>
      <c r="K473" s="33"/>
      <c r="L473" s="33"/>
    </row>
    <row r="474" spans="1:12" ht="13.5" customHeight="1" x14ac:dyDescent="0.2">
      <c r="A474" s="293"/>
      <c r="B474" s="290"/>
      <c r="C474" s="289"/>
      <c r="D474" s="289"/>
      <c r="E474" s="289"/>
      <c r="F474" s="289"/>
      <c r="G474" s="291"/>
      <c r="H474" s="292"/>
      <c r="I474" s="292"/>
      <c r="J474" s="292"/>
      <c r="K474" s="33"/>
      <c r="L474" s="33"/>
    </row>
    <row r="475" spans="1:12" ht="13.5" customHeight="1" x14ac:dyDescent="0.2">
      <c r="A475" s="293"/>
      <c r="B475" s="290"/>
      <c r="C475" s="289"/>
      <c r="D475" s="289"/>
      <c r="E475" s="289"/>
      <c r="F475" s="289"/>
      <c r="G475" s="291"/>
      <c r="H475" s="292"/>
      <c r="I475" s="292"/>
      <c r="J475" s="292"/>
      <c r="K475" s="33"/>
      <c r="L475" s="33"/>
    </row>
    <row r="476" spans="1:12" ht="13.5" customHeight="1" x14ac:dyDescent="0.2">
      <c r="A476" s="293"/>
      <c r="B476" s="290"/>
      <c r="C476" s="289"/>
      <c r="D476" s="289"/>
      <c r="E476" s="289"/>
      <c r="F476" s="289"/>
      <c r="G476" s="291"/>
      <c r="H476" s="292"/>
      <c r="I476" s="292"/>
      <c r="J476" s="292"/>
      <c r="K476" s="33"/>
      <c r="L476" s="33"/>
    </row>
    <row r="477" spans="1:12" ht="13.5" customHeight="1" x14ac:dyDescent="0.2">
      <c r="A477" s="293"/>
      <c r="B477" s="290"/>
      <c r="C477" s="289"/>
      <c r="D477" s="289"/>
      <c r="E477" s="289"/>
      <c r="F477" s="289"/>
      <c r="G477" s="291"/>
      <c r="H477" s="292"/>
      <c r="I477" s="292"/>
      <c r="J477" s="292"/>
      <c r="K477" s="33"/>
      <c r="L477" s="33"/>
    </row>
    <row r="478" spans="1:12" ht="13.5" customHeight="1" x14ac:dyDescent="0.2">
      <c r="A478" s="293"/>
      <c r="B478" s="290"/>
      <c r="C478" s="289"/>
      <c r="D478" s="289"/>
      <c r="E478" s="289"/>
      <c r="F478" s="289"/>
      <c r="G478" s="291"/>
      <c r="H478" s="292"/>
      <c r="I478" s="292"/>
      <c r="J478" s="292"/>
      <c r="K478" s="33"/>
      <c r="L478" s="33"/>
    </row>
    <row r="479" spans="1:12" ht="13.5" customHeight="1" x14ac:dyDescent="0.2">
      <c r="A479" s="293"/>
      <c r="B479" s="290"/>
      <c r="C479" s="289"/>
      <c r="D479" s="289"/>
      <c r="E479" s="289"/>
      <c r="F479" s="289"/>
      <c r="G479" s="291"/>
      <c r="H479" s="292"/>
      <c r="I479" s="292"/>
      <c r="J479" s="292"/>
      <c r="K479" s="33"/>
      <c r="L479" s="33"/>
    </row>
    <row r="480" spans="1:12" ht="13.5" customHeight="1" x14ac:dyDescent="0.2">
      <c r="A480" s="293"/>
      <c r="B480" s="290"/>
      <c r="C480" s="289"/>
      <c r="D480" s="289"/>
      <c r="E480" s="289"/>
      <c r="F480" s="289"/>
      <c r="G480" s="291"/>
      <c r="H480" s="292"/>
      <c r="I480" s="292"/>
      <c r="J480" s="292"/>
      <c r="K480" s="33"/>
      <c r="L480" s="33"/>
    </row>
    <row r="481" spans="1:12" ht="13.5" customHeight="1" x14ac:dyDescent="0.2">
      <c r="A481" s="293"/>
      <c r="B481" s="290"/>
      <c r="C481" s="289"/>
      <c r="D481" s="289"/>
      <c r="E481" s="289"/>
      <c r="F481" s="289"/>
      <c r="G481" s="291"/>
      <c r="H481" s="292"/>
      <c r="I481" s="292"/>
      <c r="J481" s="292"/>
      <c r="K481" s="33"/>
      <c r="L481" s="33"/>
    </row>
    <row r="482" spans="1:12" ht="13.5" customHeight="1" x14ac:dyDescent="0.2">
      <c r="A482" s="293"/>
      <c r="B482" s="290"/>
      <c r="C482" s="289"/>
      <c r="D482" s="289"/>
      <c r="E482" s="289"/>
      <c r="F482" s="289"/>
      <c r="G482" s="291"/>
      <c r="H482" s="292"/>
      <c r="I482" s="292"/>
      <c r="J482" s="292"/>
      <c r="K482" s="33"/>
      <c r="L482" s="33"/>
    </row>
    <row r="483" spans="1:12" ht="13.5" customHeight="1" x14ac:dyDescent="0.2">
      <c r="A483" s="293"/>
      <c r="B483" s="290"/>
      <c r="C483" s="289"/>
      <c r="D483" s="289"/>
      <c r="E483" s="289"/>
      <c r="F483" s="289"/>
      <c r="G483" s="291"/>
      <c r="H483" s="292"/>
      <c r="I483" s="292"/>
      <c r="J483" s="292"/>
      <c r="K483" s="33"/>
      <c r="L483" s="33"/>
    </row>
    <row r="484" spans="1:12" ht="13.5" customHeight="1" x14ac:dyDescent="0.2">
      <c r="A484" s="293"/>
      <c r="B484" s="290"/>
      <c r="C484" s="289"/>
      <c r="D484" s="289"/>
      <c r="E484" s="289"/>
      <c r="F484" s="289"/>
      <c r="G484" s="291"/>
      <c r="H484" s="292"/>
      <c r="I484" s="292"/>
      <c r="J484" s="292"/>
      <c r="K484" s="33"/>
      <c r="L484" s="33"/>
    </row>
    <row r="485" spans="1:12" ht="13.5" customHeight="1" x14ac:dyDescent="0.2">
      <c r="A485" s="293"/>
      <c r="B485" s="290"/>
      <c r="C485" s="289"/>
      <c r="D485" s="289"/>
      <c r="E485" s="289"/>
      <c r="F485" s="289"/>
      <c r="G485" s="291"/>
      <c r="H485" s="292"/>
      <c r="I485" s="292"/>
      <c r="J485" s="292"/>
      <c r="K485" s="33"/>
      <c r="L485" s="33"/>
    </row>
    <row r="486" spans="1:12" ht="13.5" customHeight="1" x14ac:dyDescent="0.2">
      <c r="A486" s="293"/>
      <c r="B486" s="290"/>
      <c r="C486" s="289"/>
      <c r="D486" s="289"/>
      <c r="E486" s="289"/>
      <c r="F486" s="289"/>
      <c r="G486" s="291"/>
      <c r="H486" s="292"/>
      <c r="I486" s="292"/>
      <c r="J486" s="292"/>
      <c r="K486" s="33"/>
      <c r="L486" s="33"/>
    </row>
    <row r="487" spans="1:12" ht="13.5" customHeight="1" x14ac:dyDescent="0.2">
      <c r="A487" s="293"/>
      <c r="B487" s="290"/>
      <c r="C487" s="289"/>
      <c r="D487" s="289"/>
      <c r="E487" s="289"/>
      <c r="F487" s="289"/>
      <c r="G487" s="291"/>
      <c r="H487" s="292"/>
      <c r="I487" s="292"/>
      <c r="J487" s="292"/>
      <c r="K487" s="33"/>
      <c r="L487" s="33"/>
    </row>
    <row r="488" spans="1:12" ht="13.5" customHeight="1" x14ac:dyDescent="0.2">
      <c r="A488" s="293"/>
      <c r="B488" s="290"/>
      <c r="C488" s="289"/>
      <c r="D488" s="289"/>
      <c r="E488" s="289"/>
      <c r="F488" s="289"/>
      <c r="G488" s="291"/>
      <c r="H488" s="292"/>
      <c r="I488" s="292"/>
      <c r="J488" s="292"/>
      <c r="K488" s="33"/>
      <c r="L488" s="33"/>
    </row>
    <row r="489" spans="1:12" ht="13.5" customHeight="1" x14ac:dyDescent="0.2">
      <c r="A489" s="293"/>
      <c r="B489" s="290"/>
      <c r="C489" s="289"/>
      <c r="D489" s="289"/>
      <c r="E489" s="289"/>
      <c r="F489" s="289"/>
      <c r="G489" s="291"/>
      <c r="H489" s="292"/>
      <c r="I489" s="292"/>
      <c r="J489" s="292"/>
      <c r="K489" s="33"/>
      <c r="L489" s="33"/>
    </row>
    <row r="490" spans="1:12" ht="13.5" customHeight="1" x14ac:dyDescent="0.2">
      <c r="A490" s="293"/>
      <c r="B490" s="290"/>
      <c r="C490" s="289"/>
      <c r="D490" s="289"/>
      <c r="E490" s="289"/>
      <c r="F490" s="289"/>
      <c r="G490" s="291"/>
      <c r="H490" s="292"/>
      <c r="I490" s="292"/>
      <c r="J490" s="292"/>
      <c r="K490" s="33"/>
      <c r="L490" s="33"/>
    </row>
    <row r="491" spans="1:12" ht="13.5" customHeight="1" x14ac:dyDescent="0.2">
      <c r="A491" s="293"/>
      <c r="B491" s="290"/>
      <c r="C491" s="289"/>
      <c r="D491" s="289"/>
      <c r="E491" s="289"/>
      <c r="F491" s="289"/>
      <c r="G491" s="291"/>
      <c r="H491" s="292"/>
      <c r="I491" s="292"/>
      <c r="J491" s="292"/>
      <c r="K491" s="33"/>
      <c r="L491" s="33"/>
    </row>
    <row r="492" spans="1:12" ht="13.5" customHeight="1" x14ac:dyDescent="0.2">
      <c r="A492" s="293"/>
      <c r="B492" s="290"/>
      <c r="C492" s="289"/>
      <c r="D492" s="289"/>
      <c r="E492" s="289"/>
      <c r="F492" s="289"/>
      <c r="G492" s="291"/>
      <c r="H492" s="292"/>
      <c r="I492" s="292"/>
      <c r="J492" s="292"/>
      <c r="K492" s="33"/>
      <c r="L492" s="33"/>
    </row>
    <row r="493" spans="1:12" ht="13.5" customHeight="1" x14ac:dyDescent="0.2">
      <c r="A493" s="293"/>
      <c r="B493" s="290"/>
      <c r="C493" s="289"/>
      <c r="D493" s="289"/>
      <c r="E493" s="289"/>
      <c r="F493" s="289"/>
      <c r="G493" s="291"/>
      <c r="H493" s="292"/>
      <c r="I493" s="292"/>
      <c r="J493" s="292"/>
      <c r="K493" s="33"/>
      <c r="L493" s="33"/>
    </row>
    <row r="494" spans="1:12" ht="13.5" customHeight="1" x14ac:dyDescent="0.2">
      <c r="A494" s="293"/>
      <c r="B494" s="290"/>
      <c r="C494" s="289"/>
      <c r="D494" s="289"/>
      <c r="E494" s="289"/>
      <c r="F494" s="289"/>
      <c r="G494" s="291"/>
      <c r="H494" s="292"/>
      <c r="I494" s="292"/>
      <c r="J494" s="292"/>
      <c r="K494" s="33"/>
      <c r="L494" s="33"/>
    </row>
    <row r="495" spans="1:12" ht="13.5" customHeight="1" x14ac:dyDescent="0.2">
      <c r="A495" s="293"/>
      <c r="B495" s="290"/>
      <c r="C495" s="289"/>
      <c r="D495" s="289"/>
      <c r="E495" s="289"/>
      <c r="F495" s="289"/>
      <c r="G495" s="291"/>
      <c r="H495" s="292"/>
      <c r="I495" s="292"/>
      <c r="J495" s="292"/>
      <c r="K495" s="33"/>
      <c r="L495" s="33"/>
    </row>
    <row r="496" spans="1:12" ht="13.5" customHeight="1" x14ac:dyDescent="0.2">
      <c r="A496" s="293"/>
      <c r="B496" s="290"/>
      <c r="C496" s="289"/>
      <c r="D496" s="289"/>
      <c r="E496" s="289"/>
      <c r="F496" s="289"/>
      <c r="G496" s="291"/>
      <c r="H496" s="292"/>
      <c r="I496" s="292"/>
      <c r="J496" s="292"/>
      <c r="K496" s="33"/>
      <c r="L496" s="33"/>
    </row>
    <row r="497" spans="1:12" ht="13.5" customHeight="1" x14ac:dyDescent="0.2">
      <c r="A497" s="293"/>
      <c r="B497" s="290"/>
      <c r="C497" s="289"/>
      <c r="D497" s="289"/>
      <c r="E497" s="289"/>
      <c r="F497" s="289"/>
      <c r="G497" s="291"/>
      <c r="H497" s="292"/>
      <c r="I497" s="292"/>
      <c r="J497" s="292"/>
      <c r="K497" s="33"/>
      <c r="L497" s="33"/>
    </row>
    <row r="498" spans="1:12" ht="13.5" customHeight="1" x14ac:dyDescent="0.2">
      <c r="A498" s="293"/>
      <c r="B498" s="290"/>
      <c r="C498" s="289"/>
      <c r="D498" s="289"/>
      <c r="E498" s="289"/>
      <c r="F498" s="289"/>
      <c r="G498" s="291"/>
      <c r="H498" s="292"/>
      <c r="I498" s="292"/>
      <c r="J498" s="292"/>
      <c r="K498" s="33"/>
      <c r="L498" s="33"/>
    </row>
    <row r="499" spans="1:12" ht="13.5" customHeight="1" x14ac:dyDescent="0.2">
      <c r="A499" s="293"/>
      <c r="B499" s="290"/>
      <c r="C499" s="289"/>
      <c r="D499" s="289"/>
      <c r="E499" s="289"/>
      <c r="F499" s="289"/>
      <c r="G499" s="291"/>
      <c r="H499" s="292"/>
      <c r="I499" s="292"/>
      <c r="J499" s="292"/>
      <c r="K499" s="33"/>
      <c r="L499" s="33"/>
    </row>
    <row r="500" spans="1:12" ht="13.5" customHeight="1" x14ac:dyDescent="0.2">
      <c r="A500" s="293"/>
      <c r="B500" s="290"/>
      <c r="C500" s="289"/>
      <c r="D500" s="289"/>
      <c r="E500" s="289"/>
      <c r="F500" s="289"/>
      <c r="G500" s="291"/>
      <c r="H500" s="292"/>
      <c r="I500" s="292"/>
      <c r="J500" s="292"/>
      <c r="K500" s="33"/>
      <c r="L500" s="33"/>
    </row>
    <row r="501" spans="1:12" ht="13.5" customHeight="1" x14ac:dyDescent="0.2">
      <c r="A501" s="293"/>
      <c r="B501" s="290"/>
      <c r="C501" s="289"/>
      <c r="D501" s="289"/>
      <c r="E501" s="289"/>
      <c r="F501" s="289"/>
      <c r="G501" s="291"/>
      <c r="H501" s="292"/>
      <c r="I501" s="292"/>
      <c r="J501" s="292"/>
      <c r="K501" s="33"/>
      <c r="L501" s="33"/>
    </row>
    <row r="502" spans="1:12" ht="13.5" customHeight="1" x14ac:dyDescent="0.2">
      <c r="A502" s="293"/>
      <c r="B502" s="290"/>
      <c r="C502" s="289"/>
      <c r="D502" s="289"/>
      <c r="E502" s="289"/>
      <c r="F502" s="289"/>
      <c r="G502" s="291"/>
      <c r="H502" s="292"/>
      <c r="I502" s="292"/>
      <c r="J502" s="292"/>
      <c r="K502" s="33"/>
      <c r="L502" s="33"/>
    </row>
    <row r="503" spans="1:12" ht="13.5" customHeight="1" x14ac:dyDescent="0.2">
      <c r="A503" s="293"/>
      <c r="B503" s="290"/>
      <c r="C503" s="289"/>
      <c r="D503" s="289"/>
      <c r="E503" s="289"/>
      <c r="F503" s="289"/>
      <c r="G503" s="291"/>
      <c r="H503" s="292"/>
      <c r="I503" s="292"/>
      <c r="J503" s="292"/>
      <c r="K503" s="33"/>
      <c r="L503" s="33"/>
    </row>
    <row r="504" spans="1:12" ht="13.5" customHeight="1" x14ac:dyDescent="0.2">
      <c r="A504" s="293"/>
      <c r="B504" s="290"/>
      <c r="C504" s="289"/>
      <c r="D504" s="289"/>
      <c r="E504" s="289"/>
      <c r="F504" s="289"/>
      <c r="G504" s="291"/>
      <c r="H504" s="292"/>
      <c r="I504" s="292"/>
      <c r="J504" s="292"/>
      <c r="K504" s="33"/>
      <c r="L504" s="33"/>
    </row>
    <row r="505" spans="1:12" ht="13.5" customHeight="1" x14ac:dyDescent="0.2">
      <c r="A505" s="293"/>
      <c r="B505" s="290"/>
      <c r="C505" s="289"/>
      <c r="D505" s="289"/>
      <c r="E505" s="289"/>
      <c r="F505" s="289"/>
      <c r="G505" s="291"/>
      <c r="H505" s="292"/>
      <c r="I505" s="292"/>
      <c r="J505" s="292"/>
      <c r="K505" s="33"/>
      <c r="L505" s="33"/>
    </row>
    <row r="506" spans="1:12" ht="13.5" customHeight="1" x14ac:dyDescent="0.2">
      <c r="A506" s="293"/>
      <c r="B506" s="290"/>
      <c r="C506" s="289"/>
      <c r="D506" s="289"/>
      <c r="E506" s="289"/>
      <c r="F506" s="289"/>
      <c r="G506" s="291"/>
      <c r="H506" s="292"/>
      <c r="I506" s="292"/>
      <c r="J506" s="292"/>
      <c r="K506" s="33"/>
      <c r="L506" s="33"/>
    </row>
    <row r="507" spans="1:12" ht="13.5" customHeight="1" x14ac:dyDescent="0.2">
      <c r="A507" s="293"/>
      <c r="B507" s="290"/>
      <c r="C507" s="289"/>
      <c r="D507" s="289"/>
      <c r="E507" s="289"/>
      <c r="F507" s="289"/>
      <c r="G507" s="291"/>
      <c r="H507" s="292"/>
      <c r="I507" s="292"/>
      <c r="J507" s="292"/>
      <c r="K507" s="33"/>
      <c r="L507" s="33"/>
    </row>
    <row r="508" spans="1:12" ht="13.5" customHeight="1" x14ac:dyDescent="0.2">
      <c r="A508" s="293"/>
      <c r="B508" s="290"/>
      <c r="C508" s="289"/>
      <c r="D508" s="289"/>
      <c r="E508" s="289"/>
      <c r="F508" s="289"/>
      <c r="G508" s="291"/>
      <c r="H508" s="292"/>
      <c r="I508" s="292"/>
      <c r="J508" s="292"/>
      <c r="K508" s="33"/>
      <c r="L508" s="33"/>
    </row>
    <row r="509" spans="1:12" ht="13.5" customHeight="1" x14ac:dyDescent="0.2">
      <c r="A509" s="293"/>
      <c r="B509" s="290"/>
      <c r="C509" s="289"/>
      <c r="D509" s="289"/>
      <c r="E509" s="289"/>
      <c r="F509" s="289"/>
      <c r="G509" s="291"/>
      <c r="H509" s="292"/>
      <c r="I509" s="292"/>
      <c r="J509" s="292"/>
      <c r="K509" s="33"/>
      <c r="L509" s="33"/>
    </row>
    <row r="510" spans="1:12" ht="13.5" customHeight="1" x14ac:dyDescent="0.2">
      <c r="A510" s="293"/>
      <c r="B510" s="290"/>
      <c r="C510" s="289"/>
      <c r="D510" s="289"/>
      <c r="E510" s="289"/>
      <c r="F510" s="289"/>
      <c r="G510" s="291"/>
      <c r="H510" s="292"/>
      <c r="I510" s="292"/>
      <c r="J510" s="292"/>
      <c r="K510" s="33"/>
      <c r="L510" s="33"/>
    </row>
    <row r="511" spans="1:12" ht="13.5" customHeight="1" x14ac:dyDescent="0.2">
      <c r="A511" s="293"/>
      <c r="B511" s="290"/>
      <c r="C511" s="289"/>
      <c r="D511" s="289"/>
      <c r="E511" s="289"/>
      <c r="F511" s="289"/>
      <c r="G511" s="291"/>
      <c r="H511" s="292"/>
      <c r="I511" s="292"/>
      <c r="J511" s="292"/>
      <c r="K511" s="33"/>
      <c r="L511" s="33"/>
    </row>
    <row r="512" spans="1:12" ht="13.5" customHeight="1" x14ac:dyDescent="0.2">
      <c r="A512" s="293"/>
      <c r="B512" s="290"/>
      <c r="C512" s="289"/>
      <c r="D512" s="289"/>
      <c r="E512" s="289"/>
      <c r="F512" s="289"/>
      <c r="G512" s="291"/>
      <c r="H512" s="292"/>
      <c r="I512" s="292"/>
      <c r="J512" s="292"/>
      <c r="K512" s="33"/>
      <c r="L512" s="33"/>
    </row>
    <row r="513" spans="1:12" ht="13.5" customHeight="1" x14ac:dyDescent="0.2">
      <c r="A513" s="293"/>
      <c r="B513" s="290"/>
      <c r="C513" s="289"/>
      <c r="D513" s="289"/>
      <c r="E513" s="289"/>
      <c r="F513" s="289"/>
      <c r="G513" s="291"/>
      <c r="H513" s="292"/>
      <c r="I513" s="292"/>
      <c r="J513" s="292"/>
      <c r="K513" s="33"/>
      <c r="L513" s="33"/>
    </row>
    <row r="514" spans="1:12" ht="13.5" customHeight="1" x14ac:dyDescent="0.2">
      <c r="A514" s="293"/>
      <c r="B514" s="290"/>
      <c r="C514" s="289"/>
      <c r="D514" s="289"/>
      <c r="E514" s="289"/>
      <c r="F514" s="289"/>
      <c r="G514" s="291"/>
      <c r="H514" s="292"/>
      <c r="I514" s="292"/>
      <c r="J514" s="292"/>
      <c r="K514" s="33"/>
      <c r="L514" s="33"/>
    </row>
    <row r="515" spans="1:12" ht="13.5" customHeight="1" x14ac:dyDescent="0.2">
      <c r="A515" s="293"/>
      <c r="B515" s="290"/>
      <c r="C515" s="289"/>
      <c r="D515" s="289"/>
      <c r="E515" s="289"/>
      <c r="F515" s="289"/>
      <c r="G515" s="291"/>
      <c r="H515" s="292"/>
      <c r="I515" s="292"/>
      <c r="J515" s="292"/>
      <c r="K515" s="33"/>
      <c r="L515" s="33"/>
    </row>
    <row r="516" spans="1:12" ht="13.5" customHeight="1" x14ac:dyDescent="0.2">
      <c r="A516" s="293"/>
      <c r="B516" s="290"/>
      <c r="C516" s="289"/>
      <c r="D516" s="289"/>
      <c r="E516" s="289"/>
      <c r="F516" s="289"/>
      <c r="G516" s="291"/>
      <c r="H516" s="292"/>
      <c r="I516" s="292"/>
      <c r="J516" s="292"/>
      <c r="K516" s="33"/>
      <c r="L516" s="33"/>
    </row>
    <row r="517" spans="1:12" ht="13.5" customHeight="1" x14ac:dyDescent="0.2">
      <c r="A517" s="293"/>
      <c r="B517" s="290"/>
      <c r="C517" s="289"/>
      <c r="D517" s="289"/>
      <c r="E517" s="289"/>
      <c r="F517" s="289"/>
      <c r="G517" s="291"/>
      <c r="H517" s="292"/>
      <c r="I517" s="292"/>
      <c r="J517" s="292"/>
      <c r="K517" s="33"/>
      <c r="L517" s="33"/>
    </row>
    <row r="518" spans="1:12" ht="13.5" customHeight="1" x14ac:dyDescent="0.2">
      <c r="A518" s="293"/>
      <c r="B518" s="290"/>
      <c r="C518" s="289"/>
      <c r="D518" s="289"/>
      <c r="E518" s="289"/>
      <c r="F518" s="289"/>
      <c r="G518" s="291"/>
      <c r="H518" s="292"/>
      <c r="I518" s="292"/>
      <c r="J518" s="292"/>
      <c r="K518" s="33"/>
      <c r="L518" s="33"/>
    </row>
    <row r="519" spans="1:12" ht="13.5" customHeight="1" x14ac:dyDescent="0.2">
      <c r="A519" s="293"/>
      <c r="B519" s="290"/>
      <c r="C519" s="289"/>
      <c r="D519" s="289"/>
      <c r="E519" s="289"/>
      <c r="F519" s="289"/>
      <c r="G519" s="291"/>
      <c r="H519" s="292"/>
      <c r="I519" s="292"/>
      <c r="J519" s="292"/>
      <c r="K519" s="33"/>
      <c r="L519" s="33"/>
    </row>
    <row r="520" spans="1:12" ht="13.5" customHeight="1" x14ac:dyDescent="0.2">
      <c r="A520" s="293"/>
      <c r="B520" s="290"/>
      <c r="C520" s="289"/>
      <c r="D520" s="289"/>
      <c r="E520" s="289"/>
      <c r="F520" s="289"/>
      <c r="G520" s="291"/>
      <c r="H520" s="292"/>
      <c r="I520" s="292"/>
      <c r="J520" s="292"/>
      <c r="K520" s="33"/>
      <c r="L520" s="33"/>
    </row>
    <row r="521" spans="1:12" ht="13.5" customHeight="1" x14ac:dyDescent="0.2">
      <c r="A521" s="293"/>
      <c r="B521" s="290"/>
      <c r="C521" s="289"/>
      <c r="D521" s="289"/>
      <c r="E521" s="289"/>
      <c r="F521" s="289"/>
      <c r="G521" s="291"/>
      <c r="H521" s="292"/>
      <c r="I521" s="292"/>
      <c r="J521" s="292"/>
      <c r="K521" s="33"/>
      <c r="L521" s="33"/>
    </row>
    <row r="522" spans="1:12" ht="13.5" customHeight="1" x14ac:dyDescent="0.2">
      <c r="A522" s="293"/>
      <c r="B522" s="290"/>
      <c r="C522" s="289"/>
      <c r="D522" s="289"/>
      <c r="E522" s="289"/>
      <c r="F522" s="289"/>
      <c r="G522" s="291"/>
      <c r="H522" s="292"/>
      <c r="I522" s="292"/>
      <c r="J522" s="292"/>
      <c r="K522" s="33"/>
      <c r="L522" s="33"/>
    </row>
    <row r="523" spans="1:12" ht="13.5" customHeight="1" x14ac:dyDescent="0.2">
      <c r="A523" s="293"/>
      <c r="B523" s="290"/>
      <c r="C523" s="289"/>
      <c r="D523" s="289"/>
      <c r="E523" s="289"/>
      <c r="F523" s="289"/>
      <c r="G523" s="291"/>
      <c r="H523" s="292"/>
      <c r="I523" s="292"/>
      <c r="J523" s="292"/>
      <c r="K523" s="33"/>
      <c r="L523" s="33"/>
    </row>
    <row r="524" spans="1:12" ht="13.5" customHeight="1" x14ac:dyDescent="0.2">
      <c r="A524" s="293"/>
      <c r="B524" s="290"/>
      <c r="C524" s="289"/>
      <c r="D524" s="289"/>
      <c r="E524" s="289"/>
      <c r="F524" s="289"/>
      <c r="G524" s="291"/>
      <c r="H524" s="292"/>
      <c r="I524" s="292"/>
      <c r="J524" s="292"/>
      <c r="K524" s="33"/>
      <c r="L524" s="33"/>
    </row>
    <row r="525" spans="1:12" ht="13.5" customHeight="1" x14ac:dyDescent="0.2">
      <c r="A525" s="293"/>
      <c r="B525" s="294"/>
      <c r="C525" s="295"/>
      <c r="D525" s="295"/>
      <c r="E525" s="295"/>
      <c r="F525" s="295"/>
      <c r="G525" s="296"/>
      <c r="H525" s="297"/>
      <c r="I525" s="297"/>
      <c r="J525" s="297"/>
      <c r="K525" s="33"/>
      <c r="L525" s="33"/>
    </row>
    <row r="526" spans="1:12" ht="13.5" customHeight="1" x14ac:dyDescent="0.2">
      <c r="A526" s="293"/>
      <c r="B526" s="294"/>
      <c r="C526" s="295"/>
      <c r="D526" s="295"/>
      <c r="E526" s="295"/>
      <c r="F526" s="295"/>
      <c r="G526" s="296"/>
      <c r="H526" s="297"/>
      <c r="I526" s="297"/>
      <c r="J526" s="297"/>
      <c r="K526" s="33"/>
      <c r="L526" s="33"/>
    </row>
    <row r="527" spans="1:12" ht="13.5" customHeight="1" x14ac:dyDescent="0.2">
      <c r="A527" s="293"/>
      <c r="B527" s="294"/>
      <c r="C527" s="295"/>
      <c r="D527" s="295"/>
      <c r="E527" s="295"/>
      <c r="F527" s="295"/>
      <c r="G527" s="296"/>
      <c r="H527" s="297"/>
      <c r="I527" s="297"/>
      <c r="J527" s="297"/>
      <c r="K527" s="33"/>
      <c r="L527" s="33"/>
    </row>
    <row r="528" spans="1:12" ht="13.5" customHeight="1" x14ac:dyDescent="0.2">
      <c r="A528" s="293"/>
      <c r="B528" s="294"/>
      <c r="C528" s="295"/>
      <c r="D528" s="295"/>
      <c r="E528" s="295"/>
      <c r="F528" s="295"/>
      <c r="G528" s="296"/>
      <c r="H528" s="297"/>
      <c r="I528" s="297"/>
      <c r="J528" s="297"/>
      <c r="K528" s="33"/>
      <c r="L528" s="33"/>
    </row>
    <row r="529" spans="1:12" ht="13.5" customHeight="1" x14ac:dyDescent="0.2">
      <c r="A529" s="293"/>
      <c r="B529" s="294"/>
      <c r="C529" s="295"/>
      <c r="D529" s="295"/>
      <c r="E529" s="295"/>
      <c r="F529" s="295"/>
      <c r="G529" s="296"/>
      <c r="H529" s="297"/>
      <c r="I529" s="297"/>
      <c r="J529" s="297"/>
      <c r="K529" s="33"/>
      <c r="L529" s="33"/>
    </row>
    <row r="530" spans="1:12" ht="13.5" customHeight="1" x14ac:dyDescent="0.2">
      <c r="A530" s="293"/>
      <c r="B530" s="294"/>
      <c r="C530" s="295"/>
      <c r="D530" s="295"/>
      <c r="E530" s="295"/>
      <c r="F530" s="295"/>
      <c r="G530" s="296"/>
      <c r="H530" s="297"/>
      <c r="I530" s="297"/>
      <c r="J530" s="297"/>
      <c r="K530" s="33"/>
      <c r="L530" s="33"/>
    </row>
    <row r="531" spans="1:12" ht="13.5" customHeight="1" x14ac:dyDescent="0.2">
      <c r="A531" s="293"/>
      <c r="B531" s="294"/>
      <c r="C531" s="295"/>
      <c r="D531" s="295"/>
      <c r="E531" s="295"/>
      <c r="F531" s="295"/>
      <c r="G531" s="296"/>
      <c r="H531" s="297"/>
      <c r="I531" s="297"/>
      <c r="J531" s="297"/>
      <c r="K531" s="33"/>
      <c r="L531" s="33"/>
    </row>
    <row r="532" spans="1:12" ht="13.5" customHeight="1" x14ac:dyDescent="0.2">
      <c r="A532" s="293"/>
      <c r="B532" s="294"/>
      <c r="C532" s="295"/>
      <c r="D532" s="295"/>
      <c r="E532" s="295"/>
      <c r="F532" s="295"/>
      <c r="G532" s="296"/>
      <c r="H532" s="297"/>
      <c r="I532" s="297"/>
      <c r="J532" s="297"/>
      <c r="K532" s="33"/>
      <c r="L532" s="33"/>
    </row>
    <row r="533" spans="1:12" ht="13.5" customHeight="1" x14ac:dyDescent="0.2">
      <c r="A533" s="293"/>
      <c r="B533" s="294"/>
      <c r="C533" s="295"/>
      <c r="D533" s="295"/>
      <c r="E533" s="295"/>
      <c r="F533" s="295"/>
      <c r="G533" s="296"/>
      <c r="H533" s="297"/>
      <c r="I533" s="297"/>
      <c r="J533" s="297"/>
      <c r="K533" s="33"/>
      <c r="L533" s="33"/>
    </row>
    <row r="534" spans="1:12" ht="13.5" customHeight="1" x14ac:dyDescent="0.2">
      <c r="A534" s="293"/>
      <c r="B534" s="294"/>
      <c r="C534" s="295"/>
      <c r="D534" s="295"/>
      <c r="E534" s="295"/>
      <c r="F534" s="295"/>
      <c r="G534" s="296"/>
      <c r="H534" s="297"/>
      <c r="I534" s="297"/>
      <c r="J534" s="297"/>
      <c r="K534" s="33"/>
      <c r="L534" s="33"/>
    </row>
    <row r="535" spans="1:12" ht="13.5" customHeight="1" x14ac:dyDescent="0.2">
      <c r="A535" s="293"/>
      <c r="B535" s="294"/>
      <c r="C535" s="295"/>
      <c r="D535" s="295"/>
      <c r="E535" s="295"/>
      <c r="F535" s="295"/>
      <c r="G535" s="296"/>
      <c r="H535" s="297"/>
      <c r="I535" s="297"/>
      <c r="J535" s="297"/>
      <c r="K535" s="33"/>
      <c r="L535" s="33"/>
    </row>
    <row r="536" spans="1:12" ht="13.5" customHeight="1" x14ac:dyDescent="0.2">
      <c r="A536" s="293"/>
      <c r="B536" s="294"/>
      <c r="C536" s="295"/>
      <c r="D536" s="295"/>
      <c r="E536" s="295"/>
      <c r="F536" s="295"/>
      <c r="G536" s="296"/>
      <c r="H536" s="297"/>
      <c r="I536" s="297"/>
      <c r="J536" s="297"/>
      <c r="K536" s="33"/>
      <c r="L536" s="33"/>
    </row>
    <row r="537" spans="1:12" ht="13.5" customHeight="1" x14ac:dyDescent="0.2">
      <c r="A537" s="293"/>
      <c r="B537" s="294"/>
      <c r="C537" s="295"/>
      <c r="D537" s="295"/>
      <c r="E537" s="295"/>
      <c r="F537" s="295"/>
      <c r="G537" s="296"/>
      <c r="H537" s="297"/>
      <c r="I537" s="297"/>
      <c r="J537" s="297"/>
      <c r="K537" s="33"/>
      <c r="L537" s="33"/>
    </row>
    <row r="538" spans="1:12" ht="13.5" customHeight="1" x14ac:dyDescent="0.2">
      <c r="A538" s="293"/>
      <c r="B538" s="294"/>
      <c r="C538" s="295"/>
      <c r="D538" s="295"/>
      <c r="E538" s="295"/>
      <c r="F538" s="295"/>
      <c r="G538" s="296"/>
      <c r="H538" s="297"/>
      <c r="I538" s="297"/>
      <c r="J538" s="297"/>
      <c r="K538" s="33"/>
      <c r="L538" s="33"/>
    </row>
    <row r="539" spans="1:12" ht="13.5" customHeight="1" x14ac:dyDescent="0.2">
      <c r="A539" s="293"/>
      <c r="B539" s="294"/>
      <c r="C539" s="295"/>
      <c r="D539" s="295"/>
      <c r="E539" s="295"/>
      <c r="F539" s="295"/>
      <c r="G539" s="296"/>
      <c r="H539" s="297"/>
      <c r="I539" s="297"/>
      <c r="J539" s="297"/>
      <c r="K539" s="33"/>
      <c r="L539" s="33"/>
    </row>
    <row r="540" spans="1:12" ht="13.5" customHeight="1" x14ac:dyDescent="0.2">
      <c r="A540" s="293"/>
      <c r="B540" s="294"/>
      <c r="C540" s="295"/>
      <c r="D540" s="295"/>
      <c r="E540" s="295"/>
      <c r="F540" s="295"/>
      <c r="G540" s="296"/>
      <c r="H540" s="297"/>
      <c r="I540" s="297"/>
      <c r="J540" s="297"/>
      <c r="K540" s="33"/>
      <c r="L540" s="33"/>
    </row>
    <row r="541" spans="1:12" ht="13.5" customHeight="1" x14ac:dyDescent="0.2">
      <c r="A541" s="293"/>
      <c r="B541" s="294"/>
      <c r="C541" s="295"/>
      <c r="D541" s="295"/>
      <c r="E541" s="295"/>
      <c r="F541" s="295"/>
      <c r="G541" s="296"/>
      <c r="H541" s="297"/>
      <c r="I541" s="297"/>
      <c r="J541" s="297"/>
      <c r="K541" s="33"/>
      <c r="L541" s="33"/>
    </row>
    <row r="542" spans="1:12" ht="13.5" customHeight="1" x14ac:dyDescent="0.2">
      <c r="A542" s="293"/>
      <c r="B542" s="294"/>
      <c r="C542" s="295"/>
      <c r="D542" s="295"/>
      <c r="E542" s="295"/>
      <c r="F542" s="295"/>
      <c r="G542" s="296"/>
      <c r="H542" s="297"/>
      <c r="I542" s="297"/>
      <c r="J542" s="297"/>
      <c r="K542" s="33"/>
      <c r="L542" s="33"/>
    </row>
    <row r="543" spans="1:12" ht="13.5" customHeight="1" x14ac:dyDescent="0.2">
      <c r="A543" s="293"/>
      <c r="B543" s="294"/>
      <c r="C543" s="295"/>
      <c r="D543" s="295"/>
      <c r="E543" s="295"/>
      <c r="F543" s="295"/>
      <c r="G543" s="296"/>
      <c r="H543" s="297"/>
      <c r="I543" s="297"/>
      <c r="J543" s="297"/>
      <c r="K543" s="33"/>
      <c r="L543" s="33"/>
    </row>
    <row r="544" spans="1:12" ht="13.5" customHeight="1" x14ac:dyDescent="0.2">
      <c r="A544" s="293"/>
      <c r="B544" s="294"/>
      <c r="C544" s="295"/>
      <c r="D544" s="295"/>
      <c r="E544" s="295"/>
      <c r="F544" s="295"/>
      <c r="G544" s="296"/>
      <c r="H544" s="297"/>
      <c r="I544" s="297"/>
      <c r="J544" s="297"/>
      <c r="K544" s="33"/>
      <c r="L544" s="33"/>
    </row>
    <row r="545" spans="1:12" ht="13.5" customHeight="1" x14ac:dyDescent="0.2">
      <c r="A545" s="293"/>
      <c r="B545" s="294"/>
      <c r="C545" s="295"/>
      <c r="D545" s="295"/>
      <c r="E545" s="295"/>
      <c r="F545" s="295"/>
      <c r="G545" s="296"/>
      <c r="H545" s="297"/>
      <c r="I545" s="297"/>
      <c r="J545" s="297"/>
      <c r="K545" s="33"/>
      <c r="L545" s="33"/>
    </row>
    <row r="546" spans="1:12" ht="13.5" customHeight="1" x14ac:dyDescent="0.2">
      <c r="A546" s="293"/>
      <c r="B546" s="294"/>
      <c r="C546" s="295"/>
      <c r="D546" s="295"/>
      <c r="E546" s="295"/>
      <c r="F546" s="295"/>
      <c r="G546" s="296"/>
      <c r="H546" s="297"/>
      <c r="I546" s="297"/>
      <c r="J546" s="297"/>
      <c r="K546" s="33"/>
      <c r="L546" s="33"/>
    </row>
    <row r="547" spans="1:12" ht="13.5" customHeight="1" x14ac:dyDescent="0.2">
      <c r="A547" s="293"/>
      <c r="B547" s="294"/>
      <c r="C547" s="295"/>
      <c r="D547" s="295"/>
      <c r="E547" s="295"/>
      <c r="F547" s="295"/>
      <c r="G547" s="296"/>
      <c r="H547" s="297"/>
      <c r="I547" s="297"/>
      <c r="J547" s="297"/>
      <c r="K547" s="33"/>
      <c r="L547" s="33"/>
    </row>
    <row r="548" spans="1:12" ht="13.5" customHeight="1" x14ac:dyDescent="0.2">
      <c r="A548" s="293"/>
      <c r="B548" s="294"/>
      <c r="C548" s="295"/>
      <c r="D548" s="295"/>
      <c r="E548" s="295"/>
      <c r="F548" s="295"/>
      <c r="G548" s="296"/>
      <c r="H548" s="297"/>
      <c r="I548" s="297"/>
      <c r="J548" s="297"/>
      <c r="K548" s="33"/>
      <c r="L548" s="33"/>
    </row>
    <row r="549" spans="1:12" ht="13.5" customHeight="1" x14ac:dyDescent="0.2">
      <c r="A549" s="293"/>
      <c r="B549" s="294"/>
      <c r="C549" s="295"/>
      <c r="D549" s="295"/>
      <c r="E549" s="295"/>
      <c r="F549" s="295"/>
      <c r="G549" s="296"/>
      <c r="H549" s="297"/>
      <c r="I549" s="297"/>
      <c r="J549" s="297"/>
      <c r="K549" s="33"/>
      <c r="L549" s="33"/>
    </row>
    <row r="550" spans="1:12" ht="13.5" customHeight="1" x14ac:dyDescent="0.2">
      <c r="A550" s="293"/>
      <c r="B550" s="294"/>
      <c r="C550" s="295"/>
      <c r="D550" s="295"/>
      <c r="E550" s="295"/>
      <c r="F550" s="295"/>
      <c r="G550" s="296"/>
      <c r="H550" s="297"/>
      <c r="I550" s="297"/>
      <c r="J550" s="297"/>
      <c r="K550" s="33"/>
      <c r="L550" s="33"/>
    </row>
    <row r="551" spans="1:12" ht="13.5" customHeight="1" x14ac:dyDescent="0.2">
      <c r="A551" s="293"/>
      <c r="B551" s="294"/>
      <c r="C551" s="295"/>
      <c r="D551" s="295"/>
      <c r="E551" s="295"/>
      <c r="F551" s="295"/>
      <c r="G551" s="296"/>
      <c r="H551" s="297"/>
      <c r="I551" s="297"/>
      <c r="J551" s="297"/>
      <c r="K551" s="33"/>
      <c r="L551" s="33"/>
    </row>
    <row r="552" spans="1:12" ht="13.5" customHeight="1" x14ac:dyDescent="0.2">
      <c r="A552" s="293"/>
      <c r="B552" s="294"/>
      <c r="C552" s="295"/>
      <c r="D552" s="295"/>
      <c r="E552" s="295"/>
      <c r="F552" s="295"/>
      <c r="G552" s="296"/>
      <c r="H552" s="297"/>
      <c r="I552" s="297"/>
      <c r="J552" s="297"/>
      <c r="K552" s="33"/>
      <c r="L552" s="33"/>
    </row>
    <row r="553" spans="1:12" ht="13.5" customHeight="1" x14ac:dyDescent="0.2">
      <c r="A553" s="293"/>
      <c r="B553" s="294"/>
      <c r="C553" s="295"/>
      <c r="D553" s="295"/>
      <c r="E553" s="295"/>
      <c r="F553" s="295"/>
      <c r="G553" s="296"/>
      <c r="H553" s="297"/>
      <c r="I553" s="297"/>
      <c r="J553" s="297"/>
      <c r="K553" s="33"/>
      <c r="L553" s="33"/>
    </row>
    <row r="554" spans="1:12" ht="13.5" customHeight="1" x14ac:dyDescent="0.2">
      <c r="A554" s="293"/>
      <c r="B554" s="294"/>
      <c r="C554" s="295"/>
      <c r="D554" s="295"/>
      <c r="E554" s="295"/>
      <c r="F554" s="295"/>
      <c r="G554" s="296"/>
      <c r="H554" s="297"/>
      <c r="I554" s="297"/>
      <c r="J554" s="297"/>
      <c r="K554" s="33"/>
      <c r="L554" s="33"/>
    </row>
    <row r="555" spans="1:12" ht="13.5" customHeight="1" x14ac:dyDescent="0.2">
      <c r="A555" s="293"/>
      <c r="B555" s="294"/>
      <c r="C555" s="295"/>
      <c r="D555" s="295"/>
      <c r="E555" s="295"/>
      <c r="F555" s="295"/>
      <c r="G555" s="296"/>
      <c r="H555" s="297"/>
      <c r="I555" s="297"/>
      <c r="J555" s="297"/>
      <c r="K555" s="33"/>
      <c r="L555" s="33"/>
    </row>
    <row r="556" spans="1:12" ht="13.5" customHeight="1" x14ac:dyDescent="0.2">
      <c r="A556" s="293"/>
      <c r="B556" s="294"/>
      <c r="C556" s="295"/>
      <c r="D556" s="295"/>
      <c r="E556" s="295"/>
      <c r="F556" s="295"/>
      <c r="G556" s="296"/>
      <c r="H556" s="297"/>
      <c r="I556" s="297"/>
      <c r="J556" s="297"/>
      <c r="K556" s="33"/>
      <c r="L556" s="33"/>
    </row>
    <row r="557" spans="1:12" ht="13.5" customHeight="1" x14ac:dyDescent="0.2">
      <c r="A557" s="293"/>
      <c r="B557" s="294"/>
      <c r="C557" s="295"/>
      <c r="D557" s="295"/>
      <c r="E557" s="295"/>
      <c r="F557" s="295"/>
      <c r="G557" s="296"/>
      <c r="H557" s="297"/>
      <c r="I557" s="297"/>
      <c r="J557" s="297"/>
      <c r="K557" s="33"/>
      <c r="L557" s="33"/>
    </row>
    <row r="558" spans="1:12" ht="13.5" customHeight="1" x14ac:dyDescent="0.2">
      <c r="A558" s="293"/>
      <c r="B558" s="294"/>
      <c r="C558" s="295"/>
      <c r="D558" s="295"/>
      <c r="E558" s="295"/>
      <c r="F558" s="295"/>
      <c r="G558" s="296"/>
      <c r="H558" s="297"/>
      <c r="I558" s="297"/>
      <c r="J558" s="297"/>
      <c r="K558" s="33"/>
      <c r="L558" s="33"/>
    </row>
    <row r="559" spans="1:12" ht="13.5" customHeight="1" x14ac:dyDescent="0.2">
      <c r="A559" s="293"/>
      <c r="B559" s="294"/>
      <c r="C559" s="295"/>
      <c r="D559" s="295"/>
      <c r="E559" s="295"/>
      <c r="F559" s="295"/>
      <c r="G559" s="296"/>
      <c r="H559" s="297"/>
      <c r="I559" s="297"/>
      <c r="J559" s="297"/>
      <c r="K559" s="33"/>
      <c r="L559" s="33"/>
    </row>
    <row r="560" spans="1:12" ht="13.5" customHeight="1" x14ac:dyDescent="0.2">
      <c r="A560" s="293"/>
      <c r="B560" s="294"/>
      <c r="C560" s="295"/>
      <c r="D560" s="295"/>
      <c r="E560" s="295"/>
      <c r="F560" s="295"/>
      <c r="G560" s="296"/>
      <c r="H560" s="297"/>
      <c r="I560" s="297"/>
      <c r="J560" s="297"/>
      <c r="K560" s="33"/>
      <c r="L560" s="33"/>
    </row>
    <row r="561" spans="1:12" ht="13.5" customHeight="1" x14ac:dyDescent="0.2">
      <c r="A561" s="293"/>
      <c r="B561" s="294"/>
      <c r="C561" s="295"/>
      <c r="D561" s="295"/>
      <c r="E561" s="295"/>
      <c r="F561" s="295"/>
      <c r="G561" s="296"/>
      <c r="H561" s="297"/>
      <c r="I561" s="297"/>
      <c r="J561" s="297"/>
      <c r="K561" s="33"/>
      <c r="L561" s="33"/>
    </row>
    <row r="562" spans="1:12" ht="13.5" customHeight="1" x14ac:dyDescent="0.2">
      <c r="A562" s="293"/>
      <c r="B562" s="294"/>
      <c r="C562" s="295"/>
      <c r="D562" s="295"/>
      <c r="E562" s="295"/>
      <c r="F562" s="295"/>
      <c r="G562" s="296"/>
      <c r="H562" s="297"/>
      <c r="I562" s="297"/>
      <c r="J562" s="297"/>
      <c r="K562" s="33"/>
      <c r="L562" s="33"/>
    </row>
    <row r="563" spans="1:12" ht="13.5" customHeight="1" x14ac:dyDescent="0.2">
      <c r="A563" s="293"/>
      <c r="B563" s="294"/>
      <c r="C563" s="295"/>
      <c r="D563" s="295"/>
      <c r="E563" s="295"/>
      <c r="F563" s="295"/>
      <c r="G563" s="296"/>
      <c r="H563" s="297"/>
      <c r="I563" s="297"/>
      <c r="J563" s="297"/>
      <c r="K563" s="33"/>
      <c r="L563" s="33"/>
    </row>
    <row r="564" spans="1:12" ht="13.5" customHeight="1" x14ac:dyDescent="0.2">
      <c r="A564" s="293"/>
      <c r="B564" s="294"/>
      <c r="C564" s="295"/>
      <c r="D564" s="295"/>
      <c r="E564" s="295"/>
      <c r="F564" s="295"/>
      <c r="G564" s="296"/>
      <c r="H564" s="297"/>
      <c r="I564" s="297"/>
      <c r="J564" s="297"/>
      <c r="K564" s="33"/>
      <c r="L564" s="33"/>
    </row>
    <row r="565" spans="1:12" ht="13.5" customHeight="1" x14ac:dyDescent="0.2">
      <c r="A565" s="293"/>
      <c r="B565" s="294"/>
      <c r="C565" s="295"/>
      <c r="D565" s="295"/>
      <c r="E565" s="295"/>
      <c r="F565" s="295"/>
      <c r="G565" s="296"/>
      <c r="H565" s="297"/>
      <c r="I565" s="297"/>
      <c r="J565" s="297"/>
      <c r="K565" s="33"/>
      <c r="L565" s="33"/>
    </row>
    <row r="566" spans="1:12" ht="13.5" customHeight="1" x14ac:dyDescent="0.2">
      <c r="A566" s="293"/>
      <c r="B566" s="294"/>
      <c r="C566" s="295"/>
      <c r="D566" s="295"/>
      <c r="E566" s="295"/>
      <c r="F566" s="295"/>
      <c r="G566" s="296"/>
      <c r="H566" s="297"/>
      <c r="I566" s="297"/>
      <c r="J566" s="297"/>
      <c r="K566" s="33"/>
      <c r="L566" s="33"/>
    </row>
    <row r="567" spans="1:12" ht="13.5" customHeight="1" x14ac:dyDescent="0.2">
      <c r="A567" s="293"/>
      <c r="B567" s="294"/>
      <c r="C567" s="295"/>
      <c r="D567" s="295"/>
      <c r="E567" s="295"/>
      <c r="F567" s="295"/>
      <c r="G567" s="296"/>
      <c r="H567" s="297"/>
      <c r="I567" s="297"/>
      <c r="J567" s="297"/>
      <c r="K567" s="33"/>
      <c r="L567" s="33"/>
    </row>
    <row r="568" spans="1:12" ht="13.5" customHeight="1" x14ac:dyDescent="0.2">
      <c r="A568" s="293"/>
      <c r="B568" s="294"/>
      <c r="C568" s="295"/>
      <c r="D568" s="295"/>
      <c r="E568" s="295"/>
      <c r="F568" s="295"/>
      <c r="G568" s="296"/>
      <c r="H568" s="297"/>
      <c r="I568" s="297"/>
      <c r="J568" s="297"/>
      <c r="K568" s="33"/>
      <c r="L568" s="33"/>
    </row>
    <row r="569" spans="1:12" ht="13.5" customHeight="1" x14ac:dyDescent="0.2">
      <c r="A569" s="293"/>
      <c r="B569" s="294"/>
      <c r="C569" s="295"/>
      <c r="D569" s="295"/>
      <c r="E569" s="295"/>
      <c r="F569" s="295"/>
      <c r="G569" s="296"/>
      <c r="H569" s="297"/>
      <c r="I569" s="297"/>
      <c r="J569" s="297"/>
      <c r="K569" s="33"/>
      <c r="L569" s="33"/>
    </row>
    <row r="570" spans="1:12" ht="13.5" customHeight="1" x14ac:dyDescent="0.2">
      <c r="A570" s="293"/>
      <c r="B570" s="294"/>
      <c r="C570" s="295"/>
      <c r="D570" s="295"/>
      <c r="E570" s="295"/>
      <c r="F570" s="295"/>
      <c r="G570" s="296"/>
      <c r="H570" s="297"/>
      <c r="I570" s="297"/>
      <c r="J570" s="297"/>
      <c r="K570" s="33"/>
      <c r="L570" s="33"/>
    </row>
    <row r="571" spans="1:12" ht="13.5" customHeight="1" x14ac:dyDescent="0.2">
      <c r="A571" s="293"/>
      <c r="B571" s="294"/>
      <c r="C571" s="295"/>
      <c r="D571" s="295"/>
      <c r="E571" s="295"/>
      <c r="F571" s="295"/>
      <c r="G571" s="296"/>
      <c r="H571" s="297"/>
      <c r="I571" s="297"/>
      <c r="J571" s="297"/>
      <c r="K571" s="33"/>
      <c r="L571" s="33"/>
    </row>
    <row r="572" spans="1:12" ht="13.5" customHeight="1" x14ac:dyDescent="0.2">
      <c r="A572" s="293"/>
      <c r="B572" s="294"/>
      <c r="C572" s="295"/>
      <c r="D572" s="295"/>
      <c r="E572" s="295"/>
      <c r="F572" s="295"/>
      <c r="G572" s="296"/>
      <c r="H572" s="297"/>
      <c r="I572" s="297"/>
      <c r="J572" s="297"/>
      <c r="K572" s="33"/>
      <c r="L572" s="33"/>
    </row>
    <row r="573" spans="1:12" ht="13.5" customHeight="1" x14ac:dyDescent="0.2">
      <c r="A573" s="293"/>
      <c r="B573" s="294"/>
      <c r="C573" s="295"/>
      <c r="D573" s="295"/>
      <c r="E573" s="295"/>
      <c r="F573" s="295"/>
      <c r="G573" s="296"/>
      <c r="H573" s="297"/>
      <c r="I573" s="297"/>
      <c r="J573" s="297"/>
      <c r="K573" s="33"/>
      <c r="L573" s="33"/>
    </row>
    <row r="574" spans="1:12" ht="13.5" customHeight="1" x14ac:dyDescent="0.2">
      <c r="A574" s="293"/>
      <c r="B574" s="294"/>
      <c r="C574" s="295"/>
      <c r="D574" s="295"/>
      <c r="E574" s="295"/>
      <c r="F574" s="295"/>
      <c r="G574" s="296"/>
      <c r="H574" s="297"/>
      <c r="I574" s="297"/>
      <c r="J574" s="297"/>
      <c r="K574" s="33"/>
      <c r="L574" s="33"/>
    </row>
    <row r="575" spans="1:12" ht="13.5" customHeight="1" x14ac:dyDescent="0.2">
      <c r="A575" s="293"/>
      <c r="B575" s="294"/>
      <c r="C575" s="295"/>
      <c r="D575" s="295"/>
      <c r="E575" s="295"/>
      <c r="F575" s="295"/>
      <c r="G575" s="296"/>
      <c r="H575" s="297"/>
      <c r="I575" s="297"/>
      <c r="J575" s="297"/>
      <c r="K575" s="33"/>
      <c r="L575" s="33"/>
    </row>
    <row r="576" spans="1:12" ht="13.5" customHeight="1" x14ac:dyDescent="0.2">
      <c r="A576" s="293"/>
      <c r="B576" s="294"/>
      <c r="C576" s="295"/>
      <c r="D576" s="295"/>
      <c r="E576" s="295"/>
      <c r="F576" s="295"/>
      <c r="G576" s="296"/>
      <c r="H576" s="297"/>
      <c r="I576" s="297"/>
      <c r="J576" s="297"/>
      <c r="K576" s="33"/>
      <c r="L576" s="33"/>
    </row>
    <row r="577" spans="1:12" ht="13.5" customHeight="1" x14ac:dyDescent="0.2">
      <c r="A577" s="293"/>
      <c r="B577" s="294"/>
      <c r="C577" s="295"/>
      <c r="D577" s="295"/>
      <c r="E577" s="295"/>
      <c r="F577" s="295"/>
      <c r="G577" s="296"/>
      <c r="H577" s="297"/>
      <c r="I577" s="297"/>
      <c r="J577" s="297"/>
      <c r="K577" s="33"/>
      <c r="L577" s="33"/>
    </row>
    <row r="578" spans="1:12" ht="13.5" customHeight="1" x14ac:dyDescent="0.2">
      <c r="A578" s="293"/>
      <c r="B578" s="294"/>
      <c r="C578" s="295"/>
      <c r="D578" s="295"/>
      <c r="E578" s="295"/>
      <c r="F578" s="295"/>
      <c r="G578" s="296"/>
      <c r="H578" s="297"/>
      <c r="I578" s="297"/>
      <c r="J578" s="297"/>
      <c r="K578" s="33"/>
      <c r="L578" s="33"/>
    </row>
    <row r="579" spans="1:12" ht="13.5" customHeight="1" x14ac:dyDescent="0.2">
      <c r="A579" s="293"/>
      <c r="B579" s="294"/>
      <c r="C579" s="295"/>
      <c r="D579" s="295"/>
      <c r="E579" s="295"/>
      <c r="F579" s="295"/>
      <c r="G579" s="296"/>
      <c r="H579" s="297"/>
      <c r="I579" s="297"/>
      <c r="J579" s="297"/>
      <c r="K579" s="33"/>
      <c r="L579" s="33"/>
    </row>
    <row r="580" spans="1:12" ht="13.5" customHeight="1" x14ac:dyDescent="0.2">
      <c r="A580" s="293"/>
      <c r="B580" s="294"/>
      <c r="C580" s="295"/>
      <c r="D580" s="295"/>
      <c r="E580" s="295"/>
      <c r="F580" s="295"/>
      <c r="G580" s="296"/>
      <c r="H580" s="297"/>
      <c r="I580" s="297"/>
      <c r="J580" s="297"/>
      <c r="K580" s="33"/>
      <c r="L580" s="33"/>
    </row>
    <row r="581" spans="1:12" ht="13.5" customHeight="1" x14ac:dyDescent="0.2">
      <c r="A581" s="293"/>
      <c r="B581" s="294"/>
      <c r="C581" s="295"/>
      <c r="D581" s="295"/>
      <c r="E581" s="295"/>
      <c r="F581" s="295"/>
      <c r="G581" s="296"/>
      <c r="H581" s="297"/>
      <c r="I581" s="297"/>
      <c r="J581" s="297"/>
      <c r="K581" s="33"/>
      <c r="L581" s="33"/>
    </row>
    <row r="582" spans="1:12" ht="13.5" customHeight="1" x14ac:dyDescent="0.2">
      <c r="A582" s="293"/>
      <c r="B582" s="294"/>
      <c r="C582" s="295"/>
      <c r="D582" s="295"/>
      <c r="E582" s="295"/>
      <c r="F582" s="295"/>
      <c r="G582" s="296"/>
      <c r="H582" s="297"/>
      <c r="I582" s="297"/>
      <c r="J582" s="297"/>
      <c r="K582" s="33"/>
      <c r="L582" s="33"/>
    </row>
    <row r="583" spans="1:12" ht="13.5" customHeight="1" x14ac:dyDescent="0.2">
      <c r="A583" s="293"/>
      <c r="B583" s="294"/>
      <c r="C583" s="295"/>
      <c r="D583" s="295"/>
      <c r="E583" s="295"/>
      <c r="F583" s="295"/>
      <c r="G583" s="296"/>
      <c r="H583" s="297"/>
      <c r="I583" s="297"/>
      <c r="J583" s="297"/>
      <c r="K583" s="33"/>
      <c r="L583" s="33"/>
    </row>
    <row r="584" spans="1:12" ht="13.5" customHeight="1" x14ac:dyDescent="0.2">
      <c r="A584" s="293"/>
      <c r="B584" s="294"/>
      <c r="C584" s="295"/>
      <c r="D584" s="295"/>
      <c r="E584" s="295"/>
      <c r="F584" s="295"/>
      <c r="G584" s="296"/>
      <c r="H584" s="297"/>
      <c r="I584" s="297"/>
      <c r="J584" s="297"/>
      <c r="K584" s="33"/>
      <c r="L584" s="33"/>
    </row>
    <row r="585" spans="1:12" ht="13.5" customHeight="1" x14ac:dyDescent="0.2">
      <c r="A585" s="293"/>
      <c r="B585" s="294"/>
      <c r="C585" s="295"/>
      <c r="D585" s="295"/>
      <c r="E585" s="295"/>
      <c r="F585" s="295"/>
      <c r="G585" s="296"/>
      <c r="H585" s="297"/>
      <c r="I585" s="297"/>
      <c r="J585" s="297"/>
      <c r="K585" s="33"/>
      <c r="L585" s="33"/>
    </row>
    <row r="586" spans="1:12" ht="13.5" customHeight="1" x14ac:dyDescent="0.2">
      <c r="A586" s="293"/>
      <c r="B586" s="294"/>
      <c r="C586" s="295"/>
      <c r="D586" s="295"/>
      <c r="E586" s="295"/>
      <c r="F586" s="295"/>
      <c r="G586" s="296"/>
      <c r="H586" s="297"/>
      <c r="I586" s="297"/>
      <c r="J586" s="297"/>
      <c r="K586" s="33"/>
      <c r="L586" s="33"/>
    </row>
    <row r="587" spans="1:12" ht="13.5" customHeight="1" x14ac:dyDescent="0.2">
      <c r="A587" s="293"/>
      <c r="B587" s="294"/>
      <c r="C587" s="295"/>
      <c r="D587" s="295"/>
      <c r="E587" s="295"/>
      <c r="F587" s="295"/>
      <c r="G587" s="296"/>
      <c r="H587" s="297"/>
      <c r="I587" s="297"/>
      <c r="J587" s="297"/>
      <c r="K587" s="33"/>
      <c r="L587" s="33"/>
    </row>
    <row r="588" spans="1:12" ht="13.5" customHeight="1" x14ac:dyDescent="0.2">
      <c r="A588" s="293"/>
      <c r="B588" s="294"/>
      <c r="C588" s="295"/>
      <c r="D588" s="295"/>
      <c r="E588" s="295"/>
      <c r="F588" s="295"/>
      <c r="G588" s="296"/>
      <c r="H588" s="297"/>
      <c r="I588" s="297"/>
      <c r="J588" s="297"/>
      <c r="K588" s="33"/>
      <c r="L588" s="33"/>
    </row>
    <row r="589" spans="1:12" ht="13.5" customHeight="1" x14ac:dyDescent="0.2">
      <c r="A589" s="293"/>
      <c r="B589" s="294"/>
      <c r="C589" s="295"/>
      <c r="D589" s="295"/>
      <c r="E589" s="295"/>
      <c r="F589" s="295"/>
      <c r="G589" s="296"/>
      <c r="H589" s="297"/>
      <c r="I589" s="297"/>
      <c r="J589" s="297"/>
      <c r="K589" s="33"/>
      <c r="L589" s="33"/>
    </row>
    <row r="590" spans="1:12" ht="13.5" customHeight="1" x14ac:dyDescent="0.2">
      <c r="A590" s="293"/>
      <c r="B590" s="294"/>
      <c r="C590" s="295"/>
      <c r="D590" s="295"/>
      <c r="E590" s="295"/>
      <c r="F590" s="295"/>
      <c r="G590" s="296"/>
      <c r="H590" s="297"/>
      <c r="I590" s="297"/>
      <c r="J590" s="297"/>
      <c r="K590" s="33"/>
      <c r="L590" s="33"/>
    </row>
    <row r="591" spans="1:12" ht="13.5" customHeight="1" x14ac:dyDescent="0.2">
      <c r="A591" s="293"/>
      <c r="B591" s="294"/>
      <c r="C591" s="295"/>
      <c r="D591" s="295"/>
      <c r="E591" s="295"/>
      <c r="F591" s="295"/>
      <c r="G591" s="296"/>
      <c r="H591" s="297"/>
      <c r="I591" s="297"/>
      <c r="J591" s="297"/>
      <c r="K591" s="33"/>
      <c r="L591" s="33"/>
    </row>
    <row r="592" spans="1:12" ht="13.5" customHeight="1" x14ac:dyDescent="0.2">
      <c r="A592" s="293"/>
      <c r="B592" s="294"/>
      <c r="C592" s="295"/>
      <c r="D592" s="295"/>
      <c r="E592" s="295"/>
      <c r="F592" s="295"/>
      <c r="G592" s="296"/>
      <c r="H592" s="297"/>
      <c r="I592" s="297"/>
      <c r="J592" s="297"/>
      <c r="K592" s="33"/>
      <c r="L592" s="33"/>
    </row>
    <row r="593" spans="1:12" ht="13.5" customHeight="1" x14ac:dyDescent="0.2">
      <c r="A593" s="293"/>
      <c r="B593" s="294"/>
      <c r="C593" s="295"/>
      <c r="D593" s="295"/>
      <c r="E593" s="295"/>
      <c r="F593" s="295"/>
      <c r="G593" s="296"/>
      <c r="H593" s="297"/>
      <c r="I593" s="297"/>
      <c r="J593" s="297"/>
      <c r="K593" s="33"/>
      <c r="L593" s="33"/>
    </row>
    <row r="594" spans="1:12" ht="13.5" customHeight="1" x14ac:dyDescent="0.2">
      <c r="A594" s="293"/>
      <c r="B594" s="294"/>
      <c r="C594" s="295"/>
      <c r="D594" s="295"/>
      <c r="E594" s="295"/>
      <c r="F594" s="295"/>
      <c r="G594" s="296"/>
      <c r="H594" s="297"/>
      <c r="I594" s="297"/>
      <c r="J594" s="297"/>
      <c r="K594" s="33"/>
      <c r="L594" s="33"/>
    </row>
    <row r="595" spans="1:12" ht="13.5" customHeight="1" x14ac:dyDescent="0.2">
      <c r="A595" s="293"/>
      <c r="B595" s="294"/>
      <c r="C595" s="295"/>
      <c r="D595" s="295"/>
      <c r="E595" s="295"/>
      <c r="F595" s="295"/>
      <c r="G595" s="296"/>
      <c r="H595" s="297"/>
      <c r="I595" s="297"/>
      <c r="J595" s="297"/>
      <c r="K595" s="33"/>
      <c r="L595" s="33"/>
    </row>
    <row r="596" spans="1:12" ht="13.5" customHeight="1" x14ac:dyDescent="0.2">
      <c r="A596" s="293"/>
      <c r="B596" s="294"/>
      <c r="C596" s="295"/>
      <c r="D596" s="295"/>
      <c r="E596" s="295"/>
      <c r="F596" s="295"/>
      <c r="G596" s="296"/>
      <c r="H596" s="297"/>
      <c r="I596" s="297"/>
      <c r="J596" s="297"/>
      <c r="K596" s="33"/>
      <c r="L596" s="33"/>
    </row>
    <row r="597" spans="1:12" ht="13.5" customHeight="1" x14ac:dyDescent="0.2">
      <c r="A597" s="293"/>
      <c r="B597" s="294"/>
      <c r="C597" s="295"/>
      <c r="D597" s="295"/>
      <c r="E597" s="295"/>
      <c r="F597" s="295"/>
      <c r="G597" s="296"/>
      <c r="H597" s="297"/>
      <c r="I597" s="297"/>
      <c r="J597" s="297"/>
      <c r="K597" s="33"/>
      <c r="L597" s="33"/>
    </row>
    <row r="598" spans="1:12" ht="13.5" customHeight="1" x14ac:dyDescent="0.2">
      <c r="A598" s="293"/>
      <c r="B598" s="294"/>
      <c r="C598" s="295"/>
      <c r="D598" s="295"/>
      <c r="E598" s="295"/>
      <c r="F598" s="295"/>
      <c r="G598" s="296"/>
      <c r="H598" s="297"/>
      <c r="I598" s="297"/>
      <c r="J598" s="297"/>
      <c r="K598" s="33"/>
      <c r="L598" s="33"/>
    </row>
    <row r="599" spans="1:12" ht="13.5" customHeight="1" x14ac:dyDescent="0.2">
      <c r="A599" s="293"/>
      <c r="B599" s="294"/>
      <c r="C599" s="295"/>
      <c r="D599" s="295"/>
      <c r="E599" s="295"/>
      <c r="F599" s="295"/>
      <c r="G599" s="296"/>
      <c r="H599" s="297"/>
      <c r="I599" s="297"/>
      <c r="J599" s="297"/>
      <c r="K599" s="33"/>
      <c r="L599" s="33"/>
    </row>
    <row r="600" spans="1:12" ht="13.5" customHeight="1" x14ac:dyDescent="0.2">
      <c r="A600" s="293"/>
      <c r="B600" s="294"/>
      <c r="C600" s="295"/>
      <c r="D600" s="295"/>
      <c r="E600" s="295"/>
      <c r="F600" s="295"/>
      <c r="G600" s="296"/>
      <c r="H600" s="297"/>
      <c r="I600" s="297"/>
      <c r="J600" s="297"/>
      <c r="K600" s="33"/>
      <c r="L600" s="33"/>
    </row>
    <row r="601" spans="1:12" ht="13.5" customHeight="1" x14ac:dyDescent="0.2">
      <c r="A601" s="293"/>
      <c r="B601" s="294"/>
      <c r="C601" s="295"/>
      <c r="D601" s="295"/>
      <c r="E601" s="295"/>
      <c r="F601" s="295"/>
      <c r="G601" s="296"/>
      <c r="H601" s="297"/>
      <c r="I601" s="297"/>
      <c r="J601" s="297"/>
      <c r="K601" s="33"/>
      <c r="L601" s="33"/>
    </row>
    <row r="602" spans="1:12" ht="13.5" customHeight="1" x14ac:dyDescent="0.2">
      <c r="A602" s="293"/>
      <c r="B602" s="294"/>
      <c r="C602" s="295"/>
      <c r="D602" s="295"/>
      <c r="E602" s="295"/>
      <c r="F602" s="295"/>
      <c r="G602" s="296"/>
      <c r="H602" s="297"/>
      <c r="I602" s="297"/>
      <c r="J602" s="297"/>
      <c r="K602" s="33"/>
      <c r="L602" s="33"/>
    </row>
    <row r="603" spans="1:12" ht="13.5" customHeight="1" x14ac:dyDescent="0.2">
      <c r="A603" s="293"/>
      <c r="B603" s="294"/>
      <c r="C603" s="295"/>
      <c r="D603" s="295"/>
      <c r="E603" s="295"/>
      <c r="F603" s="295"/>
      <c r="G603" s="296"/>
      <c r="H603" s="297"/>
      <c r="I603" s="297"/>
      <c r="J603" s="297"/>
      <c r="K603" s="33"/>
      <c r="L603" s="33"/>
    </row>
    <row r="604" spans="1:12" ht="13.5" customHeight="1" x14ac:dyDescent="0.2">
      <c r="A604" s="293"/>
      <c r="B604" s="294"/>
      <c r="C604" s="295"/>
      <c r="D604" s="295"/>
      <c r="E604" s="295"/>
      <c r="F604" s="295"/>
      <c r="G604" s="296"/>
      <c r="H604" s="297"/>
      <c r="I604" s="297"/>
      <c r="J604" s="297"/>
      <c r="K604" s="33"/>
      <c r="L604" s="33"/>
    </row>
    <row r="605" spans="1:12" ht="13.5" customHeight="1" x14ac:dyDescent="0.2">
      <c r="A605" s="293"/>
      <c r="B605" s="294"/>
      <c r="C605" s="295"/>
      <c r="D605" s="295"/>
      <c r="E605" s="295"/>
      <c r="F605" s="295"/>
      <c r="G605" s="296"/>
      <c r="H605" s="297"/>
      <c r="I605" s="297"/>
      <c r="J605" s="297"/>
      <c r="K605" s="33"/>
      <c r="L605" s="33"/>
    </row>
    <row r="606" spans="1:12" ht="13.5" customHeight="1" x14ac:dyDescent="0.2">
      <c r="A606" s="293"/>
      <c r="B606" s="294"/>
      <c r="C606" s="295"/>
      <c r="D606" s="295"/>
      <c r="E606" s="295"/>
      <c r="F606" s="295"/>
      <c r="G606" s="296"/>
      <c r="H606" s="297"/>
      <c r="I606" s="297"/>
      <c r="J606" s="297"/>
      <c r="K606" s="33"/>
      <c r="L606" s="33"/>
    </row>
    <row r="607" spans="1:12" ht="13.5" customHeight="1" x14ac:dyDescent="0.2">
      <c r="A607" s="293"/>
      <c r="B607" s="294"/>
      <c r="C607" s="295"/>
      <c r="D607" s="295"/>
      <c r="E607" s="295"/>
      <c r="F607" s="295"/>
      <c r="G607" s="296"/>
      <c r="H607" s="297"/>
      <c r="I607" s="297"/>
      <c r="J607" s="297"/>
      <c r="K607" s="33"/>
      <c r="L607" s="33"/>
    </row>
    <row r="608" spans="1:12" ht="13.5" customHeight="1" x14ac:dyDescent="0.2">
      <c r="A608" s="293"/>
      <c r="B608" s="294"/>
      <c r="C608" s="295"/>
      <c r="D608" s="295"/>
      <c r="E608" s="295"/>
      <c r="F608" s="295"/>
      <c r="G608" s="296"/>
      <c r="H608" s="297"/>
      <c r="I608" s="297"/>
      <c r="J608" s="297"/>
      <c r="K608" s="33"/>
      <c r="L608" s="33"/>
    </row>
    <row r="609" spans="1:12" ht="13.5" customHeight="1" x14ac:dyDescent="0.2">
      <c r="A609" s="293"/>
      <c r="B609" s="294"/>
      <c r="C609" s="295"/>
      <c r="D609" s="295"/>
      <c r="E609" s="295"/>
      <c r="F609" s="295"/>
      <c r="G609" s="296"/>
      <c r="H609" s="297"/>
      <c r="I609" s="297"/>
      <c r="J609" s="297"/>
      <c r="K609" s="33"/>
      <c r="L609" s="33"/>
    </row>
    <row r="610" spans="1:12" ht="13.5" customHeight="1" x14ac:dyDescent="0.2">
      <c r="A610" s="293"/>
      <c r="B610" s="294"/>
      <c r="C610" s="295"/>
      <c r="D610" s="295"/>
      <c r="E610" s="295"/>
      <c r="F610" s="295"/>
      <c r="G610" s="296"/>
      <c r="H610" s="297"/>
      <c r="I610" s="297"/>
      <c r="J610" s="297"/>
      <c r="K610" s="33"/>
      <c r="L610" s="33"/>
    </row>
    <row r="611" spans="1:12" ht="13.5" customHeight="1" x14ac:dyDescent="0.2">
      <c r="A611" s="293"/>
      <c r="B611" s="294"/>
      <c r="C611" s="295"/>
      <c r="D611" s="295"/>
      <c r="E611" s="295"/>
      <c r="F611" s="295"/>
      <c r="G611" s="296"/>
      <c r="H611" s="297"/>
      <c r="I611" s="297"/>
      <c r="J611" s="297"/>
      <c r="K611" s="33"/>
      <c r="L611" s="33"/>
    </row>
    <row r="612" spans="1:12" ht="13.5" customHeight="1" x14ac:dyDescent="0.2">
      <c r="A612" s="293"/>
      <c r="B612" s="294"/>
      <c r="C612" s="295"/>
      <c r="D612" s="295"/>
      <c r="E612" s="295"/>
      <c r="F612" s="295"/>
      <c r="G612" s="296"/>
      <c r="H612" s="297"/>
      <c r="I612" s="297"/>
      <c r="J612" s="297"/>
      <c r="K612" s="33"/>
      <c r="L612" s="33"/>
    </row>
    <row r="613" spans="1:12" ht="13.5" customHeight="1" x14ac:dyDescent="0.2">
      <c r="A613" s="293"/>
      <c r="B613" s="294"/>
      <c r="C613" s="295"/>
      <c r="D613" s="295"/>
      <c r="E613" s="295"/>
      <c r="F613" s="295"/>
      <c r="G613" s="296"/>
      <c r="H613" s="297"/>
      <c r="I613" s="297"/>
      <c r="J613" s="297"/>
      <c r="K613" s="33"/>
      <c r="L613" s="33"/>
    </row>
    <row r="614" spans="1:12" ht="13.5" customHeight="1" x14ac:dyDescent="0.2">
      <c r="A614" s="293"/>
      <c r="B614" s="294"/>
      <c r="C614" s="295"/>
      <c r="D614" s="295"/>
      <c r="E614" s="295"/>
      <c r="F614" s="295"/>
      <c r="G614" s="296"/>
      <c r="H614" s="297"/>
      <c r="I614" s="297"/>
      <c r="J614" s="297"/>
      <c r="K614" s="33"/>
      <c r="L614" s="33"/>
    </row>
    <row r="615" spans="1:12" ht="13.5" customHeight="1" x14ac:dyDescent="0.2">
      <c r="A615" s="293"/>
      <c r="B615" s="294"/>
      <c r="C615" s="295"/>
      <c r="D615" s="295"/>
      <c r="E615" s="295"/>
      <c r="F615" s="295"/>
      <c r="G615" s="296"/>
      <c r="H615" s="297"/>
      <c r="I615" s="297"/>
      <c r="J615" s="297"/>
      <c r="K615" s="33"/>
      <c r="L615" s="33"/>
    </row>
    <row r="616" spans="1:12" ht="13.5" customHeight="1" x14ac:dyDescent="0.2">
      <c r="A616" s="293"/>
      <c r="B616" s="294"/>
      <c r="C616" s="295"/>
      <c r="D616" s="295"/>
      <c r="E616" s="295"/>
      <c r="F616" s="295"/>
      <c r="G616" s="296"/>
      <c r="H616" s="297"/>
      <c r="I616" s="297"/>
      <c r="J616" s="297"/>
      <c r="K616" s="33"/>
      <c r="L616" s="33"/>
    </row>
    <row r="617" spans="1:12" ht="13.5" customHeight="1" x14ac:dyDescent="0.2">
      <c r="A617" s="293"/>
      <c r="B617" s="294"/>
      <c r="C617" s="295"/>
      <c r="D617" s="295"/>
      <c r="E617" s="295"/>
      <c r="F617" s="295"/>
      <c r="G617" s="296"/>
      <c r="H617" s="297"/>
      <c r="I617" s="297"/>
      <c r="J617" s="297"/>
      <c r="K617" s="33"/>
      <c r="L617" s="33"/>
    </row>
    <row r="618" spans="1:12" ht="13.5" customHeight="1" x14ac:dyDescent="0.2">
      <c r="A618" s="293"/>
      <c r="B618" s="294"/>
      <c r="C618" s="295"/>
      <c r="D618" s="295"/>
      <c r="E618" s="295"/>
      <c r="F618" s="295"/>
      <c r="G618" s="296"/>
      <c r="H618" s="297"/>
      <c r="I618" s="297"/>
      <c r="J618" s="297"/>
      <c r="K618" s="33"/>
      <c r="L618" s="33"/>
    </row>
    <row r="619" spans="1:12" ht="13.5" customHeight="1" x14ac:dyDescent="0.2">
      <c r="A619" s="293"/>
      <c r="B619" s="294"/>
      <c r="C619" s="295"/>
      <c r="D619" s="295"/>
      <c r="E619" s="295"/>
      <c r="F619" s="295"/>
      <c r="G619" s="296"/>
      <c r="H619" s="297"/>
      <c r="I619" s="297"/>
      <c r="J619" s="297"/>
      <c r="K619" s="33"/>
      <c r="L619" s="33"/>
    </row>
    <row r="620" spans="1:12" ht="13.5" customHeight="1" x14ac:dyDescent="0.2">
      <c r="A620" s="293"/>
      <c r="B620" s="294"/>
      <c r="C620" s="295"/>
      <c r="D620" s="295"/>
      <c r="E620" s="295"/>
      <c r="F620" s="295"/>
      <c r="G620" s="296"/>
      <c r="H620" s="297"/>
      <c r="I620" s="297"/>
      <c r="J620" s="297"/>
      <c r="K620" s="33"/>
      <c r="L620" s="33"/>
    </row>
    <row r="621" spans="1:12" ht="13.5" customHeight="1" x14ac:dyDescent="0.2">
      <c r="A621" s="293"/>
      <c r="B621" s="294"/>
      <c r="C621" s="295"/>
      <c r="D621" s="295"/>
      <c r="E621" s="295"/>
      <c r="F621" s="295"/>
      <c r="G621" s="296"/>
      <c r="H621" s="297"/>
      <c r="I621" s="297"/>
      <c r="J621" s="297"/>
      <c r="K621" s="33"/>
      <c r="L621" s="33"/>
    </row>
    <row r="622" spans="1:12" ht="13.5" customHeight="1" x14ac:dyDescent="0.2">
      <c r="A622" s="293"/>
      <c r="B622" s="294"/>
      <c r="C622" s="295"/>
      <c r="D622" s="295"/>
      <c r="E622" s="295"/>
      <c r="F622" s="295"/>
      <c r="G622" s="296"/>
      <c r="H622" s="297"/>
      <c r="I622" s="297"/>
      <c r="J622" s="297"/>
      <c r="K622" s="33"/>
      <c r="L622" s="33"/>
    </row>
    <row r="623" spans="1:12" ht="13.5" customHeight="1" x14ac:dyDescent="0.2">
      <c r="A623" s="293"/>
      <c r="B623" s="294"/>
      <c r="C623" s="295"/>
      <c r="D623" s="295"/>
      <c r="E623" s="295"/>
      <c r="F623" s="295"/>
      <c r="G623" s="296"/>
      <c r="H623" s="297"/>
      <c r="I623" s="297"/>
      <c r="J623" s="297"/>
      <c r="K623" s="33"/>
      <c r="L623" s="33"/>
    </row>
    <row r="624" spans="1:12" ht="13.5" customHeight="1" x14ac:dyDescent="0.2">
      <c r="A624" s="293"/>
      <c r="B624" s="294"/>
      <c r="C624" s="295"/>
      <c r="D624" s="295"/>
      <c r="E624" s="295"/>
      <c r="F624" s="295"/>
      <c r="G624" s="296"/>
      <c r="H624" s="297"/>
      <c r="I624" s="297"/>
      <c r="J624" s="297"/>
      <c r="K624" s="33"/>
      <c r="L624" s="33"/>
    </row>
    <row r="625" spans="1:12" ht="13.5" customHeight="1" x14ac:dyDescent="0.2">
      <c r="A625" s="293"/>
      <c r="B625" s="294"/>
      <c r="C625" s="295"/>
      <c r="D625" s="295"/>
      <c r="E625" s="295"/>
      <c r="F625" s="295"/>
      <c r="G625" s="296"/>
      <c r="H625" s="297"/>
      <c r="I625" s="297"/>
      <c r="J625" s="297"/>
      <c r="K625" s="33"/>
      <c r="L625" s="33"/>
    </row>
    <row r="626" spans="1:12" ht="13.5" customHeight="1" x14ac:dyDescent="0.2">
      <c r="A626" s="293"/>
      <c r="B626" s="294"/>
      <c r="C626" s="295"/>
      <c r="D626" s="295"/>
      <c r="E626" s="295"/>
      <c r="F626" s="295"/>
      <c r="G626" s="296"/>
      <c r="H626" s="297"/>
      <c r="I626" s="297"/>
      <c r="J626" s="297"/>
      <c r="K626" s="33"/>
      <c r="L626" s="33"/>
    </row>
    <row r="627" spans="1:12" ht="13.5" customHeight="1" x14ac:dyDescent="0.2">
      <c r="A627" s="293"/>
      <c r="B627" s="294"/>
      <c r="C627" s="295"/>
      <c r="D627" s="295"/>
      <c r="E627" s="295"/>
      <c r="F627" s="295"/>
      <c r="G627" s="296"/>
      <c r="H627" s="297"/>
      <c r="I627" s="297"/>
      <c r="J627" s="297"/>
      <c r="K627" s="33"/>
      <c r="L627" s="33"/>
    </row>
    <row r="628" spans="1:12" ht="13.5" customHeight="1" x14ac:dyDescent="0.2">
      <c r="A628" s="293"/>
      <c r="B628" s="294"/>
      <c r="C628" s="295"/>
      <c r="D628" s="295"/>
      <c r="E628" s="295"/>
      <c r="F628" s="295"/>
      <c r="G628" s="296"/>
      <c r="H628" s="297"/>
      <c r="I628" s="297"/>
      <c r="J628" s="297"/>
      <c r="K628" s="33"/>
      <c r="L628" s="33"/>
    </row>
    <row r="629" spans="1:12" ht="13.5" customHeight="1" x14ac:dyDescent="0.2">
      <c r="A629" s="293"/>
      <c r="B629" s="294"/>
      <c r="C629" s="295"/>
      <c r="D629" s="295"/>
      <c r="E629" s="295"/>
      <c r="F629" s="295"/>
      <c r="G629" s="296"/>
      <c r="H629" s="297"/>
      <c r="I629" s="297"/>
      <c r="J629" s="297"/>
      <c r="K629" s="33"/>
      <c r="L629" s="33"/>
    </row>
    <row r="630" spans="1:12" ht="13.5" customHeight="1" x14ac:dyDescent="0.2">
      <c r="A630" s="293"/>
      <c r="B630" s="294"/>
      <c r="C630" s="295"/>
      <c r="D630" s="295"/>
      <c r="E630" s="295"/>
      <c r="F630" s="295"/>
      <c r="G630" s="296"/>
      <c r="H630" s="297"/>
      <c r="I630" s="297"/>
      <c r="J630" s="297"/>
      <c r="K630" s="33"/>
      <c r="L630" s="33"/>
    </row>
    <row r="631" spans="1:12" ht="13.5" customHeight="1" x14ac:dyDescent="0.2">
      <c r="A631" s="293"/>
      <c r="B631" s="294"/>
      <c r="C631" s="295"/>
      <c r="D631" s="295"/>
      <c r="E631" s="295"/>
      <c r="F631" s="295"/>
      <c r="G631" s="296"/>
      <c r="H631" s="297"/>
      <c r="I631" s="297"/>
      <c r="J631" s="297"/>
      <c r="K631" s="33"/>
      <c r="L631" s="33"/>
    </row>
    <row r="632" spans="1:12" ht="13.5" customHeight="1" x14ac:dyDescent="0.2">
      <c r="A632" s="293"/>
      <c r="B632" s="294"/>
      <c r="C632" s="295"/>
      <c r="D632" s="295"/>
      <c r="E632" s="295"/>
      <c r="F632" s="295"/>
      <c r="G632" s="296"/>
      <c r="H632" s="297"/>
      <c r="I632" s="297"/>
      <c r="J632" s="297"/>
      <c r="K632" s="33"/>
      <c r="L632" s="33"/>
    </row>
    <row r="633" spans="1:12" ht="13.5" customHeight="1" x14ac:dyDescent="0.2">
      <c r="A633" s="293"/>
      <c r="B633" s="294"/>
      <c r="C633" s="295"/>
      <c r="D633" s="295"/>
      <c r="E633" s="295"/>
      <c r="F633" s="295"/>
      <c r="G633" s="296"/>
      <c r="H633" s="297"/>
      <c r="I633" s="297"/>
      <c r="J633" s="297"/>
      <c r="K633" s="33"/>
      <c r="L633" s="33"/>
    </row>
    <row r="634" spans="1:12" ht="13.5" customHeight="1" x14ac:dyDescent="0.2">
      <c r="A634" s="293"/>
      <c r="B634" s="294"/>
      <c r="C634" s="295"/>
      <c r="D634" s="295"/>
      <c r="E634" s="295"/>
      <c r="F634" s="295"/>
      <c r="G634" s="296"/>
      <c r="H634" s="297"/>
      <c r="I634" s="297"/>
      <c r="J634" s="297"/>
      <c r="K634" s="33"/>
      <c r="L634" s="33"/>
    </row>
    <row r="635" spans="1:12" ht="13.5" customHeight="1" x14ac:dyDescent="0.2">
      <c r="A635" s="293"/>
      <c r="B635" s="294"/>
      <c r="C635" s="295"/>
      <c r="D635" s="295"/>
      <c r="E635" s="295"/>
      <c r="F635" s="295"/>
      <c r="G635" s="296"/>
      <c r="H635" s="297"/>
      <c r="I635" s="297"/>
      <c r="J635" s="297"/>
      <c r="K635" s="33"/>
      <c r="L635" s="33"/>
    </row>
    <row r="636" spans="1:12" ht="13.5" customHeight="1" x14ac:dyDescent="0.2">
      <c r="A636" s="293"/>
      <c r="B636" s="294"/>
      <c r="C636" s="295"/>
      <c r="D636" s="295"/>
      <c r="E636" s="295"/>
      <c r="F636" s="295"/>
      <c r="G636" s="296"/>
      <c r="H636" s="297"/>
      <c r="I636" s="297"/>
      <c r="J636" s="297"/>
      <c r="K636" s="33"/>
      <c r="L636" s="33"/>
    </row>
    <row r="637" spans="1:12" ht="13.5" customHeight="1" x14ac:dyDescent="0.2">
      <c r="A637" s="293"/>
      <c r="B637" s="294"/>
      <c r="C637" s="295"/>
      <c r="D637" s="295"/>
      <c r="E637" s="295"/>
      <c r="F637" s="295"/>
      <c r="G637" s="296"/>
      <c r="H637" s="297"/>
      <c r="I637" s="297"/>
      <c r="J637" s="297"/>
      <c r="K637" s="33"/>
      <c r="L637" s="33"/>
    </row>
    <row r="638" spans="1:12" ht="13.5" customHeight="1" x14ac:dyDescent="0.2">
      <c r="A638" s="293"/>
      <c r="B638" s="294"/>
      <c r="C638" s="295"/>
      <c r="D638" s="295"/>
      <c r="E638" s="295"/>
      <c r="F638" s="295"/>
      <c r="G638" s="296"/>
      <c r="H638" s="297"/>
      <c r="I638" s="297"/>
      <c r="J638" s="297"/>
      <c r="K638" s="33"/>
      <c r="L638" s="33"/>
    </row>
    <row r="639" spans="1:12" ht="13.5" customHeight="1" x14ac:dyDescent="0.2">
      <c r="A639" s="293"/>
      <c r="B639" s="294"/>
      <c r="C639" s="295"/>
      <c r="D639" s="295"/>
      <c r="E639" s="295"/>
      <c r="F639" s="295"/>
      <c r="G639" s="296"/>
      <c r="H639" s="297"/>
      <c r="I639" s="297"/>
      <c r="J639" s="297"/>
      <c r="K639" s="33"/>
      <c r="L639" s="33"/>
    </row>
    <row r="640" spans="1:12" ht="13.5" customHeight="1" x14ac:dyDescent="0.2">
      <c r="A640" s="293"/>
      <c r="B640" s="294"/>
      <c r="C640" s="295"/>
      <c r="D640" s="295"/>
      <c r="E640" s="295"/>
      <c r="F640" s="295"/>
      <c r="G640" s="296"/>
      <c r="H640" s="297"/>
      <c r="I640" s="297"/>
      <c r="J640" s="297"/>
      <c r="K640" s="33"/>
      <c r="L640" s="33"/>
    </row>
    <row r="641" spans="1:12" ht="13.5" customHeight="1" x14ac:dyDescent="0.2">
      <c r="A641" s="293"/>
      <c r="B641" s="294"/>
      <c r="C641" s="295"/>
      <c r="D641" s="295"/>
      <c r="E641" s="295"/>
      <c r="F641" s="295"/>
      <c r="G641" s="296"/>
      <c r="H641" s="297"/>
      <c r="I641" s="297"/>
      <c r="J641" s="297"/>
      <c r="K641" s="33"/>
      <c r="L641" s="33"/>
    </row>
    <row r="642" spans="1:12" ht="13.5" customHeight="1" x14ac:dyDescent="0.2">
      <c r="A642" s="293"/>
      <c r="B642" s="294"/>
      <c r="C642" s="295"/>
      <c r="D642" s="295"/>
      <c r="E642" s="295"/>
      <c r="F642" s="295"/>
      <c r="G642" s="296"/>
      <c r="H642" s="297"/>
      <c r="I642" s="297"/>
      <c r="J642" s="297"/>
      <c r="K642" s="33"/>
      <c r="L642" s="33"/>
    </row>
    <row r="643" spans="1:12" ht="13.5" customHeight="1" x14ac:dyDescent="0.2">
      <c r="A643" s="293"/>
      <c r="B643" s="294"/>
      <c r="C643" s="295"/>
      <c r="D643" s="295"/>
      <c r="E643" s="295"/>
      <c r="F643" s="295"/>
      <c r="G643" s="296"/>
      <c r="H643" s="297"/>
      <c r="I643" s="297"/>
      <c r="J643" s="297"/>
      <c r="K643" s="33"/>
      <c r="L643" s="33"/>
    </row>
    <row r="644" spans="1:12" ht="13.5" customHeight="1" x14ac:dyDescent="0.2">
      <c r="A644" s="293"/>
      <c r="B644" s="294"/>
      <c r="C644" s="295"/>
      <c r="D644" s="295"/>
      <c r="E644" s="295"/>
      <c r="F644" s="295"/>
      <c r="G644" s="296"/>
      <c r="H644" s="297"/>
      <c r="I644" s="297"/>
      <c r="J644" s="297"/>
      <c r="K644" s="33"/>
      <c r="L644" s="33"/>
    </row>
    <row r="645" spans="1:12" ht="13.5" customHeight="1" x14ac:dyDescent="0.2">
      <c r="A645" s="293"/>
      <c r="B645" s="294"/>
      <c r="C645" s="295"/>
      <c r="D645" s="295"/>
      <c r="E645" s="295"/>
      <c r="F645" s="295"/>
      <c r="G645" s="296"/>
      <c r="H645" s="297"/>
      <c r="I645" s="297"/>
      <c r="J645" s="297"/>
      <c r="K645" s="33"/>
      <c r="L645" s="33"/>
    </row>
    <row r="646" spans="1:12" ht="13.5" customHeight="1" x14ac:dyDescent="0.2">
      <c r="A646" s="293"/>
      <c r="B646" s="294"/>
      <c r="C646" s="295"/>
      <c r="D646" s="295"/>
      <c r="E646" s="295"/>
      <c r="F646" s="295"/>
      <c r="G646" s="296"/>
      <c r="H646" s="297"/>
      <c r="I646" s="297"/>
      <c r="J646" s="297"/>
      <c r="K646" s="33"/>
      <c r="L646" s="33"/>
    </row>
    <row r="647" spans="1:12" ht="13.5" customHeight="1" x14ac:dyDescent="0.2">
      <c r="A647" s="293"/>
      <c r="B647" s="294"/>
      <c r="C647" s="295"/>
      <c r="D647" s="295"/>
      <c r="E647" s="295"/>
      <c r="F647" s="295"/>
      <c r="G647" s="296"/>
      <c r="H647" s="297"/>
      <c r="I647" s="297"/>
      <c r="J647" s="297"/>
      <c r="K647" s="33"/>
      <c r="L647" s="33"/>
    </row>
    <row r="648" spans="1:12" ht="13.5" customHeight="1" x14ac:dyDescent="0.2">
      <c r="A648" s="293"/>
      <c r="B648" s="294"/>
      <c r="C648" s="295"/>
      <c r="D648" s="295"/>
      <c r="E648" s="295"/>
      <c r="F648" s="295"/>
      <c r="G648" s="296"/>
      <c r="H648" s="297"/>
      <c r="I648" s="297"/>
      <c r="J648" s="297"/>
      <c r="K648" s="33"/>
      <c r="L648" s="33"/>
    </row>
    <row r="649" spans="1:12" ht="13.5" customHeight="1" x14ac:dyDescent="0.2">
      <c r="A649" s="293"/>
      <c r="B649" s="294"/>
      <c r="C649" s="295"/>
      <c r="D649" s="295"/>
      <c r="E649" s="295"/>
      <c r="F649" s="295"/>
      <c r="G649" s="296"/>
      <c r="H649" s="297"/>
      <c r="I649" s="297"/>
      <c r="J649" s="297"/>
      <c r="K649" s="33"/>
      <c r="L649" s="33"/>
    </row>
    <row r="650" spans="1:12" ht="13.5" customHeight="1" x14ac:dyDescent="0.2">
      <c r="A650" s="293"/>
      <c r="B650" s="294"/>
      <c r="C650" s="295"/>
      <c r="D650" s="295"/>
      <c r="E650" s="295"/>
      <c r="F650" s="295"/>
      <c r="G650" s="296"/>
      <c r="H650" s="297"/>
      <c r="I650" s="297"/>
      <c r="J650" s="297"/>
      <c r="K650" s="33"/>
      <c r="L650" s="33"/>
    </row>
    <row r="651" spans="1:12" ht="13.5" customHeight="1" x14ac:dyDescent="0.2">
      <c r="A651" s="293"/>
      <c r="B651" s="294"/>
      <c r="C651" s="295"/>
      <c r="D651" s="295"/>
      <c r="E651" s="295"/>
      <c r="F651" s="295"/>
      <c r="G651" s="296"/>
      <c r="H651" s="297"/>
      <c r="I651" s="297"/>
      <c r="J651" s="297"/>
      <c r="K651" s="33"/>
      <c r="L651" s="33"/>
    </row>
    <row r="652" spans="1:12" ht="13.5" customHeight="1" x14ac:dyDescent="0.2">
      <c r="A652" s="293"/>
      <c r="B652" s="294"/>
      <c r="C652" s="295"/>
      <c r="D652" s="295"/>
      <c r="E652" s="295"/>
      <c r="F652" s="295"/>
      <c r="G652" s="296"/>
      <c r="H652" s="297"/>
      <c r="I652" s="297"/>
      <c r="J652" s="297"/>
      <c r="K652" s="33"/>
      <c r="L652" s="33"/>
    </row>
    <row r="653" spans="1:12" ht="13.5" customHeight="1" x14ac:dyDescent="0.2">
      <c r="A653" s="293"/>
      <c r="B653" s="294"/>
      <c r="C653" s="295"/>
      <c r="D653" s="295"/>
      <c r="E653" s="295"/>
      <c r="F653" s="295"/>
      <c r="G653" s="296"/>
      <c r="H653" s="297"/>
      <c r="I653" s="297"/>
      <c r="J653" s="297"/>
      <c r="K653" s="33"/>
      <c r="L653" s="33"/>
    </row>
    <row r="654" spans="1:12" ht="13.5" customHeight="1" x14ac:dyDescent="0.2">
      <c r="A654" s="293"/>
      <c r="B654" s="294"/>
      <c r="C654" s="295"/>
      <c r="D654" s="295"/>
      <c r="E654" s="295"/>
      <c r="F654" s="295"/>
      <c r="G654" s="296"/>
      <c r="H654" s="297"/>
      <c r="I654" s="297"/>
      <c r="J654" s="297"/>
      <c r="K654" s="33"/>
      <c r="L654" s="33"/>
    </row>
    <row r="655" spans="1:12" ht="13.5" customHeight="1" x14ac:dyDescent="0.2">
      <c r="A655" s="293"/>
      <c r="B655" s="294"/>
      <c r="C655" s="295"/>
      <c r="D655" s="295"/>
      <c r="E655" s="295"/>
      <c r="F655" s="295"/>
      <c r="G655" s="296"/>
      <c r="H655" s="297"/>
      <c r="I655" s="297"/>
      <c r="J655" s="297"/>
      <c r="K655" s="33"/>
      <c r="L655" s="33"/>
    </row>
    <row r="656" spans="1:12" ht="13.5" customHeight="1" x14ac:dyDescent="0.2">
      <c r="A656" s="293"/>
      <c r="B656" s="294"/>
      <c r="C656" s="295"/>
      <c r="D656" s="295"/>
      <c r="E656" s="295"/>
      <c r="F656" s="295"/>
      <c r="G656" s="296"/>
      <c r="H656" s="297"/>
      <c r="I656" s="297"/>
      <c r="J656" s="297"/>
      <c r="K656" s="33"/>
      <c r="L656" s="33"/>
    </row>
    <row r="657" spans="1:12" ht="13.5" customHeight="1" x14ac:dyDescent="0.2">
      <c r="A657" s="293"/>
      <c r="B657" s="294"/>
      <c r="C657" s="295"/>
      <c r="D657" s="295"/>
      <c r="E657" s="295"/>
      <c r="F657" s="295"/>
      <c r="G657" s="296"/>
      <c r="H657" s="297"/>
      <c r="I657" s="297"/>
      <c r="J657" s="297"/>
      <c r="K657" s="33"/>
      <c r="L657" s="33"/>
    </row>
    <row r="658" spans="1:12" ht="13.5" customHeight="1" x14ac:dyDescent="0.2">
      <c r="A658" s="293"/>
      <c r="B658" s="294"/>
      <c r="C658" s="295"/>
      <c r="D658" s="295"/>
      <c r="E658" s="295"/>
      <c r="F658" s="295"/>
      <c r="G658" s="296"/>
      <c r="H658" s="297"/>
      <c r="I658" s="297"/>
      <c r="J658" s="297"/>
      <c r="K658" s="33"/>
      <c r="L658" s="33"/>
    </row>
    <row r="659" spans="1:12" ht="13.5" customHeight="1" x14ac:dyDescent="0.2">
      <c r="A659" s="293"/>
      <c r="B659" s="294"/>
      <c r="C659" s="295"/>
      <c r="D659" s="295"/>
      <c r="E659" s="295"/>
      <c r="F659" s="295"/>
      <c r="G659" s="296"/>
      <c r="H659" s="297"/>
      <c r="I659" s="297"/>
      <c r="J659" s="297"/>
      <c r="K659" s="33"/>
      <c r="L659" s="33"/>
    </row>
    <row r="660" spans="1:12" ht="13.5" customHeight="1" x14ac:dyDescent="0.2">
      <c r="A660" s="293"/>
      <c r="B660" s="294"/>
      <c r="C660" s="295"/>
      <c r="D660" s="295"/>
      <c r="E660" s="295"/>
      <c r="F660" s="295"/>
      <c r="G660" s="296"/>
      <c r="H660" s="297"/>
      <c r="I660" s="297"/>
      <c r="J660" s="297"/>
      <c r="K660" s="33"/>
      <c r="L660" s="33"/>
    </row>
    <row r="661" spans="1:12" ht="13.5" customHeight="1" x14ac:dyDescent="0.2">
      <c r="A661" s="293"/>
      <c r="B661" s="294"/>
      <c r="C661" s="295"/>
      <c r="D661" s="295"/>
      <c r="E661" s="295"/>
      <c r="F661" s="295"/>
      <c r="G661" s="296"/>
      <c r="H661" s="297"/>
      <c r="I661" s="297"/>
      <c r="J661" s="297"/>
      <c r="K661" s="33"/>
      <c r="L661" s="33"/>
    </row>
    <row r="662" spans="1:12" ht="13.5" customHeight="1" x14ac:dyDescent="0.2">
      <c r="A662" s="293"/>
      <c r="B662" s="294"/>
      <c r="C662" s="295"/>
      <c r="D662" s="295"/>
      <c r="E662" s="295"/>
      <c r="F662" s="295"/>
      <c r="G662" s="296"/>
      <c r="H662" s="297"/>
      <c r="I662" s="297"/>
      <c r="J662" s="297"/>
      <c r="K662" s="33"/>
      <c r="L662" s="33"/>
    </row>
    <row r="663" spans="1:12" ht="13.5" customHeight="1" x14ac:dyDescent="0.2">
      <c r="A663" s="293"/>
      <c r="B663" s="294"/>
      <c r="C663" s="295"/>
      <c r="D663" s="295"/>
      <c r="E663" s="295"/>
      <c r="F663" s="295"/>
      <c r="G663" s="296"/>
      <c r="H663" s="297"/>
      <c r="I663" s="297"/>
      <c r="J663" s="297"/>
      <c r="K663" s="33"/>
      <c r="L663" s="33"/>
    </row>
    <row r="664" spans="1:12" ht="13.5" customHeight="1" x14ac:dyDescent="0.2">
      <c r="A664" s="293"/>
      <c r="B664" s="294"/>
      <c r="C664" s="295"/>
      <c r="D664" s="295"/>
      <c r="E664" s="295"/>
      <c r="F664" s="295"/>
      <c r="G664" s="296"/>
      <c r="H664" s="297"/>
      <c r="I664" s="297"/>
      <c r="J664" s="297"/>
      <c r="K664" s="33"/>
      <c r="L664" s="33"/>
    </row>
    <row r="665" spans="1:12" ht="13.5" customHeight="1" x14ac:dyDescent="0.2">
      <c r="A665" s="293"/>
      <c r="B665" s="294"/>
      <c r="C665" s="295"/>
      <c r="D665" s="295"/>
      <c r="E665" s="295"/>
      <c r="F665" s="295"/>
      <c r="G665" s="296"/>
      <c r="H665" s="297"/>
      <c r="I665" s="297"/>
      <c r="J665" s="297"/>
      <c r="K665" s="33"/>
      <c r="L665" s="33"/>
    </row>
    <row r="666" spans="1:12" ht="13.5" customHeight="1" x14ac:dyDescent="0.2">
      <c r="A666" s="293"/>
      <c r="B666" s="294"/>
      <c r="C666" s="295"/>
      <c r="D666" s="295"/>
      <c r="E666" s="295"/>
      <c r="F666" s="295"/>
      <c r="G666" s="296"/>
      <c r="H666" s="297"/>
      <c r="I666" s="297"/>
      <c r="J666" s="297"/>
      <c r="K666" s="33"/>
      <c r="L666" s="33"/>
    </row>
    <row r="667" spans="1:12" ht="13.5" customHeight="1" x14ac:dyDescent="0.2">
      <c r="A667" s="293"/>
      <c r="B667" s="294"/>
      <c r="C667" s="295"/>
      <c r="D667" s="295"/>
      <c r="E667" s="295"/>
      <c r="F667" s="295"/>
      <c r="G667" s="296"/>
      <c r="H667" s="297"/>
      <c r="I667" s="297"/>
      <c r="J667" s="297"/>
      <c r="K667" s="33"/>
      <c r="L667" s="33"/>
    </row>
    <row r="668" spans="1:12" ht="13.5" customHeight="1" x14ac:dyDescent="0.2">
      <c r="A668" s="293"/>
      <c r="B668" s="294"/>
      <c r="C668" s="295"/>
      <c r="D668" s="295"/>
      <c r="E668" s="295"/>
      <c r="F668" s="295"/>
      <c r="G668" s="296"/>
      <c r="H668" s="297"/>
      <c r="I668" s="297"/>
      <c r="J668" s="297"/>
      <c r="K668" s="33"/>
      <c r="L668" s="33"/>
    </row>
    <row r="669" spans="1:12" ht="13.5" customHeight="1" x14ac:dyDescent="0.2">
      <c r="A669" s="293"/>
      <c r="B669" s="294"/>
      <c r="C669" s="295"/>
      <c r="D669" s="295"/>
      <c r="E669" s="295"/>
      <c r="F669" s="295"/>
      <c r="G669" s="296"/>
      <c r="H669" s="297"/>
      <c r="I669" s="297"/>
      <c r="J669" s="297"/>
      <c r="K669" s="33"/>
      <c r="L669" s="33"/>
    </row>
    <row r="670" spans="1:12" ht="13.5" customHeight="1" x14ac:dyDescent="0.2">
      <c r="A670" s="293"/>
      <c r="B670" s="294"/>
      <c r="C670" s="295"/>
      <c r="D670" s="295"/>
      <c r="E670" s="295"/>
      <c r="F670" s="295"/>
      <c r="G670" s="296"/>
      <c r="H670" s="297"/>
      <c r="I670" s="297"/>
      <c r="J670" s="297"/>
      <c r="K670" s="33"/>
      <c r="L670" s="33"/>
    </row>
    <row r="671" spans="1:12" ht="13.5" customHeight="1" x14ac:dyDescent="0.2">
      <c r="A671" s="293"/>
      <c r="B671" s="294"/>
      <c r="C671" s="295"/>
      <c r="D671" s="295"/>
      <c r="E671" s="295"/>
      <c r="F671" s="295"/>
      <c r="G671" s="296"/>
      <c r="H671" s="297"/>
      <c r="I671" s="297"/>
      <c r="J671" s="297"/>
      <c r="K671" s="33"/>
      <c r="L671" s="33"/>
    </row>
    <row r="672" spans="1:12" ht="13.5" customHeight="1" x14ac:dyDescent="0.2">
      <c r="A672" s="293"/>
      <c r="B672" s="294"/>
      <c r="C672" s="295"/>
      <c r="D672" s="295"/>
      <c r="E672" s="295"/>
      <c r="F672" s="295"/>
      <c r="G672" s="296"/>
      <c r="H672" s="297"/>
      <c r="I672" s="297"/>
      <c r="J672" s="297"/>
      <c r="K672" s="33"/>
      <c r="L672" s="33"/>
    </row>
    <row r="673" spans="1:12" ht="13.5" customHeight="1" x14ac:dyDescent="0.2">
      <c r="A673" s="293"/>
      <c r="B673" s="294"/>
      <c r="C673" s="295"/>
      <c r="D673" s="295"/>
      <c r="E673" s="295"/>
      <c r="F673" s="295"/>
      <c r="G673" s="296"/>
      <c r="H673" s="297"/>
      <c r="I673" s="297"/>
      <c r="J673" s="297"/>
      <c r="K673" s="33"/>
      <c r="L673" s="33"/>
    </row>
    <row r="674" spans="1:12" ht="13.5" customHeight="1" x14ac:dyDescent="0.2">
      <c r="A674" s="293"/>
      <c r="B674" s="294"/>
      <c r="C674" s="295"/>
      <c r="D674" s="295"/>
      <c r="E674" s="295"/>
      <c r="F674" s="295"/>
      <c r="G674" s="296"/>
      <c r="H674" s="297"/>
      <c r="I674" s="297"/>
      <c r="J674" s="297"/>
      <c r="K674" s="33"/>
      <c r="L674" s="33"/>
    </row>
    <row r="675" spans="1:12" ht="13.5" customHeight="1" x14ac:dyDescent="0.2">
      <c r="A675" s="293"/>
      <c r="B675" s="294"/>
      <c r="C675" s="295"/>
      <c r="D675" s="295"/>
      <c r="E675" s="295"/>
      <c r="F675" s="295"/>
      <c r="G675" s="296"/>
      <c r="H675" s="297"/>
      <c r="I675" s="297"/>
      <c r="J675" s="297"/>
      <c r="K675" s="33"/>
      <c r="L675" s="33"/>
    </row>
    <row r="676" spans="1:12" ht="13.5" customHeight="1" x14ac:dyDescent="0.2">
      <c r="A676" s="293"/>
      <c r="B676" s="294"/>
      <c r="C676" s="295"/>
      <c r="D676" s="295"/>
      <c r="E676" s="295"/>
      <c r="F676" s="295"/>
      <c r="G676" s="296"/>
      <c r="H676" s="297"/>
      <c r="I676" s="297"/>
      <c r="J676" s="297"/>
      <c r="K676" s="33"/>
      <c r="L676" s="33"/>
    </row>
    <row r="677" spans="1:12" ht="13.5" customHeight="1" x14ac:dyDescent="0.2">
      <c r="A677" s="293"/>
      <c r="B677" s="294"/>
      <c r="C677" s="295"/>
      <c r="D677" s="295"/>
      <c r="E677" s="295"/>
      <c r="F677" s="295"/>
      <c r="G677" s="296"/>
      <c r="H677" s="297"/>
      <c r="I677" s="297"/>
      <c r="J677" s="297"/>
      <c r="K677" s="33"/>
      <c r="L677" s="33"/>
    </row>
    <row r="678" spans="1:12" ht="13.5" customHeight="1" x14ac:dyDescent="0.2">
      <c r="A678" s="293"/>
      <c r="B678" s="294"/>
      <c r="C678" s="295"/>
      <c r="D678" s="295"/>
      <c r="E678" s="295"/>
      <c r="F678" s="295"/>
      <c r="G678" s="296"/>
      <c r="H678" s="297"/>
      <c r="I678" s="297"/>
      <c r="J678" s="297"/>
      <c r="K678" s="33"/>
      <c r="L678" s="33"/>
    </row>
    <row r="679" spans="1:12" ht="13.5" customHeight="1" x14ac:dyDescent="0.2">
      <c r="A679" s="293"/>
      <c r="B679" s="294"/>
      <c r="C679" s="295"/>
      <c r="D679" s="295"/>
      <c r="E679" s="295"/>
      <c r="F679" s="295"/>
      <c r="G679" s="296"/>
      <c r="H679" s="297"/>
      <c r="I679" s="297"/>
      <c r="J679" s="297"/>
      <c r="K679" s="33"/>
      <c r="L679" s="33"/>
    </row>
    <row r="680" spans="1:12" ht="13.5" customHeight="1" x14ac:dyDescent="0.2">
      <c r="A680" s="293"/>
      <c r="B680" s="294"/>
      <c r="C680" s="295"/>
      <c r="D680" s="295"/>
      <c r="E680" s="295"/>
      <c r="F680" s="295"/>
      <c r="G680" s="296"/>
      <c r="H680" s="297"/>
      <c r="I680" s="297"/>
      <c r="J680" s="297"/>
      <c r="K680" s="33"/>
      <c r="L680" s="33"/>
    </row>
    <row r="681" spans="1:12" ht="13.5" customHeight="1" x14ac:dyDescent="0.2">
      <c r="A681" s="293"/>
      <c r="B681" s="294"/>
      <c r="C681" s="295"/>
      <c r="D681" s="295"/>
      <c r="E681" s="295"/>
      <c r="F681" s="295"/>
      <c r="G681" s="296"/>
      <c r="H681" s="297"/>
      <c r="I681" s="297"/>
      <c r="J681" s="297"/>
      <c r="K681" s="33"/>
      <c r="L681" s="33"/>
    </row>
    <row r="682" spans="1:12" ht="13.5" customHeight="1" x14ac:dyDescent="0.2">
      <c r="A682" s="293"/>
      <c r="B682" s="294"/>
      <c r="C682" s="295"/>
      <c r="D682" s="295"/>
      <c r="E682" s="295"/>
      <c r="F682" s="295"/>
      <c r="G682" s="296"/>
      <c r="H682" s="297"/>
      <c r="I682" s="297"/>
      <c r="J682" s="297"/>
      <c r="K682" s="33"/>
      <c r="L682" s="33"/>
    </row>
    <row r="683" spans="1:12" ht="13.5" customHeight="1" x14ac:dyDescent="0.2">
      <c r="A683" s="293"/>
      <c r="B683" s="294"/>
      <c r="C683" s="295"/>
      <c r="D683" s="295"/>
      <c r="E683" s="295"/>
      <c r="F683" s="295"/>
      <c r="G683" s="296"/>
      <c r="H683" s="297"/>
      <c r="I683" s="297"/>
      <c r="J683" s="297"/>
      <c r="K683" s="33"/>
      <c r="L683" s="33"/>
    </row>
    <row r="684" spans="1:12" ht="13.5" customHeight="1" x14ac:dyDescent="0.2">
      <c r="A684" s="293"/>
      <c r="B684" s="294"/>
      <c r="C684" s="295"/>
      <c r="D684" s="295"/>
      <c r="E684" s="295"/>
      <c r="F684" s="295"/>
      <c r="G684" s="296"/>
      <c r="H684" s="297"/>
      <c r="I684" s="297"/>
      <c r="J684" s="297"/>
      <c r="K684" s="33"/>
      <c r="L684" s="33"/>
    </row>
    <row r="685" spans="1:12" ht="13.5" customHeight="1" x14ac:dyDescent="0.2">
      <c r="A685" s="293"/>
      <c r="B685" s="294"/>
      <c r="C685" s="295"/>
      <c r="D685" s="295"/>
      <c r="E685" s="295"/>
      <c r="F685" s="295"/>
      <c r="G685" s="296"/>
      <c r="H685" s="297"/>
      <c r="I685" s="297"/>
      <c r="J685" s="297"/>
      <c r="K685" s="33"/>
      <c r="L685" s="33"/>
    </row>
    <row r="686" spans="1:12" ht="13.5" customHeight="1" x14ac:dyDescent="0.2">
      <c r="A686" s="293"/>
      <c r="B686" s="294"/>
      <c r="C686" s="295"/>
      <c r="D686" s="295"/>
      <c r="E686" s="295"/>
      <c r="F686" s="295"/>
      <c r="G686" s="296"/>
      <c r="H686" s="297"/>
      <c r="I686" s="297"/>
      <c r="J686" s="297"/>
      <c r="K686" s="33"/>
      <c r="L686" s="33"/>
    </row>
    <row r="687" spans="1:12" ht="13.5" customHeight="1" x14ac:dyDescent="0.2">
      <c r="A687" s="293"/>
      <c r="B687" s="294"/>
      <c r="C687" s="295"/>
      <c r="D687" s="295"/>
      <c r="E687" s="295"/>
      <c r="F687" s="295"/>
      <c r="G687" s="296"/>
      <c r="H687" s="297"/>
      <c r="I687" s="297"/>
      <c r="J687" s="297"/>
      <c r="K687" s="33"/>
      <c r="L687" s="33"/>
    </row>
    <row r="688" spans="1:12" ht="13.5" customHeight="1" x14ac:dyDescent="0.2">
      <c r="A688" s="293"/>
      <c r="B688" s="294"/>
      <c r="C688" s="295"/>
      <c r="D688" s="295"/>
      <c r="E688" s="295"/>
      <c r="F688" s="295"/>
      <c r="G688" s="296"/>
      <c r="H688" s="297"/>
      <c r="I688" s="297"/>
      <c r="J688" s="297"/>
      <c r="K688" s="33"/>
      <c r="L688" s="33"/>
    </row>
    <row r="689" spans="1:12" ht="13.5" customHeight="1" x14ac:dyDescent="0.2">
      <c r="A689" s="293"/>
      <c r="B689" s="294"/>
      <c r="C689" s="295"/>
      <c r="D689" s="295"/>
      <c r="E689" s="295"/>
      <c r="F689" s="295"/>
      <c r="G689" s="296"/>
      <c r="H689" s="297"/>
      <c r="I689" s="297"/>
      <c r="J689" s="297"/>
      <c r="K689" s="33"/>
      <c r="L689" s="33"/>
    </row>
    <row r="690" spans="1:12" ht="13.5" customHeight="1" x14ac:dyDescent="0.2">
      <c r="A690" s="293"/>
      <c r="B690" s="294"/>
      <c r="C690" s="295"/>
      <c r="D690" s="295"/>
      <c r="E690" s="295"/>
      <c r="F690" s="295"/>
      <c r="G690" s="296"/>
      <c r="H690" s="297"/>
      <c r="I690" s="297"/>
      <c r="J690" s="297"/>
      <c r="K690" s="33"/>
      <c r="L690" s="33"/>
    </row>
    <row r="691" spans="1:12" ht="13.5" customHeight="1" x14ac:dyDescent="0.2">
      <c r="A691" s="293"/>
      <c r="B691" s="294"/>
      <c r="C691" s="295"/>
      <c r="D691" s="295"/>
      <c r="E691" s="295"/>
      <c r="F691" s="295"/>
      <c r="G691" s="296"/>
      <c r="H691" s="297"/>
      <c r="I691" s="297"/>
      <c r="J691" s="297"/>
      <c r="K691" s="33"/>
      <c r="L691" s="33"/>
    </row>
    <row r="692" spans="1:12" ht="13.5" customHeight="1" x14ac:dyDescent="0.2">
      <c r="A692" s="293"/>
      <c r="B692" s="294"/>
      <c r="C692" s="295"/>
      <c r="D692" s="295"/>
      <c r="E692" s="295"/>
      <c r="F692" s="295"/>
      <c r="G692" s="296"/>
      <c r="H692" s="297"/>
      <c r="I692" s="297"/>
      <c r="J692" s="297"/>
      <c r="K692" s="33"/>
      <c r="L692" s="33"/>
    </row>
    <row r="693" spans="1:12" ht="13.5" customHeight="1" x14ac:dyDescent="0.2">
      <c r="A693" s="293"/>
      <c r="B693" s="294"/>
      <c r="C693" s="295"/>
      <c r="D693" s="295"/>
      <c r="E693" s="295"/>
      <c r="F693" s="295"/>
      <c r="G693" s="296"/>
      <c r="H693" s="297"/>
      <c r="I693" s="297"/>
      <c r="J693" s="297"/>
      <c r="K693" s="33"/>
      <c r="L693" s="33"/>
    </row>
    <row r="694" spans="1:12" ht="13.5" customHeight="1" x14ac:dyDescent="0.2">
      <c r="A694" s="293"/>
      <c r="B694" s="294"/>
      <c r="C694" s="295"/>
      <c r="D694" s="295"/>
      <c r="E694" s="295"/>
      <c r="F694" s="295"/>
      <c r="G694" s="296"/>
      <c r="H694" s="297"/>
      <c r="I694" s="297"/>
      <c r="J694" s="297"/>
      <c r="K694" s="33"/>
      <c r="L694" s="33"/>
    </row>
    <row r="695" spans="1:12" ht="13.5" customHeight="1" x14ac:dyDescent="0.2">
      <c r="A695" s="293"/>
      <c r="B695" s="294"/>
      <c r="C695" s="295"/>
      <c r="D695" s="295"/>
      <c r="E695" s="295"/>
      <c r="F695" s="295"/>
      <c r="G695" s="296"/>
      <c r="H695" s="297"/>
      <c r="I695" s="297"/>
      <c r="J695" s="297"/>
      <c r="K695" s="33"/>
      <c r="L695" s="33"/>
    </row>
    <row r="696" spans="1:12" ht="13.5" customHeight="1" x14ac:dyDescent="0.2">
      <c r="A696" s="293"/>
      <c r="B696" s="294"/>
      <c r="C696" s="295"/>
      <c r="D696" s="295"/>
      <c r="E696" s="295"/>
      <c r="F696" s="295"/>
      <c r="G696" s="296"/>
      <c r="H696" s="297"/>
      <c r="I696" s="297"/>
      <c r="J696" s="297"/>
      <c r="K696" s="33"/>
      <c r="L696" s="33"/>
    </row>
    <row r="697" spans="1:12" ht="13.5" customHeight="1" x14ac:dyDescent="0.2">
      <c r="A697" s="293"/>
      <c r="B697" s="294"/>
      <c r="C697" s="295"/>
      <c r="D697" s="295"/>
      <c r="E697" s="295"/>
      <c r="F697" s="295"/>
      <c r="G697" s="296"/>
      <c r="H697" s="297"/>
      <c r="I697" s="297"/>
      <c r="J697" s="297"/>
      <c r="K697" s="33"/>
      <c r="L697" s="33"/>
    </row>
    <row r="698" spans="1:12" ht="13.5" customHeight="1" x14ac:dyDescent="0.2">
      <c r="A698" s="293"/>
      <c r="B698" s="294"/>
      <c r="C698" s="295"/>
      <c r="D698" s="295"/>
      <c r="E698" s="295"/>
      <c r="F698" s="295"/>
      <c r="G698" s="296"/>
      <c r="H698" s="297"/>
      <c r="I698" s="297"/>
      <c r="J698" s="297"/>
      <c r="K698" s="33"/>
      <c r="L698" s="33"/>
    </row>
    <row r="699" spans="1:12" ht="13.5" customHeight="1" x14ac:dyDescent="0.2">
      <c r="A699" s="293"/>
      <c r="B699" s="294"/>
      <c r="C699" s="295"/>
      <c r="D699" s="295"/>
      <c r="E699" s="295"/>
      <c r="F699" s="295"/>
      <c r="G699" s="296"/>
      <c r="H699" s="297"/>
      <c r="I699" s="297"/>
      <c r="J699" s="297"/>
      <c r="K699" s="33"/>
      <c r="L699" s="33"/>
    </row>
    <row r="700" spans="1:12" ht="13.5" customHeight="1" x14ac:dyDescent="0.2">
      <c r="A700" s="293"/>
      <c r="B700" s="294"/>
      <c r="C700" s="295"/>
      <c r="D700" s="295"/>
      <c r="E700" s="295"/>
      <c r="F700" s="295"/>
      <c r="G700" s="296"/>
      <c r="H700" s="297"/>
      <c r="I700" s="297"/>
      <c r="J700" s="297"/>
      <c r="K700" s="33"/>
      <c r="L700" s="33"/>
    </row>
    <row r="701" spans="1:12" ht="13.5" customHeight="1" x14ac:dyDescent="0.2">
      <c r="A701" s="293"/>
      <c r="B701" s="294"/>
      <c r="C701" s="295"/>
      <c r="D701" s="295"/>
      <c r="E701" s="295"/>
      <c r="F701" s="295"/>
      <c r="G701" s="296"/>
      <c r="H701" s="297"/>
      <c r="I701" s="297"/>
      <c r="J701" s="297"/>
      <c r="K701" s="33"/>
      <c r="L701" s="33"/>
    </row>
    <row r="702" spans="1:12" ht="13.5" customHeight="1" x14ac:dyDescent="0.2">
      <c r="A702" s="293"/>
      <c r="B702" s="294"/>
      <c r="C702" s="295"/>
      <c r="D702" s="295"/>
      <c r="E702" s="295"/>
      <c r="F702" s="295"/>
      <c r="G702" s="296"/>
      <c r="H702" s="297"/>
      <c r="I702" s="297"/>
      <c r="J702" s="297"/>
      <c r="K702" s="33"/>
      <c r="L702" s="33"/>
    </row>
    <row r="703" spans="1:12" ht="13.5" customHeight="1" x14ac:dyDescent="0.2">
      <c r="A703" s="293"/>
      <c r="B703" s="294"/>
      <c r="C703" s="295"/>
      <c r="D703" s="295"/>
      <c r="E703" s="295"/>
      <c r="F703" s="295"/>
      <c r="G703" s="296"/>
      <c r="H703" s="297"/>
      <c r="I703" s="297"/>
      <c r="J703" s="297"/>
      <c r="K703" s="33"/>
      <c r="L703" s="33"/>
    </row>
    <row r="704" spans="1:12" ht="13.5" customHeight="1" x14ac:dyDescent="0.2">
      <c r="A704" s="293"/>
      <c r="B704" s="294"/>
      <c r="C704" s="295"/>
      <c r="D704" s="295"/>
      <c r="E704" s="295"/>
      <c r="F704" s="295"/>
      <c r="G704" s="296"/>
      <c r="H704" s="297"/>
      <c r="I704" s="297"/>
      <c r="J704" s="297"/>
      <c r="K704" s="33"/>
      <c r="L704" s="33"/>
    </row>
    <row r="705" spans="1:12" ht="13.5" customHeight="1" x14ac:dyDescent="0.2">
      <c r="A705" s="293"/>
      <c r="B705" s="294"/>
      <c r="C705" s="295"/>
      <c r="D705" s="295"/>
      <c r="E705" s="295"/>
      <c r="F705" s="295"/>
      <c r="G705" s="296"/>
      <c r="H705" s="297"/>
      <c r="I705" s="297"/>
      <c r="J705" s="297"/>
      <c r="K705" s="33"/>
      <c r="L705" s="33"/>
    </row>
    <row r="706" spans="1:12" ht="13.5" customHeight="1" x14ac:dyDescent="0.2">
      <c r="A706" s="293"/>
      <c r="B706" s="294"/>
      <c r="C706" s="295"/>
      <c r="D706" s="295"/>
      <c r="E706" s="295"/>
      <c r="F706" s="295"/>
      <c r="G706" s="296"/>
      <c r="H706" s="297"/>
      <c r="I706" s="297"/>
      <c r="J706" s="297"/>
      <c r="K706" s="33"/>
      <c r="L706" s="33"/>
    </row>
    <row r="707" spans="1:12" ht="13.5" customHeight="1" x14ac:dyDescent="0.2">
      <c r="A707" s="293"/>
      <c r="B707" s="294"/>
      <c r="C707" s="295"/>
      <c r="D707" s="295"/>
      <c r="E707" s="295"/>
      <c r="F707" s="295"/>
      <c r="G707" s="296"/>
      <c r="H707" s="297"/>
      <c r="I707" s="297"/>
      <c r="J707" s="297"/>
      <c r="K707" s="33"/>
      <c r="L707" s="33"/>
    </row>
    <row r="708" spans="1:12" ht="13.5" customHeight="1" x14ac:dyDescent="0.2">
      <c r="A708" s="7"/>
      <c r="B708" s="7"/>
      <c r="C708" s="7"/>
      <c r="D708" s="7"/>
      <c r="E708" s="7"/>
      <c r="F708" s="7"/>
      <c r="G708" s="7"/>
      <c r="H708" s="32"/>
      <c r="I708" s="32"/>
      <c r="J708" s="32"/>
      <c r="K708" s="33"/>
      <c r="L708" s="33"/>
    </row>
    <row r="709" spans="1:12" ht="13.5" customHeight="1" x14ac:dyDescent="0.2">
      <c r="A709" s="7"/>
      <c r="B709" s="7"/>
      <c r="C709" s="7"/>
      <c r="D709" s="7"/>
      <c r="E709" s="7"/>
      <c r="F709" s="7"/>
      <c r="G709" s="7"/>
      <c r="H709" s="32"/>
      <c r="I709" s="32"/>
      <c r="J709" s="32"/>
      <c r="K709" s="33"/>
      <c r="L709" s="33"/>
    </row>
    <row r="710" spans="1:12" ht="13.5" customHeight="1" x14ac:dyDescent="0.2">
      <c r="A710" s="7"/>
      <c r="B710" s="7"/>
      <c r="C710" s="7"/>
      <c r="D710" s="7"/>
      <c r="E710" s="7"/>
      <c r="F710" s="7"/>
      <c r="G710" s="7"/>
      <c r="H710" s="32"/>
      <c r="I710" s="32"/>
      <c r="J710" s="32"/>
      <c r="K710" s="33"/>
      <c r="L710" s="33"/>
    </row>
    <row r="711" spans="1:12" ht="13.5" customHeight="1" x14ac:dyDescent="0.2">
      <c r="A711" s="7"/>
      <c r="B711" s="7"/>
      <c r="C711" s="7"/>
      <c r="D711" s="7"/>
      <c r="E711" s="7"/>
      <c r="F711" s="7"/>
      <c r="G711" s="7"/>
      <c r="H711" s="32"/>
      <c r="I711" s="32"/>
      <c r="J711" s="32"/>
      <c r="K711" s="33"/>
      <c r="L711" s="33"/>
    </row>
    <row r="712" spans="1:12" ht="13.5" customHeight="1" x14ac:dyDescent="0.2">
      <c r="A712" s="7"/>
      <c r="B712" s="7"/>
      <c r="C712" s="7"/>
      <c r="D712" s="7"/>
      <c r="E712" s="7"/>
      <c r="F712" s="7"/>
      <c r="G712" s="7"/>
      <c r="H712" s="32"/>
      <c r="I712" s="32"/>
      <c r="J712" s="32"/>
      <c r="K712" s="33"/>
      <c r="L712" s="33"/>
    </row>
    <row r="713" spans="1:12" ht="13.5" customHeight="1" x14ac:dyDescent="0.2">
      <c r="A713" s="7"/>
      <c r="B713" s="7"/>
      <c r="C713" s="7"/>
      <c r="D713" s="7"/>
      <c r="E713" s="7"/>
      <c r="F713" s="7"/>
      <c r="G713" s="7"/>
      <c r="H713" s="32"/>
      <c r="I713" s="32"/>
      <c r="J713" s="32"/>
      <c r="K713" s="33"/>
      <c r="L713" s="33"/>
    </row>
    <row r="714" spans="1:12" ht="13.5" customHeight="1" x14ac:dyDescent="0.2">
      <c r="A714" s="7"/>
      <c r="B714" s="7"/>
      <c r="C714" s="7"/>
      <c r="D714" s="7"/>
      <c r="E714" s="7"/>
      <c r="F714" s="7"/>
      <c r="G714" s="7"/>
      <c r="H714" s="32"/>
      <c r="I714" s="32"/>
      <c r="J714" s="32"/>
      <c r="K714" s="33"/>
      <c r="L714" s="33"/>
    </row>
    <row r="715" spans="1:12" ht="13.5" customHeight="1" x14ac:dyDescent="0.2">
      <c r="A715" s="7"/>
      <c r="B715" s="7"/>
      <c r="C715" s="7"/>
      <c r="D715" s="7"/>
      <c r="E715" s="7"/>
      <c r="F715" s="7"/>
      <c r="G715" s="7"/>
      <c r="H715" s="32"/>
      <c r="I715" s="32"/>
      <c r="J715" s="32"/>
      <c r="K715" s="33"/>
      <c r="L715" s="33"/>
    </row>
    <row r="716" spans="1:12" ht="13.5" customHeight="1" x14ac:dyDescent="0.2">
      <c r="A716" s="7"/>
      <c r="B716" s="7"/>
      <c r="C716" s="7"/>
      <c r="D716" s="7"/>
      <c r="E716" s="7"/>
      <c r="F716" s="7"/>
      <c r="G716" s="7"/>
      <c r="H716" s="32"/>
      <c r="I716" s="32"/>
      <c r="J716" s="32"/>
      <c r="K716" s="33"/>
      <c r="L716" s="33"/>
    </row>
    <row r="717" spans="1:12" ht="13.5" customHeight="1" x14ac:dyDescent="0.2">
      <c r="A717" s="7"/>
      <c r="B717" s="7"/>
      <c r="C717" s="7"/>
      <c r="D717" s="7"/>
      <c r="E717" s="7"/>
      <c r="F717" s="7"/>
      <c r="G717" s="7"/>
      <c r="H717" s="32"/>
      <c r="I717" s="32"/>
      <c r="J717" s="32"/>
      <c r="K717" s="33"/>
      <c r="L717" s="33"/>
    </row>
    <row r="718" spans="1:12" ht="13.5" customHeight="1" x14ac:dyDescent="0.2">
      <c r="A718" s="7"/>
      <c r="B718" s="7"/>
      <c r="C718" s="7"/>
      <c r="D718" s="7"/>
      <c r="E718" s="7"/>
      <c r="F718" s="7"/>
      <c r="G718" s="7"/>
      <c r="H718" s="32"/>
      <c r="I718" s="32"/>
      <c r="J718" s="32"/>
      <c r="K718" s="33"/>
      <c r="L718" s="33"/>
    </row>
    <row r="719" spans="1:12" ht="13.5" customHeight="1" x14ac:dyDescent="0.2">
      <c r="A719" s="7"/>
      <c r="B719" s="7"/>
      <c r="C719" s="7"/>
      <c r="D719" s="7"/>
      <c r="E719" s="7"/>
      <c r="F719" s="7"/>
      <c r="G719" s="7"/>
      <c r="H719" s="32"/>
      <c r="I719" s="32"/>
      <c r="J719" s="32"/>
      <c r="K719" s="33"/>
      <c r="L719" s="33"/>
    </row>
    <row r="720" spans="1:12" ht="13.5" customHeight="1" x14ac:dyDescent="0.2">
      <c r="A720" s="7"/>
      <c r="B720" s="7"/>
      <c r="C720" s="7"/>
      <c r="D720" s="7"/>
      <c r="E720" s="7"/>
      <c r="F720" s="7"/>
      <c r="G720" s="7"/>
      <c r="H720" s="32"/>
      <c r="I720" s="32"/>
      <c r="J720" s="32"/>
      <c r="K720" s="33"/>
      <c r="L720" s="33"/>
    </row>
    <row r="721" spans="1:12" ht="13.5" customHeight="1" x14ac:dyDescent="0.2">
      <c r="A721" s="7"/>
      <c r="B721" s="7"/>
      <c r="C721" s="7"/>
      <c r="D721" s="7"/>
      <c r="E721" s="7"/>
      <c r="F721" s="7"/>
      <c r="G721" s="7"/>
      <c r="H721" s="32"/>
      <c r="I721" s="32"/>
      <c r="J721" s="32"/>
      <c r="K721" s="33"/>
      <c r="L721" s="33"/>
    </row>
    <row r="722" spans="1:12" ht="13.5" customHeight="1" x14ac:dyDescent="0.2">
      <c r="A722" s="7"/>
      <c r="B722" s="7"/>
      <c r="C722" s="7"/>
      <c r="D722" s="7"/>
      <c r="E722" s="7"/>
      <c r="F722" s="7"/>
      <c r="G722" s="7"/>
      <c r="H722" s="32"/>
      <c r="I722" s="32"/>
      <c r="J722" s="32"/>
      <c r="K722" s="33"/>
      <c r="L722" s="33"/>
    </row>
    <row r="723" spans="1:12" ht="13.5" customHeight="1" x14ac:dyDescent="0.2">
      <c r="A723" s="7"/>
      <c r="B723" s="7"/>
      <c r="C723" s="7"/>
      <c r="D723" s="7"/>
      <c r="E723" s="7"/>
      <c r="F723" s="7"/>
      <c r="G723" s="7"/>
      <c r="H723" s="32"/>
      <c r="I723" s="32"/>
      <c r="J723" s="32"/>
      <c r="K723" s="33"/>
      <c r="L723" s="33"/>
    </row>
    <row r="724" spans="1:12" ht="13.5" customHeight="1" x14ac:dyDescent="0.2">
      <c r="A724" s="7"/>
      <c r="B724" s="7"/>
      <c r="C724" s="7"/>
      <c r="D724" s="7"/>
      <c r="E724" s="7"/>
      <c r="F724" s="7"/>
      <c r="G724" s="7"/>
      <c r="H724" s="32"/>
      <c r="I724" s="32"/>
      <c r="J724" s="32"/>
      <c r="K724" s="33"/>
      <c r="L724" s="33"/>
    </row>
    <row r="725" spans="1:12" ht="13.5" customHeight="1" x14ac:dyDescent="0.2">
      <c r="A725" s="7"/>
      <c r="B725" s="7"/>
      <c r="C725" s="7"/>
      <c r="D725" s="7"/>
      <c r="E725" s="7"/>
      <c r="F725" s="7"/>
      <c r="G725" s="7"/>
      <c r="H725" s="32"/>
      <c r="I725" s="32"/>
      <c r="J725" s="32"/>
      <c r="K725" s="33"/>
      <c r="L725" s="33"/>
    </row>
    <row r="726" spans="1:12" ht="13.5" customHeight="1" x14ac:dyDescent="0.2">
      <c r="A726" s="7"/>
      <c r="B726" s="7"/>
      <c r="C726" s="7"/>
      <c r="D726" s="7"/>
      <c r="E726" s="7"/>
      <c r="F726" s="7"/>
      <c r="G726" s="7"/>
      <c r="H726" s="32"/>
      <c r="I726" s="32"/>
      <c r="J726" s="32"/>
      <c r="K726" s="33"/>
      <c r="L726" s="33"/>
    </row>
    <row r="727" spans="1:12" ht="13.5" customHeight="1" x14ac:dyDescent="0.2">
      <c r="A727" s="7"/>
      <c r="B727" s="7"/>
      <c r="C727" s="7"/>
      <c r="D727" s="7"/>
      <c r="E727" s="7"/>
      <c r="F727" s="7"/>
      <c r="G727" s="7"/>
      <c r="H727" s="32"/>
      <c r="I727" s="32"/>
      <c r="J727" s="32"/>
      <c r="K727" s="33"/>
      <c r="L727" s="33"/>
    </row>
    <row r="728" spans="1:12" ht="13.5" customHeight="1" x14ac:dyDescent="0.2">
      <c r="A728" s="7"/>
      <c r="B728" s="7"/>
      <c r="C728" s="7"/>
      <c r="D728" s="7"/>
      <c r="E728" s="7"/>
      <c r="F728" s="7"/>
      <c r="G728" s="7"/>
      <c r="H728" s="32"/>
      <c r="I728" s="32"/>
      <c r="J728" s="32"/>
      <c r="K728" s="33"/>
      <c r="L728" s="33"/>
    </row>
    <row r="729" spans="1:12" ht="13.5" customHeight="1" x14ac:dyDescent="0.2">
      <c r="A729" s="7"/>
      <c r="B729" s="7"/>
      <c r="C729" s="7"/>
      <c r="D729" s="7"/>
      <c r="E729" s="7"/>
      <c r="F729" s="7"/>
      <c r="G729" s="7"/>
      <c r="H729" s="32"/>
      <c r="I729" s="32"/>
      <c r="J729" s="32"/>
      <c r="K729" s="33"/>
      <c r="L729" s="33"/>
    </row>
    <row r="730" spans="1:12" ht="13.5" customHeight="1" x14ac:dyDescent="0.2">
      <c r="A730" s="7"/>
      <c r="B730" s="7"/>
      <c r="C730" s="7"/>
      <c r="D730" s="7"/>
      <c r="E730" s="7"/>
      <c r="F730" s="7"/>
      <c r="G730" s="7"/>
      <c r="H730" s="32"/>
      <c r="I730" s="32"/>
      <c r="J730" s="32"/>
      <c r="K730" s="33"/>
      <c r="L730" s="33"/>
    </row>
    <row r="731" spans="1:12" ht="13.5" customHeight="1" x14ac:dyDescent="0.2">
      <c r="A731" s="7"/>
      <c r="B731" s="7"/>
      <c r="C731" s="7"/>
      <c r="D731" s="7"/>
      <c r="E731" s="7"/>
      <c r="F731" s="7"/>
      <c r="G731" s="7"/>
      <c r="H731" s="32"/>
      <c r="I731" s="32"/>
      <c r="J731" s="32"/>
      <c r="K731" s="33"/>
      <c r="L731" s="33"/>
    </row>
    <row r="732" spans="1:12" ht="13.5" customHeight="1" x14ac:dyDescent="0.2">
      <c r="A732" s="7"/>
      <c r="B732" s="7"/>
      <c r="C732" s="7"/>
      <c r="D732" s="7"/>
      <c r="E732" s="7"/>
      <c r="F732" s="7"/>
      <c r="G732" s="7"/>
      <c r="H732" s="32"/>
      <c r="I732" s="32"/>
      <c r="J732" s="32"/>
      <c r="K732" s="33"/>
      <c r="L732" s="33"/>
    </row>
    <row r="733" spans="1:12" ht="13.5" customHeight="1" x14ac:dyDescent="0.2">
      <c r="A733" s="7"/>
      <c r="B733" s="7"/>
      <c r="C733" s="7"/>
      <c r="D733" s="7"/>
      <c r="E733" s="7"/>
      <c r="F733" s="7"/>
      <c r="G733" s="7"/>
      <c r="H733" s="32"/>
      <c r="I733" s="32"/>
      <c r="J733" s="32"/>
      <c r="K733" s="33"/>
      <c r="L733" s="33"/>
    </row>
    <row r="734" spans="1:12" ht="13.5" customHeight="1" x14ac:dyDescent="0.2">
      <c r="A734" s="7"/>
      <c r="B734" s="7"/>
      <c r="C734" s="7"/>
      <c r="D734" s="7"/>
      <c r="E734" s="7"/>
      <c r="F734" s="7"/>
      <c r="G734" s="7"/>
      <c r="H734" s="32"/>
      <c r="I734" s="32"/>
      <c r="J734" s="32"/>
      <c r="K734" s="33"/>
      <c r="L734" s="33"/>
    </row>
    <row r="735" spans="1:12" ht="13.5" customHeight="1" x14ac:dyDescent="0.2">
      <c r="A735" s="7"/>
      <c r="B735" s="7"/>
      <c r="C735" s="7"/>
      <c r="D735" s="7"/>
      <c r="E735" s="7"/>
      <c r="F735" s="7"/>
      <c r="G735" s="7"/>
      <c r="H735" s="32"/>
      <c r="I735" s="32"/>
      <c r="J735" s="32"/>
      <c r="K735" s="33"/>
      <c r="L735" s="33"/>
    </row>
    <row r="736" spans="1:12" ht="13.5" customHeight="1" x14ac:dyDescent="0.2">
      <c r="A736" s="7"/>
      <c r="B736" s="7"/>
      <c r="C736" s="7"/>
      <c r="D736" s="7"/>
      <c r="E736" s="7"/>
      <c r="F736" s="7"/>
      <c r="G736" s="7"/>
      <c r="H736" s="32"/>
      <c r="I736" s="32"/>
      <c r="J736" s="32"/>
      <c r="K736" s="33"/>
      <c r="L736" s="33"/>
    </row>
    <row r="737" spans="1:12" ht="13.5" customHeight="1" x14ac:dyDescent="0.2">
      <c r="A737" s="7"/>
      <c r="B737" s="7"/>
      <c r="C737" s="7"/>
      <c r="D737" s="7"/>
      <c r="E737" s="7"/>
      <c r="F737" s="7"/>
      <c r="G737" s="7"/>
      <c r="H737" s="32"/>
      <c r="I737" s="32"/>
      <c r="J737" s="32"/>
      <c r="K737" s="33"/>
      <c r="L737" s="33"/>
    </row>
    <row r="738" spans="1:12" ht="13.5" customHeight="1" x14ac:dyDescent="0.2">
      <c r="A738" s="7"/>
      <c r="B738" s="7"/>
      <c r="C738" s="7"/>
      <c r="D738" s="7"/>
      <c r="E738" s="7"/>
      <c r="F738" s="7"/>
      <c r="G738" s="7"/>
      <c r="H738" s="32"/>
      <c r="I738" s="32"/>
      <c r="J738" s="32"/>
      <c r="K738" s="33"/>
      <c r="L738" s="33"/>
    </row>
    <row r="739" spans="1:12" ht="13.5" customHeight="1" x14ac:dyDescent="0.2">
      <c r="A739" s="7"/>
      <c r="B739" s="7"/>
      <c r="C739" s="7"/>
      <c r="D739" s="7"/>
      <c r="E739" s="7"/>
      <c r="F739" s="7"/>
      <c r="G739" s="7"/>
      <c r="H739" s="32"/>
      <c r="I739" s="32"/>
      <c r="J739" s="32"/>
      <c r="K739" s="33"/>
      <c r="L739" s="33"/>
    </row>
    <row r="740" spans="1:12" ht="13.5" customHeight="1" x14ac:dyDescent="0.2">
      <c r="A740" s="7"/>
      <c r="B740" s="7"/>
      <c r="C740" s="7"/>
      <c r="D740" s="7"/>
      <c r="E740" s="7"/>
      <c r="F740" s="7"/>
      <c r="G740" s="7"/>
      <c r="H740" s="32"/>
      <c r="I740" s="32"/>
      <c r="J740" s="32"/>
      <c r="K740" s="33"/>
      <c r="L740" s="33"/>
    </row>
    <row r="741" spans="1:12" ht="13.5" customHeight="1" x14ac:dyDescent="0.2">
      <c r="A741" s="7"/>
      <c r="B741" s="7"/>
      <c r="C741" s="7"/>
      <c r="D741" s="7"/>
      <c r="E741" s="7"/>
      <c r="F741" s="7"/>
      <c r="G741" s="7"/>
      <c r="H741" s="32"/>
      <c r="I741" s="32"/>
      <c r="J741" s="32"/>
      <c r="K741" s="33"/>
      <c r="L741" s="33"/>
    </row>
    <row r="742" spans="1:12" ht="13.5" customHeight="1" x14ac:dyDescent="0.2">
      <c r="A742" s="7"/>
      <c r="B742" s="7"/>
      <c r="C742" s="7"/>
      <c r="D742" s="7"/>
      <c r="E742" s="7"/>
      <c r="F742" s="7"/>
      <c r="G742" s="7"/>
      <c r="H742" s="32"/>
      <c r="I742" s="32"/>
      <c r="J742" s="32"/>
      <c r="K742" s="33"/>
      <c r="L742" s="33"/>
    </row>
    <row r="743" spans="1:12" ht="13.5" customHeight="1" x14ac:dyDescent="0.2">
      <c r="A743" s="7"/>
      <c r="B743" s="7"/>
      <c r="C743" s="7"/>
      <c r="D743" s="7"/>
      <c r="E743" s="7"/>
      <c r="F743" s="7"/>
      <c r="G743" s="7"/>
      <c r="H743" s="32"/>
      <c r="I743" s="32"/>
      <c r="J743" s="32"/>
      <c r="K743" s="33"/>
      <c r="L743" s="33"/>
    </row>
    <row r="744" spans="1:12" ht="13.5" customHeight="1" x14ac:dyDescent="0.2">
      <c r="A744" s="7"/>
      <c r="B744" s="7"/>
      <c r="C744" s="7"/>
      <c r="D744" s="7"/>
      <c r="E744" s="7"/>
      <c r="F744" s="7"/>
      <c r="G744" s="7"/>
      <c r="H744" s="32"/>
      <c r="I744" s="32"/>
      <c r="J744" s="32"/>
      <c r="K744" s="33"/>
      <c r="L744" s="33"/>
    </row>
    <row r="745" spans="1:12" ht="13.5" customHeight="1" x14ac:dyDescent="0.2">
      <c r="A745" s="7"/>
      <c r="B745" s="7"/>
      <c r="C745" s="7"/>
      <c r="D745" s="7"/>
      <c r="E745" s="7"/>
      <c r="F745" s="7"/>
      <c r="G745" s="7"/>
      <c r="H745" s="32"/>
      <c r="I745" s="32"/>
      <c r="J745" s="32"/>
      <c r="K745" s="33"/>
      <c r="L745" s="33"/>
    </row>
    <row r="746" spans="1:12" ht="13.5" customHeight="1" x14ac:dyDescent="0.2">
      <c r="A746" s="7"/>
      <c r="B746" s="7"/>
      <c r="C746" s="7"/>
      <c r="D746" s="7"/>
      <c r="E746" s="7"/>
      <c r="F746" s="7"/>
      <c r="G746" s="7"/>
      <c r="H746" s="32"/>
      <c r="I746" s="32"/>
      <c r="J746" s="32"/>
      <c r="K746" s="33"/>
      <c r="L746" s="33"/>
    </row>
    <row r="747" spans="1:12" ht="13.5" customHeight="1" x14ac:dyDescent="0.2">
      <c r="A747" s="7"/>
      <c r="B747" s="7"/>
      <c r="C747" s="7"/>
      <c r="D747" s="7"/>
      <c r="E747" s="7"/>
      <c r="F747" s="7"/>
      <c r="G747" s="7"/>
      <c r="H747" s="32"/>
      <c r="I747" s="32"/>
      <c r="J747" s="32"/>
      <c r="K747" s="33"/>
      <c r="L747" s="33"/>
    </row>
    <row r="748" spans="1:12" ht="13.5" customHeight="1" x14ac:dyDescent="0.2">
      <c r="A748" s="7"/>
      <c r="B748" s="7"/>
      <c r="C748" s="7"/>
      <c r="D748" s="7"/>
      <c r="E748" s="7"/>
      <c r="F748" s="7"/>
      <c r="G748" s="7"/>
      <c r="H748" s="32"/>
      <c r="I748" s="32"/>
      <c r="J748" s="32"/>
      <c r="K748" s="33"/>
      <c r="L748" s="33"/>
    </row>
    <row r="749" spans="1:12" ht="13.5" customHeight="1" x14ac:dyDescent="0.2">
      <c r="A749" s="7"/>
      <c r="B749" s="7"/>
      <c r="C749" s="7"/>
      <c r="D749" s="7"/>
      <c r="E749" s="7"/>
      <c r="F749" s="7"/>
      <c r="G749" s="7"/>
      <c r="H749" s="32"/>
      <c r="I749" s="32"/>
      <c r="J749" s="32"/>
      <c r="K749" s="33"/>
      <c r="L749" s="33"/>
    </row>
    <row r="750" spans="1:12" ht="13.5" customHeight="1" x14ac:dyDescent="0.2">
      <c r="A750" s="7"/>
      <c r="B750" s="7"/>
      <c r="C750" s="7"/>
      <c r="D750" s="7"/>
      <c r="E750" s="7"/>
      <c r="F750" s="7"/>
      <c r="G750" s="7"/>
      <c r="H750" s="32"/>
      <c r="I750" s="32"/>
      <c r="J750" s="32"/>
      <c r="K750" s="33"/>
      <c r="L750" s="33"/>
    </row>
    <row r="751" spans="1:12" ht="13.5" customHeight="1" x14ac:dyDescent="0.2">
      <c r="A751" s="7"/>
      <c r="B751" s="7"/>
      <c r="C751" s="7"/>
      <c r="D751" s="7"/>
      <c r="E751" s="7"/>
      <c r="F751" s="7"/>
      <c r="G751" s="7"/>
      <c r="H751" s="32"/>
      <c r="I751" s="32"/>
      <c r="J751" s="32"/>
      <c r="K751" s="33"/>
      <c r="L751" s="33"/>
    </row>
    <row r="752" spans="1:12" ht="13.5" customHeight="1" x14ac:dyDescent="0.2">
      <c r="A752" s="7"/>
      <c r="B752" s="7"/>
      <c r="C752" s="7"/>
      <c r="D752" s="7"/>
      <c r="E752" s="7"/>
      <c r="F752" s="7"/>
      <c r="G752" s="7"/>
      <c r="H752" s="32"/>
      <c r="I752" s="32"/>
      <c r="J752" s="32"/>
      <c r="K752" s="33"/>
      <c r="L752" s="33"/>
    </row>
    <row r="753" spans="1:12" ht="13.5" customHeight="1" x14ac:dyDescent="0.2">
      <c r="A753" s="7"/>
      <c r="B753" s="7"/>
      <c r="C753" s="7"/>
      <c r="D753" s="7"/>
      <c r="E753" s="7"/>
      <c r="F753" s="7"/>
      <c r="G753" s="7"/>
      <c r="H753" s="32"/>
      <c r="I753" s="32"/>
      <c r="J753" s="32"/>
      <c r="K753" s="33"/>
      <c r="L753" s="33"/>
    </row>
    <row r="754" spans="1:12" ht="13.5" customHeight="1" x14ac:dyDescent="0.2">
      <c r="A754" s="7"/>
      <c r="B754" s="7"/>
      <c r="C754" s="7"/>
      <c r="D754" s="7"/>
      <c r="E754" s="7"/>
      <c r="F754" s="7"/>
      <c r="G754" s="7"/>
      <c r="H754" s="32"/>
      <c r="I754" s="32"/>
      <c r="J754" s="32"/>
      <c r="K754" s="33"/>
      <c r="L754" s="33"/>
    </row>
    <row r="755" spans="1:12" ht="13.5" customHeight="1" x14ac:dyDescent="0.2">
      <c r="A755" s="7"/>
      <c r="B755" s="7"/>
      <c r="C755" s="7"/>
      <c r="D755" s="7"/>
      <c r="E755" s="7"/>
      <c r="F755" s="7"/>
      <c r="G755" s="7"/>
      <c r="H755" s="32"/>
      <c r="I755" s="32"/>
      <c r="J755" s="32"/>
      <c r="K755" s="33"/>
      <c r="L755" s="33"/>
    </row>
    <row r="756" spans="1:12" ht="13.5" customHeight="1" x14ac:dyDescent="0.2">
      <c r="A756" s="7"/>
      <c r="B756" s="7"/>
      <c r="C756" s="7"/>
      <c r="D756" s="7"/>
      <c r="E756" s="7"/>
      <c r="F756" s="7"/>
      <c r="G756" s="7"/>
      <c r="H756" s="32"/>
      <c r="I756" s="32"/>
      <c r="J756" s="32"/>
      <c r="K756" s="33"/>
      <c r="L756" s="33"/>
    </row>
    <row r="757" spans="1:12" ht="13.5" customHeight="1" x14ac:dyDescent="0.2">
      <c r="A757" s="7"/>
      <c r="B757" s="7"/>
      <c r="C757" s="7"/>
      <c r="D757" s="7"/>
      <c r="E757" s="7"/>
      <c r="F757" s="7"/>
      <c r="G757" s="7"/>
      <c r="H757" s="32"/>
      <c r="I757" s="32"/>
      <c r="J757" s="32"/>
      <c r="K757" s="33"/>
      <c r="L757" s="33"/>
    </row>
    <row r="758" spans="1:12" ht="13.5" customHeight="1" x14ac:dyDescent="0.2">
      <c r="A758" s="7"/>
      <c r="B758" s="7"/>
      <c r="C758" s="7"/>
      <c r="D758" s="7"/>
      <c r="E758" s="7"/>
      <c r="F758" s="7"/>
      <c r="G758" s="7"/>
      <c r="H758" s="32"/>
      <c r="I758" s="32"/>
      <c r="J758" s="32"/>
      <c r="K758" s="33"/>
      <c r="L758" s="33"/>
    </row>
    <row r="759" spans="1:12" ht="13.5" customHeight="1" x14ac:dyDescent="0.2">
      <c r="A759" s="7"/>
      <c r="B759" s="7"/>
      <c r="C759" s="7"/>
      <c r="D759" s="7"/>
      <c r="E759" s="7"/>
      <c r="F759" s="7"/>
      <c r="G759" s="7"/>
      <c r="H759" s="32"/>
      <c r="I759" s="32"/>
      <c r="J759" s="32"/>
      <c r="K759" s="33"/>
      <c r="L759" s="33"/>
    </row>
    <row r="760" spans="1:12" ht="13.5" customHeight="1" x14ac:dyDescent="0.2">
      <c r="A760" s="7"/>
      <c r="B760" s="7"/>
      <c r="C760" s="7"/>
      <c r="D760" s="7"/>
      <c r="E760" s="7"/>
      <c r="F760" s="7"/>
      <c r="G760" s="7"/>
      <c r="H760" s="32"/>
      <c r="I760" s="32"/>
      <c r="J760" s="32"/>
      <c r="K760" s="33"/>
      <c r="L760" s="33"/>
    </row>
    <row r="761" spans="1:12" ht="13.5" customHeight="1" x14ac:dyDescent="0.2">
      <c r="A761" s="7"/>
      <c r="B761" s="7"/>
      <c r="C761" s="7"/>
      <c r="D761" s="7"/>
      <c r="E761" s="7"/>
      <c r="F761" s="7"/>
      <c r="G761" s="7"/>
      <c r="H761" s="32"/>
      <c r="I761" s="32"/>
      <c r="J761" s="32"/>
      <c r="K761" s="33"/>
      <c r="L761" s="33"/>
    </row>
    <row r="762" spans="1:12" ht="13.5" customHeight="1" x14ac:dyDescent="0.2">
      <c r="A762" s="7"/>
      <c r="B762" s="7"/>
      <c r="C762" s="7"/>
      <c r="D762" s="7"/>
      <c r="E762" s="7"/>
      <c r="F762" s="7"/>
      <c r="G762" s="7"/>
      <c r="H762" s="32"/>
      <c r="I762" s="32"/>
      <c r="J762" s="32"/>
      <c r="K762" s="33"/>
      <c r="L762" s="33"/>
    </row>
    <row r="763" spans="1:12" ht="13.5" customHeight="1" x14ac:dyDescent="0.2">
      <c r="A763" s="7"/>
      <c r="B763" s="7"/>
      <c r="C763" s="7"/>
      <c r="D763" s="7"/>
      <c r="E763" s="7"/>
      <c r="F763" s="7"/>
      <c r="G763" s="7"/>
      <c r="H763" s="32"/>
      <c r="I763" s="32"/>
      <c r="J763" s="32"/>
      <c r="K763" s="33"/>
      <c r="L763" s="33"/>
    </row>
    <row r="764" spans="1:12" ht="13.5" customHeight="1" x14ac:dyDescent="0.2">
      <c r="A764" s="7"/>
      <c r="B764" s="7"/>
      <c r="C764" s="7"/>
      <c r="D764" s="7"/>
      <c r="E764" s="7"/>
      <c r="F764" s="7"/>
      <c r="G764" s="7"/>
      <c r="H764" s="32"/>
      <c r="I764" s="32"/>
      <c r="J764" s="32"/>
      <c r="K764" s="33"/>
      <c r="L764" s="33"/>
    </row>
    <row r="765" spans="1:12" ht="13.5" customHeight="1" x14ac:dyDescent="0.2">
      <c r="A765" s="7"/>
      <c r="B765" s="7"/>
      <c r="C765" s="7"/>
      <c r="D765" s="7"/>
      <c r="E765" s="7"/>
      <c r="F765" s="7"/>
      <c r="G765" s="7"/>
      <c r="H765" s="32"/>
      <c r="I765" s="32"/>
      <c r="J765" s="32"/>
      <c r="K765" s="33"/>
      <c r="L765" s="33"/>
    </row>
    <row r="766" spans="1:12" ht="13.5" customHeight="1" x14ac:dyDescent="0.2">
      <c r="A766" s="7"/>
      <c r="B766" s="7"/>
      <c r="C766" s="7"/>
      <c r="D766" s="7"/>
      <c r="E766" s="7"/>
      <c r="F766" s="7"/>
      <c r="G766" s="7"/>
      <c r="H766" s="32"/>
      <c r="I766" s="32"/>
      <c r="J766" s="32"/>
      <c r="K766" s="33"/>
      <c r="L766" s="33"/>
    </row>
    <row r="767" spans="1:12" ht="13.5" customHeight="1" x14ac:dyDescent="0.2">
      <c r="A767" s="7"/>
      <c r="B767" s="7"/>
      <c r="C767" s="7"/>
      <c r="D767" s="7"/>
      <c r="E767" s="7"/>
      <c r="F767" s="7"/>
      <c r="G767" s="7"/>
      <c r="H767" s="32"/>
      <c r="I767" s="32"/>
      <c r="J767" s="32"/>
      <c r="K767" s="33"/>
      <c r="L767" s="33"/>
    </row>
    <row r="768" spans="1:12" ht="13.5" customHeight="1" x14ac:dyDescent="0.2">
      <c r="A768" s="7"/>
      <c r="B768" s="7"/>
      <c r="C768" s="7"/>
      <c r="D768" s="7"/>
      <c r="E768" s="7"/>
      <c r="F768" s="7"/>
      <c r="G768" s="7"/>
      <c r="H768" s="32"/>
      <c r="I768" s="32"/>
      <c r="J768" s="32"/>
      <c r="K768" s="33"/>
      <c r="L768" s="33"/>
    </row>
    <row r="769" spans="1:12" ht="13.5" customHeight="1" x14ac:dyDescent="0.2">
      <c r="A769" s="7"/>
      <c r="B769" s="7"/>
      <c r="C769" s="7"/>
      <c r="D769" s="7"/>
      <c r="E769" s="7"/>
      <c r="F769" s="7"/>
      <c r="G769" s="7"/>
      <c r="H769" s="32"/>
      <c r="I769" s="32"/>
      <c r="J769" s="32"/>
      <c r="K769" s="33"/>
      <c r="L769" s="33"/>
    </row>
    <row r="770" spans="1:12" ht="13.5" customHeight="1" x14ac:dyDescent="0.2">
      <c r="A770" s="7"/>
      <c r="B770" s="7"/>
      <c r="C770" s="7"/>
      <c r="D770" s="7"/>
      <c r="E770" s="7"/>
      <c r="F770" s="7"/>
      <c r="G770" s="7"/>
      <c r="H770" s="32"/>
      <c r="I770" s="32"/>
      <c r="J770" s="32"/>
      <c r="K770" s="33"/>
      <c r="L770" s="33"/>
    </row>
    <row r="771" spans="1:12" ht="13.5" customHeight="1" x14ac:dyDescent="0.2">
      <c r="A771" s="7"/>
      <c r="B771" s="7"/>
      <c r="C771" s="7"/>
      <c r="D771" s="7"/>
      <c r="E771" s="7"/>
      <c r="F771" s="7"/>
      <c r="G771" s="7"/>
      <c r="H771" s="32"/>
      <c r="I771" s="32"/>
      <c r="J771" s="32"/>
      <c r="K771" s="33"/>
      <c r="L771" s="33"/>
    </row>
    <row r="772" spans="1:12" ht="13.5" customHeight="1" x14ac:dyDescent="0.2">
      <c r="A772" s="7"/>
      <c r="B772" s="7"/>
      <c r="C772" s="7"/>
      <c r="D772" s="7"/>
      <c r="E772" s="7"/>
      <c r="F772" s="7"/>
      <c r="G772" s="7"/>
      <c r="H772" s="32"/>
      <c r="I772" s="32"/>
      <c r="J772" s="32"/>
      <c r="K772" s="33"/>
      <c r="L772" s="33"/>
    </row>
    <row r="773" spans="1:12" ht="13.5" customHeight="1" x14ac:dyDescent="0.2">
      <c r="A773" s="7"/>
      <c r="B773" s="7"/>
      <c r="C773" s="7"/>
      <c r="D773" s="7"/>
      <c r="E773" s="7"/>
      <c r="F773" s="7"/>
      <c r="G773" s="7"/>
      <c r="H773" s="32"/>
      <c r="I773" s="32"/>
      <c r="J773" s="32"/>
      <c r="K773" s="33"/>
      <c r="L773" s="33"/>
    </row>
    <row r="774" spans="1:12" ht="13.5" customHeight="1" x14ac:dyDescent="0.2">
      <c r="A774" s="7"/>
      <c r="B774" s="7"/>
      <c r="C774" s="7"/>
      <c r="D774" s="7"/>
      <c r="E774" s="7"/>
      <c r="F774" s="7"/>
      <c r="G774" s="7"/>
      <c r="H774" s="32"/>
      <c r="I774" s="32"/>
      <c r="J774" s="32"/>
      <c r="K774" s="33"/>
      <c r="L774" s="33"/>
    </row>
    <row r="775" spans="1:12" ht="13.5" customHeight="1" x14ac:dyDescent="0.2">
      <c r="A775" s="7"/>
      <c r="B775" s="7"/>
      <c r="C775" s="7"/>
      <c r="D775" s="7"/>
      <c r="E775" s="7"/>
      <c r="F775" s="7"/>
      <c r="G775" s="7"/>
      <c r="H775" s="32"/>
      <c r="I775" s="32"/>
      <c r="J775" s="32"/>
      <c r="K775" s="33"/>
      <c r="L775" s="33"/>
    </row>
    <row r="776" spans="1:12" ht="13.5" customHeight="1" x14ac:dyDescent="0.2">
      <c r="A776" s="7"/>
      <c r="B776" s="7"/>
      <c r="C776" s="7"/>
      <c r="D776" s="7"/>
      <c r="E776" s="7"/>
      <c r="F776" s="7"/>
      <c r="G776" s="7"/>
      <c r="H776" s="32"/>
      <c r="I776" s="32"/>
      <c r="J776" s="32"/>
      <c r="K776" s="33"/>
      <c r="L776" s="33"/>
    </row>
    <row r="777" spans="1:12" ht="13.5" customHeight="1" x14ac:dyDescent="0.2">
      <c r="A777" s="7"/>
      <c r="B777" s="7"/>
      <c r="C777" s="7"/>
      <c r="D777" s="7"/>
      <c r="E777" s="7"/>
      <c r="F777" s="7"/>
      <c r="G777" s="7"/>
      <c r="H777" s="32"/>
      <c r="I777" s="32"/>
      <c r="J777" s="32"/>
      <c r="K777" s="33"/>
      <c r="L777" s="33"/>
    </row>
    <row r="778" spans="1:12" ht="13.5" customHeight="1" x14ac:dyDescent="0.2">
      <c r="A778" s="7"/>
      <c r="B778" s="7"/>
      <c r="C778" s="7"/>
      <c r="D778" s="7"/>
      <c r="E778" s="7"/>
      <c r="F778" s="7"/>
      <c r="G778" s="7"/>
      <c r="H778" s="32"/>
      <c r="I778" s="32"/>
      <c r="J778" s="32"/>
      <c r="K778" s="33"/>
      <c r="L778" s="33"/>
    </row>
    <row r="779" spans="1:12" ht="13.5" customHeight="1" x14ac:dyDescent="0.2">
      <c r="A779" s="7"/>
      <c r="B779" s="7"/>
      <c r="C779" s="7"/>
      <c r="D779" s="7"/>
      <c r="E779" s="7"/>
      <c r="F779" s="7"/>
      <c r="G779" s="7"/>
      <c r="H779" s="32"/>
      <c r="I779" s="32"/>
      <c r="J779" s="32"/>
      <c r="K779" s="33"/>
      <c r="L779" s="33"/>
    </row>
    <row r="780" spans="1:12" ht="13.5" customHeight="1" x14ac:dyDescent="0.2">
      <c r="A780" s="7"/>
      <c r="B780" s="7"/>
      <c r="C780" s="7"/>
      <c r="D780" s="7"/>
      <c r="E780" s="7"/>
      <c r="F780" s="7"/>
      <c r="G780" s="7"/>
      <c r="H780" s="32"/>
      <c r="I780" s="32"/>
      <c r="J780" s="32"/>
      <c r="K780" s="33"/>
      <c r="L780" s="33"/>
    </row>
    <row r="781" spans="1:12" ht="13.5" customHeight="1" x14ac:dyDescent="0.2">
      <c r="A781" s="7"/>
      <c r="B781" s="7"/>
      <c r="C781" s="7"/>
      <c r="D781" s="7"/>
      <c r="E781" s="7"/>
      <c r="F781" s="7"/>
      <c r="G781" s="7"/>
      <c r="H781" s="32"/>
      <c r="I781" s="32"/>
      <c r="J781" s="32"/>
      <c r="K781" s="33"/>
      <c r="L781" s="33"/>
    </row>
    <row r="782" spans="1:12" ht="13.5" customHeight="1" x14ac:dyDescent="0.2">
      <c r="A782" s="7"/>
      <c r="B782" s="7"/>
      <c r="C782" s="7"/>
      <c r="D782" s="7"/>
      <c r="E782" s="7"/>
      <c r="F782" s="7"/>
      <c r="G782" s="7"/>
      <c r="H782" s="32"/>
      <c r="I782" s="32"/>
      <c r="J782" s="32"/>
      <c r="K782" s="33"/>
      <c r="L782" s="33"/>
    </row>
    <row r="783" spans="1:12" ht="13.5" customHeight="1" x14ac:dyDescent="0.2">
      <c r="A783" s="7"/>
      <c r="B783" s="7"/>
      <c r="C783" s="7"/>
      <c r="D783" s="7"/>
      <c r="E783" s="7"/>
      <c r="F783" s="7"/>
      <c r="G783" s="7"/>
      <c r="H783" s="32"/>
      <c r="I783" s="32"/>
      <c r="J783" s="32"/>
      <c r="K783" s="33"/>
      <c r="L783" s="33"/>
    </row>
    <row r="784" spans="1:12" ht="13.5" customHeight="1" x14ac:dyDescent="0.2">
      <c r="A784" s="7"/>
      <c r="B784" s="7"/>
      <c r="C784" s="7"/>
      <c r="D784" s="7"/>
      <c r="E784" s="7"/>
      <c r="F784" s="7"/>
      <c r="G784" s="7"/>
      <c r="H784" s="32"/>
      <c r="I784" s="32"/>
      <c r="J784" s="32"/>
      <c r="K784" s="33"/>
      <c r="L784" s="33"/>
    </row>
    <row r="785" spans="1:12" ht="13.5" customHeight="1" x14ac:dyDescent="0.2">
      <c r="A785" s="7"/>
      <c r="B785" s="7"/>
      <c r="C785" s="7"/>
      <c r="D785" s="7"/>
      <c r="E785" s="7"/>
      <c r="F785" s="7"/>
      <c r="G785" s="7"/>
      <c r="H785" s="32"/>
      <c r="I785" s="32"/>
      <c r="J785" s="32"/>
      <c r="K785" s="33"/>
      <c r="L785" s="33"/>
    </row>
    <row r="786" spans="1:12" ht="13.5" customHeight="1" x14ac:dyDescent="0.2">
      <c r="A786" s="7"/>
      <c r="B786" s="7"/>
      <c r="C786" s="7"/>
      <c r="D786" s="7"/>
      <c r="E786" s="7"/>
      <c r="F786" s="7"/>
      <c r="G786" s="7"/>
      <c r="H786" s="32"/>
      <c r="I786" s="32"/>
      <c r="J786" s="32"/>
      <c r="K786" s="33"/>
      <c r="L786" s="33"/>
    </row>
    <row r="787" spans="1:12" ht="13.5" customHeight="1" x14ac:dyDescent="0.2">
      <c r="A787" s="7"/>
      <c r="B787" s="7"/>
      <c r="C787" s="7"/>
      <c r="D787" s="7"/>
      <c r="E787" s="7"/>
      <c r="F787" s="7"/>
      <c r="G787" s="7"/>
      <c r="H787" s="32"/>
      <c r="I787" s="32"/>
      <c r="J787" s="32"/>
      <c r="K787" s="33"/>
      <c r="L787" s="33"/>
    </row>
    <row r="788" spans="1:12" ht="13.5" customHeight="1" x14ac:dyDescent="0.2">
      <c r="A788" s="7"/>
      <c r="B788" s="7"/>
      <c r="C788" s="7"/>
      <c r="D788" s="7"/>
      <c r="E788" s="7"/>
      <c r="F788" s="7"/>
      <c r="G788" s="7"/>
      <c r="H788" s="32"/>
      <c r="I788" s="32"/>
      <c r="J788" s="32"/>
      <c r="K788" s="33"/>
      <c r="L788" s="33"/>
    </row>
    <row r="789" spans="1:12" ht="13.5" customHeight="1" x14ac:dyDescent="0.2">
      <c r="A789" s="7"/>
      <c r="B789" s="7"/>
      <c r="C789" s="7"/>
      <c r="D789" s="7"/>
      <c r="E789" s="7"/>
      <c r="F789" s="7"/>
      <c r="G789" s="7"/>
      <c r="H789" s="32"/>
      <c r="I789" s="32"/>
      <c r="J789" s="32"/>
      <c r="K789" s="33"/>
      <c r="L789" s="33"/>
    </row>
    <row r="790" spans="1:12" ht="13.5" customHeight="1" x14ac:dyDescent="0.2">
      <c r="A790" s="7"/>
      <c r="B790" s="7"/>
      <c r="C790" s="7"/>
      <c r="D790" s="7"/>
      <c r="E790" s="7"/>
      <c r="F790" s="7"/>
      <c r="G790" s="7"/>
      <c r="H790" s="32"/>
      <c r="I790" s="32"/>
      <c r="J790" s="32"/>
      <c r="K790" s="33"/>
      <c r="L790" s="33"/>
    </row>
    <row r="791" spans="1:12" ht="13.5" customHeight="1" x14ac:dyDescent="0.2">
      <c r="A791" s="7"/>
      <c r="B791" s="7"/>
      <c r="C791" s="7"/>
      <c r="D791" s="7"/>
      <c r="E791" s="7"/>
      <c r="F791" s="7"/>
      <c r="G791" s="7"/>
      <c r="H791" s="32"/>
      <c r="I791" s="32"/>
      <c r="J791" s="32"/>
      <c r="K791" s="33"/>
      <c r="L791" s="33"/>
    </row>
    <row r="792" spans="1:12" ht="13.5" customHeight="1" x14ac:dyDescent="0.2">
      <c r="A792" s="7"/>
      <c r="B792" s="7"/>
      <c r="C792" s="7"/>
      <c r="D792" s="7"/>
      <c r="E792" s="7"/>
      <c r="F792" s="7"/>
      <c r="G792" s="7"/>
      <c r="H792" s="32"/>
      <c r="I792" s="32"/>
      <c r="J792" s="32"/>
      <c r="K792" s="33"/>
      <c r="L792" s="33"/>
    </row>
    <row r="793" spans="1:12" ht="13.5" customHeight="1" x14ac:dyDescent="0.2">
      <c r="A793" s="7"/>
      <c r="B793" s="7"/>
      <c r="C793" s="7"/>
      <c r="D793" s="7"/>
      <c r="E793" s="7"/>
      <c r="F793" s="7"/>
      <c r="G793" s="7"/>
      <c r="H793" s="32"/>
      <c r="I793" s="32"/>
      <c r="J793" s="32"/>
      <c r="K793" s="33"/>
      <c r="L793" s="33"/>
    </row>
    <row r="794" spans="1:12" ht="13.5" customHeight="1" x14ac:dyDescent="0.2">
      <c r="A794" s="7"/>
      <c r="B794" s="7"/>
      <c r="C794" s="7"/>
      <c r="D794" s="7"/>
      <c r="E794" s="7"/>
      <c r="F794" s="7"/>
      <c r="G794" s="7"/>
      <c r="H794" s="32"/>
      <c r="I794" s="32"/>
      <c r="J794" s="32"/>
      <c r="K794" s="33"/>
      <c r="L794" s="33"/>
    </row>
    <row r="795" spans="1:12" ht="13.5" customHeight="1" x14ac:dyDescent="0.2">
      <c r="A795" s="7"/>
      <c r="B795" s="7"/>
      <c r="C795" s="7"/>
      <c r="D795" s="7"/>
      <c r="E795" s="7"/>
      <c r="F795" s="7"/>
      <c r="G795" s="7"/>
      <c r="H795" s="32"/>
      <c r="I795" s="32"/>
      <c r="J795" s="32"/>
      <c r="K795" s="33"/>
      <c r="L795" s="33"/>
    </row>
    <row r="796" spans="1:12" ht="13.5" customHeight="1" x14ac:dyDescent="0.2">
      <c r="A796" s="7"/>
      <c r="B796" s="7"/>
      <c r="C796" s="7"/>
      <c r="D796" s="7"/>
      <c r="E796" s="7"/>
      <c r="F796" s="7"/>
      <c r="G796" s="7"/>
      <c r="H796" s="32"/>
      <c r="I796" s="32"/>
      <c r="J796" s="32"/>
      <c r="K796" s="33"/>
      <c r="L796" s="33"/>
    </row>
    <row r="797" spans="1:12" ht="13.5" customHeight="1" x14ac:dyDescent="0.2">
      <c r="A797" s="7"/>
      <c r="B797" s="7"/>
      <c r="C797" s="7"/>
      <c r="D797" s="7"/>
      <c r="E797" s="7"/>
      <c r="F797" s="7"/>
      <c r="G797" s="7"/>
      <c r="H797" s="32"/>
      <c r="I797" s="32"/>
      <c r="J797" s="32"/>
      <c r="K797" s="33"/>
      <c r="L797" s="33"/>
    </row>
    <row r="798" spans="1:12" ht="13.5" customHeight="1" x14ac:dyDescent="0.2">
      <c r="A798" s="7"/>
      <c r="B798" s="7"/>
      <c r="C798" s="7"/>
      <c r="D798" s="7"/>
      <c r="E798" s="7"/>
      <c r="F798" s="7"/>
      <c r="G798" s="7"/>
      <c r="H798" s="32"/>
      <c r="I798" s="32"/>
      <c r="J798" s="32"/>
      <c r="K798" s="33"/>
      <c r="L798" s="33"/>
    </row>
    <row r="799" spans="1:12" ht="13.5" customHeight="1" x14ac:dyDescent="0.2">
      <c r="A799" s="7"/>
      <c r="B799" s="7"/>
      <c r="C799" s="7"/>
      <c r="D799" s="7"/>
      <c r="E799" s="7"/>
      <c r="F799" s="7"/>
      <c r="G799" s="7"/>
      <c r="H799" s="32"/>
      <c r="I799" s="32"/>
      <c r="J799" s="32"/>
      <c r="K799" s="33"/>
      <c r="L799" s="33"/>
    </row>
    <row r="800" spans="1:12" ht="13.5" customHeight="1" x14ac:dyDescent="0.2">
      <c r="A800" s="7"/>
      <c r="B800" s="7"/>
      <c r="C800" s="7"/>
      <c r="D800" s="7"/>
      <c r="E800" s="7"/>
      <c r="F800" s="7"/>
      <c r="G800" s="7"/>
      <c r="H800" s="32"/>
      <c r="I800" s="32"/>
      <c r="J800" s="32"/>
      <c r="K800" s="33"/>
      <c r="L800" s="33"/>
    </row>
    <row r="801" spans="1:12" ht="13.5" customHeight="1" x14ac:dyDescent="0.2">
      <c r="A801" s="7"/>
      <c r="B801" s="7"/>
      <c r="C801" s="7"/>
      <c r="D801" s="7"/>
      <c r="E801" s="7"/>
      <c r="F801" s="7"/>
      <c r="G801" s="7"/>
      <c r="H801" s="32"/>
      <c r="I801" s="32"/>
      <c r="J801" s="32"/>
      <c r="K801" s="33"/>
      <c r="L801" s="33"/>
    </row>
    <row r="802" spans="1:12" ht="13.5" customHeight="1" x14ac:dyDescent="0.2">
      <c r="A802" s="7"/>
      <c r="B802" s="7"/>
      <c r="C802" s="7"/>
      <c r="D802" s="7"/>
      <c r="E802" s="7"/>
      <c r="F802" s="7"/>
      <c r="G802" s="7"/>
      <c r="H802" s="32"/>
      <c r="I802" s="32"/>
      <c r="J802" s="32"/>
      <c r="K802" s="33"/>
      <c r="L802" s="33"/>
    </row>
    <row r="803" spans="1:12" ht="13.5" customHeight="1" x14ac:dyDescent="0.2">
      <c r="A803" s="7"/>
      <c r="B803" s="7"/>
      <c r="C803" s="7"/>
      <c r="D803" s="7"/>
      <c r="E803" s="7"/>
      <c r="F803" s="7"/>
      <c r="G803" s="7"/>
      <c r="H803" s="32"/>
      <c r="I803" s="32"/>
      <c r="J803" s="32"/>
      <c r="K803" s="33"/>
      <c r="L803" s="33"/>
    </row>
    <row r="804" spans="1:12" ht="13.5" customHeight="1" x14ac:dyDescent="0.2">
      <c r="A804" s="7"/>
      <c r="B804" s="7"/>
      <c r="C804" s="7"/>
      <c r="D804" s="7"/>
      <c r="E804" s="7"/>
      <c r="F804" s="7"/>
      <c r="G804" s="7"/>
      <c r="H804" s="32"/>
      <c r="I804" s="32"/>
      <c r="J804" s="32"/>
      <c r="K804" s="33"/>
      <c r="L804" s="33"/>
    </row>
    <row r="805" spans="1:12" ht="13.5" customHeight="1" x14ac:dyDescent="0.2">
      <c r="A805" s="7"/>
      <c r="B805" s="7"/>
      <c r="C805" s="7"/>
      <c r="D805" s="7"/>
      <c r="E805" s="7"/>
      <c r="F805" s="7"/>
      <c r="G805" s="7"/>
      <c r="H805" s="32"/>
      <c r="I805" s="32"/>
      <c r="J805" s="32"/>
      <c r="K805" s="33"/>
      <c r="L805" s="33"/>
    </row>
    <row r="806" spans="1:12" ht="13.5" customHeight="1" x14ac:dyDescent="0.2">
      <c r="A806" s="7"/>
      <c r="B806" s="7"/>
      <c r="C806" s="7"/>
      <c r="D806" s="7"/>
      <c r="E806" s="7"/>
      <c r="F806" s="7"/>
      <c r="G806" s="7"/>
      <c r="H806" s="32"/>
      <c r="I806" s="32"/>
      <c r="J806" s="32"/>
      <c r="K806" s="33"/>
      <c r="L806" s="33"/>
    </row>
    <row r="807" spans="1:12" ht="13.5" customHeight="1" x14ac:dyDescent="0.2">
      <c r="A807" s="7"/>
      <c r="B807" s="7"/>
      <c r="C807" s="7"/>
      <c r="D807" s="7"/>
      <c r="E807" s="7"/>
      <c r="F807" s="7"/>
      <c r="G807" s="7"/>
      <c r="H807" s="32"/>
      <c r="I807" s="32"/>
      <c r="J807" s="32"/>
      <c r="K807" s="33"/>
      <c r="L807" s="33"/>
    </row>
    <row r="808" spans="1:12" ht="13.5" customHeight="1" x14ac:dyDescent="0.2">
      <c r="A808" s="7"/>
      <c r="B808" s="7"/>
      <c r="C808" s="7"/>
      <c r="D808" s="7"/>
      <c r="E808" s="7"/>
      <c r="F808" s="7"/>
      <c r="G808" s="7"/>
      <c r="H808" s="32"/>
      <c r="I808" s="32"/>
      <c r="J808" s="32"/>
      <c r="K808" s="33"/>
      <c r="L808" s="33"/>
    </row>
    <row r="809" spans="1:12" ht="13.5" customHeight="1" x14ac:dyDescent="0.2">
      <c r="A809" s="7"/>
      <c r="B809" s="7"/>
      <c r="C809" s="7"/>
      <c r="D809" s="7"/>
      <c r="E809" s="7"/>
      <c r="F809" s="7"/>
      <c r="G809" s="7"/>
      <c r="H809" s="32"/>
      <c r="I809" s="32"/>
      <c r="J809" s="32"/>
      <c r="K809" s="33"/>
      <c r="L809" s="33"/>
    </row>
    <row r="810" spans="1:12" ht="13.5" customHeight="1" x14ac:dyDescent="0.2">
      <c r="A810" s="7"/>
      <c r="B810" s="7"/>
      <c r="C810" s="7"/>
      <c r="D810" s="7"/>
      <c r="E810" s="7"/>
      <c r="F810" s="7"/>
      <c r="G810" s="7"/>
      <c r="H810" s="32"/>
      <c r="I810" s="32"/>
      <c r="J810" s="32"/>
      <c r="K810" s="33"/>
      <c r="L810" s="33"/>
    </row>
    <row r="811" spans="1:12" ht="13.5" customHeight="1" x14ac:dyDescent="0.2">
      <c r="A811" s="7"/>
      <c r="B811" s="7"/>
      <c r="C811" s="7"/>
      <c r="D811" s="7"/>
      <c r="E811" s="7"/>
      <c r="F811" s="7"/>
      <c r="G811" s="7"/>
      <c r="H811" s="32"/>
      <c r="I811" s="32"/>
      <c r="J811" s="32"/>
      <c r="K811" s="33"/>
      <c r="L811" s="33"/>
    </row>
    <row r="812" spans="1:12" ht="13.5" customHeight="1" x14ac:dyDescent="0.2">
      <c r="A812" s="7"/>
      <c r="B812" s="7"/>
      <c r="C812" s="7"/>
      <c r="D812" s="7"/>
      <c r="E812" s="7"/>
      <c r="F812" s="7"/>
      <c r="G812" s="7"/>
      <c r="H812" s="32"/>
      <c r="I812" s="32"/>
      <c r="J812" s="32"/>
      <c r="K812" s="33"/>
      <c r="L812" s="33"/>
    </row>
    <row r="813" spans="1:12" ht="13.5" customHeight="1" x14ac:dyDescent="0.2">
      <c r="A813" s="7"/>
      <c r="B813" s="7"/>
      <c r="C813" s="7"/>
      <c r="D813" s="7"/>
      <c r="E813" s="7"/>
      <c r="F813" s="7"/>
      <c r="G813" s="7"/>
      <c r="H813" s="32"/>
      <c r="I813" s="32"/>
      <c r="J813" s="32"/>
      <c r="K813" s="33"/>
      <c r="L813" s="33"/>
    </row>
    <row r="814" spans="1:12" ht="13.5" customHeight="1" x14ac:dyDescent="0.2">
      <c r="A814" s="7"/>
      <c r="B814" s="7"/>
      <c r="C814" s="7"/>
      <c r="D814" s="7"/>
      <c r="E814" s="7"/>
      <c r="F814" s="7"/>
      <c r="G814" s="7"/>
      <c r="H814" s="32"/>
      <c r="I814" s="32"/>
      <c r="J814" s="32"/>
      <c r="K814" s="33"/>
      <c r="L814" s="33"/>
    </row>
    <row r="815" spans="1:12" ht="13.5" customHeight="1" x14ac:dyDescent="0.2">
      <c r="A815" s="7"/>
      <c r="B815" s="7"/>
      <c r="C815" s="7"/>
      <c r="D815" s="7"/>
      <c r="E815" s="7"/>
      <c r="F815" s="7"/>
      <c r="G815" s="7"/>
      <c r="H815" s="32"/>
      <c r="I815" s="32"/>
      <c r="J815" s="32"/>
      <c r="K815" s="33"/>
      <c r="L815" s="33"/>
    </row>
    <row r="816" spans="1:12" ht="13.5" customHeight="1" x14ac:dyDescent="0.2">
      <c r="A816" s="7"/>
      <c r="B816" s="7"/>
      <c r="C816" s="7"/>
      <c r="D816" s="7"/>
      <c r="E816" s="7"/>
      <c r="F816" s="7"/>
      <c r="G816" s="7"/>
      <c r="H816" s="32"/>
      <c r="I816" s="32"/>
      <c r="J816" s="32"/>
      <c r="K816" s="33"/>
      <c r="L816" s="33"/>
    </row>
    <row r="817" spans="1:12" ht="13.5" customHeight="1" x14ac:dyDescent="0.2">
      <c r="A817" s="7"/>
      <c r="B817" s="7"/>
      <c r="C817" s="7"/>
      <c r="D817" s="7"/>
      <c r="E817" s="7"/>
      <c r="F817" s="7"/>
      <c r="G817" s="7"/>
      <c r="H817" s="32"/>
      <c r="I817" s="32"/>
      <c r="J817" s="32"/>
      <c r="K817" s="33"/>
      <c r="L817" s="33"/>
    </row>
    <row r="818" spans="1:12" ht="13.5" customHeight="1" x14ac:dyDescent="0.2">
      <c r="A818" s="7"/>
      <c r="B818" s="7"/>
      <c r="C818" s="7"/>
      <c r="D818" s="7"/>
      <c r="E818" s="7"/>
      <c r="F818" s="7"/>
      <c r="G818" s="7"/>
      <c r="H818" s="32"/>
      <c r="I818" s="32"/>
      <c r="J818" s="32"/>
      <c r="K818" s="33"/>
      <c r="L818" s="33"/>
    </row>
    <row r="819" spans="1:12" ht="13.5" customHeight="1" x14ac:dyDescent="0.2">
      <c r="A819" s="7"/>
      <c r="B819" s="7"/>
      <c r="C819" s="7"/>
      <c r="D819" s="7"/>
      <c r="E819" s="7"/>
      <c r="F819" s="7"/>
      <c r="G819" s="7"/>
      <c r="H819" s="32"/>
      <c r="I819" s="32"/>
      <c r="J819" s="32"/>
      <c r="K819" s="33"/>
      <c r="L819" s="33"/>
    </row>
    <row r="820" spans="1:12" ht="13.5" customHeight="1" x14ac:dyDescent="0.2">
      <c r="A820" s="7"/>
      <c r="B820" s="7"/>
      <c r="C820" s="7"/>
      <c r="D820" s="7"/>
      <c r="E820" s="7"/>
      <c r="F820" s="7"/>
      <c r="G820" s="7"/>
      <c r="H820" s="32"/>
      <c r="I820" s="32"/>
      <c r="J820" s="32"/>
      <c r="K820" s="33"/>
      <c r="L820" s="33"/>
    </row>
    <row r="821" spans="1:12" ht="13.5" customHeight="1" x14ac:dyDescent="0.2">
      <c r="A821" s="7"/>
      <c r="B821" s="7"/>
      <c r="C821" s="7"/>
      <c r="D821" s="7"/>
      <c r="E821" s="7"/>
      <c r="F821" s="7"/>
      <c r="G821" s="7"/>
      <c r="H821" s="32"/>
      <c r="I821" s="32"/>
      <c r="J821" s="32"/>
      <c r="K821" s="33"/>
      <c r="L821" s="33"/>
    </row>
    <row r="822" spans="1:12" ht="13.5" customHeight="1" x14ac:dyDescent="0.2">
      <c r="A822" s="7"/>
      <c r="B822" s="7"/>
      <c r="C822" s="7"/>
      <c r="D822" s="7"/>
      <c r="E822" s="7"/>
      <c r="F822" s="7"/>
      <c r="G822" s="7"/>
      <c r="H822" s="32"/>
      <c r="I822" s="32"/>
      <c r="J822" s="32"/>
      <c r="K822" s="33"/>
      <c r="L822" s="33"/>
    </row>
    <row r="823" spans="1:12" ht="13.5" customHeight="1" x14ac:dyDescent="0.2">
      <c r="A823" s="7"/>
      <c r="B823" s="7"/>
      <c r="C823" s="7"/>
      <c r="D823" s="7"/>
      <c r="E823" s="7"/>
      <c r="F823" s="7"/>
      <c r="G823" s="7"/>
      <c r="H823" s="32"/>
      <c r="I823" s="32"/>
      <c r="J823" s="32"/>
      <c r="K823" s="33"/>
      <c r="L823" s="33"/>
    </row>
    <row r="824" spans="1:12" ht="13.5" customHeight="1" x14ac:dyDescent="0.2">
      <c r="A824" s="7"/>
      <c r="B824" s="7"/>
      <c r="C824" s="7"/>
      <c r="D824" s="7"/>
      <c r="E824" s="7"/>
      <c r="F824" s="7"/>
      <c r="G824" s="7"/>
      <c r="H824" s="32"/>
      <c r="I824" s="32"/>
      <c r="J824" s="32"/>
      <c r="K824" s="33"/>
      <c r="L824" s="33"/>
    </row>
    <row r="825" spans="1:12" ht="13.5" customHeight="1" x14ac:dyDescent="0.2">
      <c r="A825" s="7"/>
      <c r="B825" s="7"/>
      <c r="C825" s="7"/>
      <c r="D825" s="7"/>
      <c r="E825" s="7"/>
      <c r="F825" s="7"/>
      <c r="G825" s="7"/>
      <c r="H825" s="32"/>
      <c r="I825" s="32"/>
      <c r="J825" s="32"/>
      <c r="K825" s="33"/>
      <c r="L825" s="33"/>
    </row>
    <row r="826" spans="1:12" ht="13.5" customHeight="1" x14ac:dyDescent="0.2">
      <c r="A826" s="7"/>
      <c r="B826" s="7"/>
      <c r="C826" s="7"/>
      <c r="D826" s="7"/>
      <c r="E826" s="7"/>
      <c r="F826" s="7"/>
      <c r="G826" s="7"/>
      <c r="H826" s="32"/>
      <c r="I826" s="32"/>
      <c r="J826" s="32"/>
      <c r="K826" s="33"/>
      <c r="L826" s="33"/>
    </row>
    <row r="827" spans="1:12" ht="13.5" customHeight="1" x14ac:dyDescent="0.2">
      <c r="A827" s="7"/>
      <c r="B827" s="7"/>
      <c r="C827" s="7"/>
      <c r="D827" s="7"/>
      <c r="E827" s="7"/>
      <c r="F827" s="7"/>
      <c r="G827" s="7"/>
      <c r="H827" s="32"/>
      <c r="I827" s="32"/>
      <c r="J827" s="32"/>
      <c r="K827" s="33"/>
      <c r="L827" s="33"/>
    </row>
    <row r="828" spans="1:12" ht="13.5" customHeight="1" x14ac:dyDescent="0.2">
      <c r="A828" s="7"/>
      <c r="B828" s="7"/>
      <c r="C828" s="7"/>
      <c r="D828" s="7"/>
      <c r="E828" s="7"/>
      <c r="F828" s="7"/>
      <c r="G828" s="7"/>
      <c r="H828" s="32"/>
      <c r="I828" s="32"/>
      <c r="J828" s="32"/>
      <c r="K828" s="33"/>
      <c r="L828" s="33"/>
    </row>
    <row r="829" spans="1:12" ht="13.5" customHeight="1" x14ac:dyDescent="0.2">
      <c r="A829" s="7"/>
      <c r="B829" s="7"/>
      <c r="C829" s="7"/>
      <c r="D829" s="7"/>
      <c r="E829" s="7"/>
      <c r="F829" s="7"/>
      <c r="G829" s="7"/>
      <c r="H829" s="32"/>
      <c r="I829" s="32"/>
      <c r="J829" s="32"/>
      <c r="K829" s="33"/>
      <c r="L829" s="33"/>
    </row>
    <row r="830" spans="1:12" ht="13.5" customHeight="1" x14ac:dyDescent="0.2">
      <c r="A830" s="7"/>
      <c r="B830" s="7"/>
      <c r="C830" s="7"/>
      <c r="D830" s="7"/>
      <c r="E830" s="7"/>
      <c r="F830" s="7"/>
      <c r="G830" s="7"/>
      <c r="H830" s="32"/>
      <c r="I830" s="32"/>
      <c r="J830" s="32"/>
      <c r="K830" s="33"/>
      <c r="L830" s="33"/>
    </row>
    <row r="831" spans="1:12" ht="13.5" customHeight="1" x14ac:dyDescent="0.2">
      <c r="A831" s="7"/>
      <c r="B831" s="7"/>
      <c r="C831" s="7"/>
      <c r="D831" s="7"/>
      <c r="E831" s="7"/>
      <c r="F831" s="7"/>
      <c r="G831" s="7"/>
      <c r="H831" s="32"/>
      <c r="I831" s="32"/>
      <c r="J831" s="32"/>
      <c r="K831" s="33"/>
      <c r="L831" s="33"/>
    </row>
    <row r="832" spans="1:12" ht="13.5" customHeight="1" x14ac:dyDescent="0.2">
      <c r="A832" s="7"/>
      <c r="B832" s="7"/>
      <c r="C832" s="7"/>
      <c r="D832" s="7"/>
      <c r="E832" s="7"/>
      <c r="F832" s="7"/>
      <c r="G832" s="7"/>
      <c r="H832" s="32"/>
      <c r="I832" s="32"/>
      <c r="J832" s="32"/>
      <c r="K832" s="33"/>
      <c r="L832" s="33"/>
    </row>
    <row r="833" spans="1:12" ht="13.5" customHeight="1" x14ac:dyDescent="0.2">
      <c r="A833" s="7"/>
      <c r="B833" s="7"/>
      <c r="C833" s="7"/>
      <c r="D833" s="7"/>
      <c r="E833" s="7"/>
      <c r="F833" s="7"/>
      <c r="G833" s="7"/>
      <c r="H833" s="32"/>
      <c r="I833" s="32"/>
      <c r="J833" s="32"/>
      <c r="K833" s="33"/>
      <c r="L833" s="33"/>
    </row>
    <row r="834" spans="1:12" ht="13.5" customHeight="1" x14ac:dyDescent="0.2">
      <c r="A834" s="7"/>
      <c r="B834" s="7"/>
      <c r="C834" s="7"/>
      <c r="D834" s="7"/>
      <c r="E834" s="7"/>
      <c r="F834" s="7"/>
      <c r="G834" s="7"/>
      <c r="H834" s="32"/>
      <c r="I834" s="32"/>
      <c r="J834" s="32"/>
      <c r="K834" s="33"/>
      <c r="L834" s="33"/>
    </row>
    <row r="835" spans="1:12" ht="13.5" customHeight="1" x14ac:dyDescent="0.2">
      <c r="A835" s="7"/>
      <c r="B835" s="7"/>
      <c r="C835" s="7"/>
      <c r="D835" s="7"/>
      <c r="E835" s="7"/>
      <c r="F835" s="7"/>
      <c r="G835" s="7"/>
      <c r="H835" s="32"/>
      <c r="I835" s="32"/>
      <c r="J835" s="32"/>
      <c r="K835" s="33"/>
      <c r="L835" s="33"/>
    </row>
    <row r="836" spans="1:12" ht="13.5" customHeight="1" x14ac:dyDescent="0.2">
      <c r="A836" s="7"/>
      <c r="B836" s="7"/>
      <c r="C836" s="7"/>
      <c r="D836" s="7"/>
      <c r="E836" s="7"/>
      <c r="F836" s="7"/>
      <c r="G836" s="7"/>
      <c r="H836" s="32"/>
      <c r="I836" s="32"/>
      <c r="J836" s="32"/>
      <c r="K836" s="33"/>
      <c r="L836" s="33"/>
    </row>
    <row r="837" spans="1:12" ht="13.5" customHeight="1" x14ac:dyDescent="0.2">
      <c r="A837" s="7"/>
      <c r="B837" s="7"/>
      <c r="C837" s="7"/>
      <c r="D837" s="7"/>
      <c r="E837" s="7"/>
      <c r="F837" s="7"/>
      <c r="G837" s="7"/>
      <c r="H837" s="32"/>
      <c r="I837" s="32"/>
      <c r="J837" s="32"/>
      <c r="K837" s="33"/>
      <c r="L837" s="33"/>
    </row>
    <row r="838" spans="1:12" ht="13.5" customHeight="1" x14ac:dyDescent="0.2">
      <c r="A838" s="7"/>
      <c r="B838" s="7"/>
      <c r="C838" s="7"/>
      <c r="D838" s="7"/>
      <c r="E838" s="7"/>
      <c r="F838" s="7"/>
      <c r="G838" s="7"/>
      <c r="H838" s="32"/>
      <c r="I838" s="32"/>
      <c r="J838" s="32"/>
      <c r="K838" s="33"/>
      <c r="L838" s="33"/>
    </row>
    <row r="839" spans="1:12" ht="13.5" customHeight="1" x14ac:dyDescent="0.2">
      <c r="A839" s="7"/>
      <c r="B839" s="7"/>
      <c r="C839" s="7"/>
      <c r="D839" s="7"/>
      <c r="E839" s="7"/>
      <c r="F839" s="7"/>
      <c r="G839" s="7"/>
      <c r="H839" s="32"/>
      <c r="I839" s="32"/>
      <c r="J839" s="32"/>
      <c r="K839" s="33"/>
      <c r="L839" s="33"/>
    </row>
    <row r="840" spans="1:12" ht="13.5" customHeight="1" x14ac:dyDescent="0.2">
      <c r="A840" s="7"/>
      <c r="B840" s="7"/>
      <c r="C840" s="7"/>
      <c r="D840" s="7"/>
      <c r="E840" s="7"/>
      <c r="F840" s="7"/>
      <c r="G840" s="7"/>
      <c r="H840" s="32"/>
      <c r="I840" s="32"/>
      <c r="J840" s="32"/>
      <c r="K840" s="33"/>
      <c r="L840" s="33"/>
    </row>
    <row r="841" spans="1:12" ht="13.5" customHeight="1" x14ac:dyDescent="0.2">
      <c r="A841" s="7"/>
      <c r="B841" s="7"/>
      <c r="C841" s="7"/>
      <c r="D841" s="7"/>
      <c r="E841" s="7"/>
      <c r="F841" s="7"/>
      <c r="G841" s="7"/>
      <c r="H841" s="32"/>
      <c r="I841" s="32"/>
      <c r="J841" s="32"/>
      <c r="K841" s="33"/>
      <c r="L841" s="33"/>
    </row>
    <row r="842" spans="1:12" ht="13.5" customHeight="1" x14ac:dyDescent="0.2">
      <c r="A842" s="7"/>
      <c r="B842" s="7"/>
      <c r="C842" s="7"/>
      <c r="D842" s="7"/>
      <c r="E842" s="7"/>
      <c r="F842" s="7"/>
      <c r="G842" s="7"/>
      <c r="H842" s="32"/>
      <c r="I842" s="32"/>
      <c r="J842" s="32"/>
      <c r="K842" s="33"/>
      <c r="L842" s="33"/>
    </row>
    <row r="843" spans="1:12" ht="13.5" customHeight="1" x14ac:dyDescent="0.2">
      <c r="A843" s="7"/>
      <c r="B843" s="7"/>
      <c r="C843" s="7"/>
      <c r="D843" s="7"/>
      <c r="E843" s="7"/>
      <c r="F843" s="7"/>
      <c r="G843" s="7"/>
      <c r="H843" s="32"/>
      <c r="I843" s="32"/>
      <c r="J843" s="32"/>
      <c r="K843" s="33"/>
      <c r="L843" s="33"/>
    </row>
    <row r="844" spans="1:12" ht="13.5" customHeight="1" x14ac:dyDescent="0.2">
      <c r="A844" s="7"/>
      <c r="B844" s="7"/>
      <c r="C844" s="7"/>
      <c r="D844" s="7"/>
      <c r="E844" s="7"/>
      <c r="F844" s="7"/>
      <c r="G844" s="7"/>
      <c r="H844" s="32"/>
      <c r="I844" s="32"/>
      <c r="J844" s="32"/>
      <c r="K844" s="33"/>
      <c r="L844" s="33"/>
    </row>
    <row r="845" spans="1:12" ht="13.5" customHeight="1" x14ac:dyDescent="0.2">
      <c r="A845" s="7"/>
      <c r="B845" s="7"/>
      <c r="C845" s="7"/>
      <c r="D845" s="7"/>
      <c r="E845" s="7"/>
      <c r="F845" s="7"/>
      <c r="G845" s="7"/>
      <c r="H845" s="32"/>
      <c r="I845" s="32"/>
      <c r="J845" s="32"/>
      <c r="K845" s="33"/>
      <c r="L845" s="33"/>
    </row>
    <row r="846" spans="1:12" ht="13.5" customHeight="1" x14ac:dyDescent="0.2">
      <c r="A846" s="7"/>
      <c r="B846" s="7"/>
      <c r="C846" s="7"/>
      <c r="D846" s="7"/>
      <c r="E846" s="7"/>
      <c r="F846" s="7"/>
      <c r="G846" s="7"/>
      <c r="H846" s="32"/>
      <c r="I846" s="32"/>
      <c r="J846" s="32"/>
      <c r="K846" s="33"/>
      <c r="L846" s="33"/>
    </row>
    <row r="847" spans="1:12" ht="13.5" customHeight="1" x14ac:dyDescent="0.2">
      <c r="A847" s="7"/>
      <c r="B847" s="7"/>
      <c r="C847" s="7"/>
      <c r="D847" s="7"/>
      <c r="E847" s="7"/>
      <c r="F847" s="7"/>
      <c r="G847" s="7"/>
      <c r="H847" s="32"/>
      <c r="I847" s="32"/>
      <c r="J847" s="32"/>
      <c r="K847" s="33"/>
      <c r="L847" s="33"/>
    </row>
    <row r="848" spans="1:12" ht="13.5" customHeight="1" x14ac:dyDescent="0.2">
      <c r="A848" s="7"/>
      <c r="B848" s="7"/>
      <c r="C848" s="7"/>
      <c r="D848" s="7"/>
      <c r="E848" s="7"/>
      <c r="F848" s="7"/>
      <c r="G848" s="7"/>
      <c r="H848" s="32"/>
      <c r="I848" s="32"/>
      <c r="J848" s="32"/>
      <c r="K848" s="33"/>
      <c r="L848" s="33"/>
    </row>
    <row r="849" spans="1:12" ht="13.5" customHeight="1" x14ac:dyDescent="0.2">
      <c r="A849" s="7"/>
      <c r="B849" s="7"/>
      <c r="C849" s="7"/>
      <c r="D849" s="7"/>
      <c r="E849" s="7"/>
      <c r="F849" s="7"/>
      <c r="G849" s="7"/>
      <c r="H849" s="32"/>
      <c r="I849" s="32"/>
      <c r="J849" s="32"/>
      <c r="K849" s="33"/>
      <c r="L849" s="33"/>
    </row>
    <row r="850" spans="1:12" ht="13.5" customHeight="1" x14ac:dyDescent="0.2">
      <c r="A850" s="7"/>
      <c r="B850" s="7"/>
      <c r="C850" s="7"/>
      <c r="D850" s="7"/>
      <c r="E850" s="7"/>
      <c r="F850" s="7"/>
      <c r="G850" s="7"/>
      <c r="H850" s="32"/>
      <c r="I850" s="32"/>
      <c r="J850" s="32"/>
      <c r="K850" s="33"/>
      <c r="L850" s="33"/>
    </row>
    <row r="851" spans="1:12" ht="13.5" customHeight="1" x14ac:dyDescent="0.2">
      <c r="A851" s="7"/>
      <c r="B851" s="7"/>
      <c r="C851" s="7"/>
      <c r="D851" s="7"/>
      <c r="E851" s="7"/>
      <c r="F851" s="7"/>
      <c r="G851" s="7"/>
      <c r="H851" s="32"/>
      <c r="I851" s="32"/>
      <c r="J851" s="32"/>
      <c r="K851" s="33"/>
      <c r="L851" s="33"/>
    </row>
    <row r="852" spans="1:12" ht="13.5" customHeight="1" x14ac:dyDescent="0.2">
      <c r="A852" s="7"/>
      <c r="B852" s="7"/>
      <c r="C852" s="7"/>
      <c r="D852" s="7"/>
      <c r="E852" s="7"/>
      <c r="F852" s="7"/>
      <c r="G852" s="7"/>
      <c r="H852" s="32"/>
      <c r="I852" s="32"/>
      <c r="J852" s="32"/>
      <c r="K852" s="33"/>
      <c r="L852" s="33"/>
    </row>
    <row r="853" spans="1:12" ht="13.5" customHeight="1" x14ac:dyDescent="0.2">
      <c r="A853" s="7"/>
      <c r="B853" s="7"/>
      <c r="C853" s="7"/>
      <c r="D853" s="7"/>
      <c r="E853" s="7"/>
      <c r="F853" s="7"/>
      <c r="G853" s="7"/>
      <c r="H853" s="32"/>
      <c r="I853" s="32"/>
      <c r="J853" s="32"/>
      <c r="K853" s="33"/>
      <c r="L853" s="33"/>
    </row>
    <row r="854" spans="1:12" ht="13.5" customHeight="1" x14ac:dyDescent="0.2">
      <c r="A854" s="7"/>
      <c r="B854" s="7"/>
      <c r="C854" s="7"/>
      <c r="D854" s="7"/>
      <c r="E854" s="7"/>
      <c r="F854" s="7"/>
      <c r="G854" s="7"/>
      <c r="H854" s="32"/>
      <c r="I854" s="32"/>
      <c r="J854" s="32"/>
      <c r="K854" s="33"/>
      <c r="L854" s="33"/>
    </row>
    <row r="855" spans="1:12" ht="13.5" customHeight="1" x14ac:dyDescent="0.2">
      <c r="A855" s="7"/>
      <c r="B855" s="7"/>
      <c r="C855" s="7"/>
      <c r="D855" s="7"/>
      <c r="E855" s="7"/>
      <c r="F855" s="7"/>
      <c r="G855" s="7"/>
      <c r="H855" s="32"/>
      <c r="I855" s="32"/>
      <c r="J855" s="32"/>
      <c r="K855" s="33"/>
      <c r="L855" s="33"/>
    </row>
    <row r="856" spans="1:12" ht="13.5" customHeight="1" x14ac:dyDescent="0.2">
      <c r="A856" s="7"/>
      <c r="B856" s="7"/>
      <c r="C856" s="7"/>
      <c r="D856" s="7"/>
      <c r="E856" s="7"/>
      <c r="F856" s="7"/>
      <c r="G856" s="7"/>
      <c r="H856" s="32"/>
      <c r="I856" s="32"/>
      <c r="J856" s="32"/>
      <c r="K856" s="33"/>
      <c r="L856" s="33"/>
    </row>
    <row r="857" spans="1:12" ht="13.5" customHeight="1" x14ac:dyDescent="0.2">
      <c r="A857" s="7"/>
      <c r="B857" s="7"/>
      <c r="C857" s="7"/>
      <c r="D857" s="7"/>
      <c r="E857" s="7"/>
      <c r="F857" s="7"/>
      <c r="G857" s="7"/>
      <c r="H857" s="32"/>
      <c r="I857" s="32"/>
      <c r="J857" s="32"/>
      <c r="K857" s="33"/>
      <c r="L857" s="33"/>
    </row>
    <row r="858" spans="1:12" ht="13.5" customHeight="1" x14ac:dyDescent="0.2">
      <c r="A858" s="7"/>
      <c r="B858" s="7"/>
      <c r="C858" s="7"/>
      <c r="D858" s="7"/>
      <c r="E858" s="7"/>
      <c r="F858" s="7"/>
      <c r="G858" s="7"/>
      <c r="H858" s="32"/>
      <c r="I858" s="32"/>
      <c r="J858" s="32"/>
      <c r="K858" s="33"/>
      <c r="L858" s="33"/>
    </row>
    <row r="859" spans="1:12" ht="13.5" customHeight="1" x14ac:dyDescent="0.2">
      <c r="A859" s="7"/>
      <c r="B859" s="7"/>
      <c r="C859" s="7"/>
      <c r="D859" s="7"/>
      <c r="E859" s="7"/>
      <c r="F859" s="7"/>
      <c r="G859" s="7"/>
      <c r="H859" s="32"/>
      <c r="I859" s="32"/>
      <c r="J859" s="32"/>
      <c r="K859" s="33"/>
      <c r="L859" s="33"/>
    </row>
    <row r="860" spans="1:12" ht="13.5" customHeight="1" x14ac:dyDescent="0.2">
      <c r="A860" s="7"/>
      <c r="B860" s="7"/>
      <c r="C860" s="7"/>
      <c r="D860" s="7"/>
      <c r="E860" s="7"/>
      <c r="F860" s="7"/>
      <c r="G860" s="7"/>
      <c r="H860" s="32"/>
      <c r="I860" s="32"/>
      <c r="J860" s="32"/>
      <c r="K860" s="33"/>
      <c r="L860" s="33"/>
    </row>
    <row r="861" spans="1:12" ht="13.5" customHeight="1" x14ac:dyDescent="0.2">
      <c r="A861" s="7"/>
      <c r="B861" s="7"/>
      <c r="C861" s="7"/>
      <c r="D861" s="7"/>
      <c r="E861" s="7"/>
      <c r="F861" s="7"/>
      <c r="G861" s="7"/>
      <c r="H861" s="32"/>
      <c r="I861" s="32"/>
      <c r="J861" s="32"/>
      <c r="K861" s="33"/>
      <c r="L861" s="33"/>
    </row>
    <row r="862" spans="1:12" ht="13.5" customHeight="1" x14ac:dyDescent="0.2">
      <c r="A862" s="7"/>
      <c r="B862" s="7"/>
      <c r="C862" s="7"/>
      <c r="D862" s="7"/>
      <c r="E862" s="7"/>
      <c r="F862" s="7"/>
      <c r="G862" s="7"/>
      <c r="H862" s="32"/>
      <c r="I862" s="32"/>
      <c r="J862" s="32"/>
      <c r="K862" s="33"/>
      <c r="L862" s="33"/>
    </row>
    <row r="863" spans="1:12" ht="13.5" customHeight="1" x14ac:dyDescent="0.2">
      <c r="A863" s="7"/>
      <c r="B863" s="7"/>
      <c r="C863" s="7"/>
      <c r="D863" s="7"/>
      <c r="E863" s="7"/>
      <c r="F863" s="7"/>
      <c r="G863" s="7"/>
      <c r="H863" s="32"/>
      <c r="I863" s="32"/>
      <c r="J863" s="32"/>
      <c r="K863" s="33"/>
      <c r="L863" s="33"/>
    </row>
    <row r="864" spans="1:12" ht="13.5" customHeight="1" x14ac:dyDescent="0.2">
      <c r="A864" s="7"/>
      <c r="B864" s="7"/>
      <c r="C864" s="7"/>
      <c r="D864" s="7"/>
      <c r="E864" s="7"/>
      <c r="F864" s="7"/>
      <c r="G864" s="7"/>
      <c r="H864" s="32"/>
      <c r="I864" s="32"/>
      <c r="J864" s="32"/>
      <c r="K864" s="33"/>
      <c r="L864" s="33"/>
    </row>
    <row r="865" spans="1:12" ht="13.5" customHeight="1" x14ac:dyDescent="0.2">
      <c r="A865" s="7"/>
      <c r="B865" s="7"/>
      <c r="C865" s="7"/>
      <c r="D865" s="7"/>
      <c r="E865" s="7"/>
      <c r="F865" s="7"/>
      <c r="G865" s="7"/>
      <c r="H865" s="32"/>
      <c r="I865" s="32"/>
      <c r="J865" s="32"/>
      <c r="K865" s="33"/>
      <c r="L865" s="33"/>
    </row>
    <row r="866" spans="1:12" ht="13.5" customHeight="1" x14ac:dyDescent="0.2">
      <c r="A866" s="7"/>
      <c r="B866" s="7"/>
      <c r="C866" s="7"/>
      <c r="D866" s="7"/>
      <c r="E866" s="7"/>
      <c r="F866" s="7"/>
      <c r="G866" s="7"/>
      <c r="H866" s="32"/>
      <c r="I866" s="32"/>
      <c r="J866" s="32"/>
      <c r="K866" s="33"/>
      <c r="L866" s="33"/>
    </row>
    <row r="867" spans="1:12" ht="13.5" customHeight="1" x14ac:dyDescent="0.2">
      <c r="A867" s="7"/>
      <c r="B867" s="7"/>
      <c r="C867" s="7"/>
      <c r="D867" s="7"/>
      <c r="E867" s="7"/>
      <c r="F867" s="7"/>
      <c r="G867" s="7"/>
      <c r="H867" s="32"/>
      <c r="I867" s="32"/>
      <c r="J867" s="32"/>
      <c r="K867" s="33"/>
      <c r="L867" s="33"/>
    </row>
    <row r="868" spans="1:12" ht="13.5" customHeight="1" x14ac:dyDescent="0.2">
      <c r="A868" s="7"/>
      <c r="B868" s="7"/>
      <c r="C868" s="7"/>
      <c r="D868" s="7"/>
      <c r="E868" s="7"/>
      <c r="F868" s="7"/>
      <c r="G868" s="7"/>
      <c r="H868" s="32"/>
      <c r="I868" s="32"/>
      <c r="J868" s="32"/>
      <c r="K868" s="33"/>
      <c r="L868" s="33"/>
    </row>
    <row r="869" spans="1:12" ht="13.5" customHeight="1" x14ac:dyDescent="0.2">
      <c r="A869" s="7"/>
      <c r="B869" s="7"/>
      <c r="C869" s="7"/>
      <c r="D869" s="7"/>
      <c r="E869" s="7"/>
      <c r="F869" s="7"/>
      <c r="G869" s="7"/>
      <c r="H869" s="32"/>
      <c r="I869" s="32"/>
      <c r="J869" s="32"/>
      <c r="K869" s="33"/>
      <c r="L869" s="33"/>
    </row>
    <row r="870" spans="1:12" ht="13.5" customHeight="1" x14ac:dyDescent="0.2">
      <c r="A870" s="7"/>
      <c r="B870" s="7"/>
      <c r="C870" s="7"/>
      <c r="D870" s="7"/>
      <c r="E870" s="7"/>
      <c r="F870" s="7"/>
      <c r="G870" s="7"/>
      <c r="H870" s="32"/>
      <c r="I870" s="32"/>
      <c r="J870" s="32"/>
      <c r="K870" s="33"/>
      <c r="L870" s="33"/>
    </row>
    <row r="871" spans="1:12" ht="13.5" customHeight="1" x14ac:dyDescent="0.2">
      <c r="A871" s="7"/>
      <c r="B871" s="7"/>
      <c r="C871" s="7"/>
      <c r="D871" s="7"/>
      <c r="E871" s="7"/>
      <c r="F871" s="7"/>
      <c r="G871" s="7"/>
      <c r="H871" s="32"/>
      <c r="I871" s="32"/>
      <c r="J871" s="32"/>
      <c r="K871" s="33"/>
      <c r="L871" s="33"/>
    </row>
    <row r="872" spans="1:12" ht="13.5" customHeight="1" x14ac:dyDescent="0.2">
      <c r="A872" s="7"/>
      <c r="B872" s="7"/>
      <c r="C872" s="7"/>
      <c r="D872" s="7"/>
      <c r="E872" s="7"/>
      <c r="F872" s="7"/>
      <c r="G872" s="7"/>
      <c r="H872" s="32"/>
      <c r="I872" s="32"/>
      <c r="J872" s="32"/>
      <c r="K872" s="33"/>
      <c r="L872" s="33"/>
    </row>
    <row r="873" spans="1:12" ht="13.5" customHeight="1" x14ac:dyDescent="0.2">
      <c r="A873" s="7"/>
      <c r="B873" s="7"/>
      <c r="C873" s="7"/>
      <c r="D873" s="7"/>
      <c r="E873" s="7"/>
      <c r="F873" s="7"/>
      <c r="G873" s="7"/>
      <c r="H873" s="32"/>
      <c r="I873" s="32"/>
      <c r="J873" s="32"/>
      <c r="K873" s="33"/>
      <c r="L873" s="33"/>
    </row>
    <row r="874" spans="1:12" ht="13.5" customHeight="1" x14ac:dyDescent="0.2">
      <c r="A874" s="7"/>
      <c r="B874" s="7"/>
      <c r="C874" s="7"/>
      <c r="D874" s="7"/>
      <c r="E874" s="7"/>
      <c r="F874" s="7"/>
      <c r="G874" s="7"/>
      <c r="H874" s="32"/>
      <c r="I874" s="32"/>
      <c r="J874" s="32"/>
      <c r="K874" s="33"/>
      <c r="L874" s="33"/>
    </row>
    <row r="875" spans="1:12" ht="13.5" customHeight="1" x14ac:dyDescent="0.2">
      <c r="A875" s="7"/>
      <c r="B875" s="7"/>
      <c r="C875" s="7"/>
      <c r="D875" s="7"/>
      <c r="E875" s="7"/>
      <c r="F875" s="7"/>
      <c r="G875" s="7"/>
      <c r="H875" s="32"/>
      <c r="I875" s="32"/>
      <c r="J875" s="32"/>
      <c r="K875" s="33"/>
      <c r="L875" s="33"/>
    </row>
    <row r="876" spans="1:12" ht="13.5" customHeight="1" x14ac:dyDescent="0.2">
      <c r="A876" s="7"/>
      <c r="B876" s="7"/>
      <c r="C876" s="7"/>
      <c r="D876" s="7"/>
      <c r="E876" s="7"/>
      <c r="F876" s="7"/>
      <c r="G876" s="7"/>
      <c r="H876" s="32"/>
      <c r="I876" s="32"/>
      <c r="J876" s="32"/>
      <c r="K876" s="33"/>
      <c r="L876" s="33"/>
    </row>
    <row r="877" spans="1:12" ht="13.5" customHeight="1" x14ac:dyDescent="0.2">
      <c r="A877" s="7"/>
      <c r="B877" s="7"/>
      <c r="C877" s="7"/>
      <c r="D877" s="7"/>
      <c r="E877" s="7"/>
      <c r="F877" s="7"/>
      <c r="G877" s="7"/>
      <c r="H877" s="32"/>
      <c r="I877" s="32"/>
      <c r="J877" s="32"/>
      <c r="K877" s="33"/>
      <c r="L877" s="33"/>
    </row>
    <row r="878" spans="1:12" ht="13.5" customHeight="1" x14ac:dyDescent="0.2">
      <c r="A878" s="7"/>
      <c r="B878" s="7"/>
      <c r="C878" s="7"/>
      <c r="D878" s="7"/>
      <c r="E878" s="7"/>
      <c r="F878" s="7"/>
      <c r="G878" s="7"/>
      <c r="H878" s="32"/>
      <c r="I878" s="32"/>
      <c r="J878" s="32"/>
      <c r="K878" s="33"/>
      <c r="L878" s="33"/>
    </row>
    <row r="879" spans="1:12" ht="13.5" customHeight="1" x14ac:dyDescent="0.2">
      <c r="A879" s="7"/>
      <c r="B879" s="7"/>
      <c r="C879" s="7"/>
      <c r="D879" s="7"/>
      <c r="E879" s="7"/>
      <c r="F879" s="7"/>
      <c r="G879" s="7"/>
      <c r="H879" s="32"/>
      <c r="I879" s="32"/>
      <c r="J879" s="32"/>
      <c r="K879" s="33"/>
      <c r="L879" s="33"/>
    </row>
    <row r="880" spans="1:12" ht="13.5" customHeight="1" x14ac:dyDescent="0.2">
      <c r="A880" s="7"/>
      <c r="B880" s="7"/>
      <c r="C880" s="7"/>
      <c r="D880" s="7"/>
      <c r="E880" s="7"/>
      <c r="F880" s="7"/>
      <c r="G880" s="7"/>
      <c r="H880" s="32"/>
      <c r="I880" s="32"/>
      <c r="J880" s="32"/>
      <c r="K880" s="33"/>
      <c r="L880" s="33"/>
    </row>
    <row r="881" spans="1:12" ht="13.5" customHeight="1" x14ac:dyDescent="0.2">
      <c r="A881" s="7"/>
      <c r="B881" s="7"/>
      <c r="C881" s="7"/>
      <c r="D881" s="7"/>
      <c r="E881" s="7"/>
      <c r="F881" s="7"/>
      <c r="G881" s="7"/>
      <c r="H881" s="32"/>
      <c r="I881" s="32"/>
      <c r="J881" s="32"/>
      <c r="K881" s="33"/>
      <c r="L881" s="33"/>
    </row>
    <row r="882" spans="1:12" ht="13.5" customHeight="1" x14ac:dyDescent="0.2">
      <c r="A882" s="7"/>
      <c r="B882" s="7"/>
      <c r="C882" s="7"/>
      <c r="D882" s="7"/>
      <c r="E882" s="7"/>
      <c r="F882" s="7"/>
      <c r="G882" s="7"/>
      <c r="H882" s="32"/>
      <c r="I882" s="32"/>
      <c r="J882" s="32"/>
      <c r="K882" s="33"/>
      <c r="L882" s="33"/>
    </row>
    <row r="883" spans="1:12" ht="13.5" customHeight="1" x14ac:dyDescent="0.2">
      <c r="A883" s="7"/>
      <c r="B883" s="7"/>
      <c r="C883" s="7"/>
      <c r="D883" s="7"/>
      <c r="E883" s="7"/>
      <c r="F883" s="7"/>
      <c r="G883" s="7"/>
      <c r="H883" s="32"/>
      <c r="I883" s="32"/>
      <c r="J883" s="32"/>
      <c r="K883" s="33"/>
      <c r="L883" s="33"/>
    </row>
    <row r="884" spans="1:12" ht="13.5" customHeight="1" x14ac:dyDescent="0.2">
      <c r="A884" s="7"/>
      <c r="B884" s="7"/>
      <c r="C884" s="7"/>
      <c r="D884" s="7"/>
      <c r="E884" s="7"/>
      <c r="F884" s="7"/>
      <c r="G884" s="7"/>
      <c r="H884" s="32"/>
      <c r="I884" s="32"/>
      <c r="J884" s="32"/>
      <c r="K884" s="33"/>
      <c r="L884" s="33"/>
    </row>
    <row r="885" spans="1:12" ht="13.5" customHeight="1" x14ac:dyDescent="0.2">
      <c r="A885" s="7"/>
      <c r="B885" s="7"/>
      <c r="C885" s="7"/>
      <c r="D885" s="7"/>
      <c r="E885" s="7"/>
      <c r="F885" s="7"/>
      <c r="G885" s="7"/>
      <c r="H885" s="32"/>
      <c r="I885" s="32"/>
      <c r="J885" s="32"/>
      <c r="K885" s="33"/>
      <c r="L885" s="33"/>
    </row>
    <row r="886" spans="1:12" ht="13.5" customHeight="1" x14ac:dyDescent="0.2">
      <c r="A886" s="7"/>
      <c r="B886" s="7"/>
      <c r="C886" s="7"/>
      <c r="D886" s="7"/>
      <c r="E886" s="7"/>
      <c r="F886" s="7"/>
      <c r="G886" s="7"/>
      <c r="H886" s="32"/>
      <c r="I886" s="32"/>
      <c r="J886" s="32"/>
      <c r="K886" s="33"/>
      <c r="L886" s="33"/>
    </row>
    <row r="887" spans="1:12" ht="13.5" customHeight="1" x14ac:dyDescent="0.2">
      <c r="A887" s="7"/>
      <c r="B887" s="7"/>
      <c r="C887" s="7"/>
      <c r="D887" s="7"/>
      <c r="E887" s="7"/>
      <c r="F887" s="7"/>
      <c r="G887" s="7"/>
      <c r="H887" s="32"/>
      <c r="I887" s="32"/>
      <c r="J887" s="32"/>
      <c r="K887" s="33"/>
      <c r="L887" s="33"/>
    </row>
    <row r="888" spans="1:12" ht="13.5" customHeight="1" x14ac:dyDescent="0.2">
      <c r="A888" s="7"/>
      <c r="B888" s="7"/>
      <c r="C888" s="7"/>
      <c r="D888" s="7"/>
      <c r="E888" s="7"/>
      <c r="F888" s="7"/>
      <c r="G888" s="7"/>
      <c r="H888" s="32"/>
      <c r="I888" s="32"/>
      <c r="J888" s="32"/>
      <c r="K888" s="33"/>
      <c r="L888" s="33"/>
    </row>
    <row r="889" spans="1:12" ht="13.5" customHeight="1" x14ac:dyDescent="0.2">
      <c r="A889" s="7"/>
      <c r="B889" s="7"/>
      <c r="C889" s="7"/>
      <c r="D889" s="7"/>
      <c r="E889" s="7"/>
      <c r="F889" s="7"/>
      <c r="G889" s="7"/>
      <c r="H889" s="32"/>
      <c r="I889" s="32"/>
      <c r="J889" s="32"/>
      <c r="K889" s="33"/>
      <c r="L889" s="33"/>
    </row>
    <row r="890" spans="1:12" ht="13.5" customHeight="1" x14ac:dyDescent="0.2">
      <c r="A890" s="7"/>
      <c r="B890" s="7"/>
      <c r="C890" s="7"/>
      <c r="D890" s="7"/>
      <c r="E890" s="7"/>
      <c r="F890" s="7"/>
      <c r="G890" s="7"/>
      <c r="H890" s="32"/>
      <c r="I890" s="32"/>
      <c r="J890" s="32"/>
      <c r="K890" s="33"/>
      <c r="L890" s="33"/>
    </row>
    <row r="891" spans="1:12" ht="13.5" customHeight="1" x14ac:dyDescent="0.2">
      <c r="A891" s="7"/>
      <c r="B891" s="7"/>
      <c r="C891" s="7"/>
      <c r="D891" s="7"/>
      <c r="E891" s="7"/>
      <c r="F891" s="7"/>
      <c r="G891" s="7"/>
      <c r="H891" s="32"/>
      <c r="I891" s="32"/>
      <c r="J891" s="32"/>
      <c r="K891" s="33"/>
      <c r="L891" s="33"/>
    </row>
    <row r="892" spans="1:12" ht="13.5" customHeight="1" x14ac:dyDescent="0.2">
      <c r="A892" s="7"/>
      <c r="B892" s="7"/>
      <c r="C892" s="7"/>
      <c r="D892" s="7"/>
      <c r="E892" s="7"/>
      <c r="F892" s="7"/>
      <c r="G892" s="7"/>
      <c r="H892" s="32"/>
      <c r="I892" s="32"/>
      <c r="J892" s="32"/>
      <c r="K892" s="33"/>
      <c r="L892" s="33"/>
    </row>
    <row r="893" spans="1:12" ht="13.5" customHeight="1" x14ac:dyDescent="0.2">
      <c r="A893" s="7"/>
      <c r="B893" s="7"/>
      <c r="C893" s="7"/>
      <c r="D893" s="7"/>
      <c r="E893" s="7"/>
      <c r="F893" s="7"/>
      <c r="G893" s="7"/>
      <c r="H893" s="32"/>
      <c r="I893" s="32"/>
      <c r="J893" s="32"/>
      <c r="K893" s="33"/>
      <c r="L893" s="33"/>
    </row>
    <row r="894" spans="1:12" ht="13.5" customHeight="1" x14ac:dyDescent="0.2">
      <c r="A894" s="7"/>
      <c r="B894" s="7"/>
      <c r="C894" s="7"/>
      <c r="D894" s="7"/>
      <c r="E894" s="7"/>
      <c r="F894" s="7"/>
      <c r="G894" s="7"/>
      <c r="H894" s="32"/>
      <c r="I894" s="32"/>
      <c r="J894" s="32"/>
      <c r="K894" s="33"/>
      <c r="L894" s="33"/>
    </row>
    <row r="895" spans="1:12" ht="13.5" customHeight="1" x14ac:dyDescent="0.2">
      <c r="A895" s="7"/>
      <c r="B895" s="7"/>
      <c r="C895" s="7"/>
      <c r="D895" s="7"/>
      <c r="E895" s="7"/>
      <c r="F895" s="7"/>
      <c r="G895" s="7"/>
      <c r="H895" s="32"/>
      <c r="I895" s="32"/>
      <c r="J895" s="32"/>
      <c r="K895" s="33"/>
      <c r="L895" s="33"/>
    </row>
    <row r="896" spans="1:12" ht="13.5" customHeight="1" x14ac:dyDescent="0.2">
      <c r="A896" s="7"/>
      <c r="B896" s="7"/>
      <c r="C896" s="7"/>
      <c r="D896" s="7"/>
      <c r="E896" s="7"/>
      <c r="F896" s="7"/>
      <c r="G896" s="7"/>
      <c r="H896" s="32"/>
      <c r="I896" s="32"/>
      <c r="J896" s="32"/>
      <c r="K896" s="33"/>
      <c r="L896" s="33"/>
    </row>
    <row r="897" spans="1:12" ht="13.5" customHeight="1" x14ac:dyDescent="0.2">
      <c r="A897" s="7"/>
      <c r="B897" s="7"/>
      <c r="C897" s="7"/>
      <c r="D897" s="7"/>
      <c r="E897" s="7"/>
      <c r="F897" s="7"/>
      <c r="G897" s="7"/>
      <c r="H897" s="32"/>
      <c r="I897" s="32"/>
      <c r="J897" s="32"/>
      <c r="K897" s="33"/>
      <c r="L897" s="33"/>
    </row>
    <row r="898" spans="1:12" ht="13.5" customHeight="1" x14ac:dyDescent="0.2">
      <c r="A898" s="7"/>
      <c r="B898" s="7"/>
      <c r="C898" s="7"/>
      <c r="D898" s="7"/>
      <c r="E898" s="7"/>
      <c r="F898" s="7"/>
      <c r="G898" s="7"/>
      <c r="H898" s="32"/>
      <c r="I898" s="32"/>
      <c r="J898" s="32"/>
      <c r="K898" s="33"/>
      <c r="L898" s="33"/>
    </row>
    <row r="899" spans="1:12" ht="13.5" customHeight="1" x14ac:dyDescent="0.2">
      <c r="A899" s="7"/>
      <c r="B899" s="7"/>
      <c r="C899" s="7"/>
      <c r="D899" s="7"/>
      <c r="E899" s="7"/>
      <c r="F899" s="7"/>
      <c r="G899" s="7"/>
      <c r="H899" s="32"/>
      <c r="I899" s="32"/>
      <c r="J899" s="32"/>
      <c r="K899" s="33"/>
      <c r="L899" s="33"/>
    </row>
    <row r="900" spans="1:12" ht="13.5" customHeight="1" x14ac:dyDescent="0.2">
      <c r="A900" s="7"/>
      <c r="B900" s="7"/>
      <c r="C900" s="7"/>
      <c r="D900" s="7"/>
      <c r="E900" s="7"/>
      <c r="F900" s="7"/>
      <c r="G900" s="7"/>
      <c r="H900" s="32"/>
      <c r="I900" s="32"/>
      <c r="J900" s="32"/>
      <c r="K900" s="33"/>
      <c r="L900" s="33"/>
    </row>
    <row r="901" spans="1:12" ht="13.5" customHeight="1" x14ac:dyDescent="0.2">
      <c r="A901" s="7"/>
      <c r="B901" s="7"/>
      <c r="C901" s="7"/>
      <c r="D901" s="7"/>
      <c r="E901" s="7"/>
      <c r="F901" s="7"/>
      <c r="G901" s="7"/>
      <c r="H901" s="32"/>
      <c r="I901" s="32"/>
      <c r="J901" s="32"/>
      <c r="K901" s="33"/>
      <c r="L901" s="33"/>
    </row>
    <row r="902" spans="1:12" ht="13.5" customHeight="1" x14ac:dyDescent="0.2">
      <c r="A902" s="7"/>
      <c r="B902" s="7"/>
      <c r="C902" s="7"/>
      <c r="D902" s="7"/>
      <c r="E902" s="7"/>
      <c r="F902" s="7"/>
      <c r="G902" s="7"/>
      <c r="H902" s="32"/>
      <c r="I902" s="32"/>
      <c r="J902" s="32"/>
      <c r="K902" s="33"/>
      <c r="L902" s="33"/>
    </row>
    <row r="903" spans="1:12" ht="13.5" customHeight="1" x14ac:dyDescent="0.2">
      <c r="A903" s="7"/>
      <c r="B903" s="7"/>
      <c r="C903" s="7"/>
      <c r="D903" s="7"/>
      <c r="E903" s="7"/>
      <c r="F903" s="7"/>
      <c r="G903" s="7"/>
      <c r="H903" s="32"/>
      <c r="I903" s="32"/>
      <c r="J903" s="32"/>
      <c r="K903" s="33"/>
      <c r="L903" s="33"/>
    </row>
    <row r="904" spans="1:12" ht="13.5" customHeight="1" x14ac:dyDescent="0.2">
      <c r="A904" s="7"/>
      <c r="B904" s="7"/>
      <c r="C904" s="7"/>
      <c r="D904" s="7"/>
      <c r="E904" s="7"/>
      <c r="F904" s="7"/>
      <c r="G904" s="7"/>
      <c r="H904" s="32"/>
      <c r="I904" s="32"/>
      <c r="J904" s="32"/>
      <c r="K904" s="33"/>
      <c r="L904" s="33"/>
    </row>
    <row r="905" spans="1:12" ht="13.5" customHeight="1" x14ac:dyDescent="0.2">
      <c r="A905" s="7"/>
      <c r="B905" s="7"/>
      <c r="C905" s="7"/>
      <c r="D905" s="7"/>
      <c r="E905" s="7"/>
      <c r="F905" s="7"/>
      <c r="G905" s="7"/>
      <c r="H905" s="32"/>
      <c r="I905" s="32"/>
      <c r="J905" s="32"/>
      <c r="K905" s="33"/>
      <c r="L905" s="33"/>
    </row>
    <row r="906" spans="1:12" ht="13.5" customHeight="1" x14ac:dyDescent="0.2">
      <c r="A906" s="7"/>
      <c r="B906" s="7"/>
      <c r="C906" s="7"/>
      <c r="D906" s="7"/>
      <c r="E906" s="7"/>
      <c r="F906" s="7"/>
      <c r="G906" s="7"/>
      <c r="H906" s="32"/>
      <c r="I906" s="32"/>
      <c r="J906" s="32"/>
      <c r="K906" s="33"/>
      <c r="L906" s="33"/>
    </row>
    <row r="907" spans="1:12" ht="13.5" customHeight="1" x14ac:dyDescent="0.2">
      <c r="A907" s="7"/>
      <c r="B907" s="7"/>
      <c r="C907" s="7"/>
      <c r="D907" s="7"/>
      <c r="E907" s="7"/>
      <c r="F907" s="7"/>
      <c r="G907" s="7"/>
      <c r="H907" s="32"/>
      <c r="I907" s="32"/>
      <c r="J907" s="32"/>
      <c r="K907" s="33"/>
      <c r="L907" s="33"/>
    </row>
    <row r="908" spans="1:12" ht="13.5" customHeight="1" x14ac:dyDescent="0.2">
      <c r="A908" s="7"/>
      <c r="B908" s="7"/>
      <c r="C908" s="7"/>
      <c r="D908" s="7"/>
      <c r="E908" s="7"/>
      <c r="F908" s="7"/>
      <c r="G908" s="7"/>
      <c r="H908" s="32"/>
      <c r="I908" s="32"/>
      <c r="J908" s="32"/>
      <c r="K908" s="33"/>
      <c r="L908" s="33"/>
    </row>
    <row r="909" spans="1:12" ht="13.5" customHeight="1" x14ac:dyDescent="0.2">
      <c r="A909" s="7"/>
      <c r="B909" s="7"/>
      <c r="C909" s="7"/>
      <c r="D909" s="7"/>
      <c r="E909" s="7"/>
      <c r="F909" s="7"/>
      <c r="G909" s="7"/>
      <c r="H909" s="32"/>
      <c r="I909" s="32"/>
      <c r="J909" s="32"/>
      <c r="K909" s="33"/>
      <c r="L909" s="33"/>
    </row>
    <row r="910" spans="1:12" ht="13.5" customHeight="1" x14ac:dyDescent="0.2">
      <c r="A910" s="7"/>
      <c r="B910" s="7"/>
      <c r="C910" s="7"/>
      <c r="D910" s="7"/>
      <c r="E910" s="7"/>
      <c r="F910" s="7"/>
      <c r="G910" s="7"/>
      <c r="H910" s="32"/>
      <c r="I910" s="32"/>
      <c r="J910" s="32"/>
      <c r="K910" s="33"/>
      <c r="L910" s="33"/>
    </row>
    <row r="911" spans="1:12" ht="13.5" customHeight="1" x14ac:dyDescent="0.2">
      <c r="A911" s="7"/>
      <c r="B911" s="7"/>
      <c r="C911" s="7"/>
      <c r="D911" s="7"/>
      <c r="E911" s="7"/>
      <c r="F911" s="7"/>
      <c r="G911" s="7"/>
      <c r="H911" s="32"/>
      <c r="I911" s="32"/>
      <c r="J911" s="32"/>
      <c r="K911" s="33"/>
      <c r="L911" s="33"/>
    </row>
    <row r="912" spans="1:12" ht="13.5" customHeight="1" x14ac:dyDescent="0.2">
      <c r="A912" s="7"/>
      <c r="B912" s="7"/>
      <c r="C912" s="7"/>
      <c r="D912" s="7"/>
      <c r="E912" s="7"/>
      <c r="F912" s="7"/>
      <c r="G912" s="7"/>
      <c r="H912" s="32"/>
      <c r="I912" s="32"/>
      <c r="J912" s="32"/>
      <c r="K912" s="33"/>
      <c r="L912" s="33"/>
    </row>
    <row r="913" spans="1:12" ht="13.5" customHeight="1" x14ac:dyDescent="0.2">
      <c r="A913" s="7"/>
      <c r="B913" s="7"/>
      <c r="C913" s="7"/>
      <c r="D913" s="7"/>
      <c r="E913" s="7"/>
      <c r="F913" s="7"/>
      <c r="G913" s="7"/>
      <c r="H913" s="32"/>
      <c r="I913" s="32"/>
      <c r="J913" s="32"/>
      <c r="K913" s="33"/>
      <c r="L913" s="33"/>
    </row>
    <row r="914" spans="1:12" ht="13.5" customHeight="1" x14ac:dyDescent="0.2">
      <c r="A914" s="7"/>
      <c r="B914" s="7"/>
      <c r="C914" s="7"/>
      <c r="D914" s="7"/>
      <c r="E914" s="7"/>
      <c r="F914" s="7"/>
      <c r="G914" s="7"/>
      <c r="H914" s="32"/>
      <c r="I914" s="32"/>
      <c r="J914" s="32"/>
      <c r="K914" s="33"/>
      <c r="L914" s="33"/>
    </row>
    <row r="915" spans="1:12" ht="13.5" customHeight="1" x14ac:dyDescent="0.2">
      <c r="A915" s="7"/>
      <c r="B915" s="7"/>
      <c r="C915" s="7"/>
      <c r="D915" s="7"/>
      <c r="E915" s="7"/>
      <c r="F915" s="7"/>
      <c r="G915" s="7"/>
      <c r="H915" s="32"/>
      <c r="I915" s="32"/>
      <c r="J915" s="32"/>
      <c r="K915" s="33"/>
      <c r="L915" s="33"/>
    </row>
    <row r="916" spans="1:12" ht="13.5" customHeight="1" x14ac:dyDescent="0.2">
      <c r="A916" s="7"/>
      <c r="B916" s="7"/>
      <c r="C916" s="7"/>
      <c r="D916" s="7"/>
      <c r="E916" s="7"/>
      <c r="F916" s="7"/>
      <c r="G916" s="7"/>
      <c r="H916" s="32"/>
      <c r="I916" s="32"/>
      <c r="J916" s="32"/>
      <c r="K916" s="33"/>
      <c r="L916" s="33"/>
    </row>
    <row r="917" spans="1:12" ht="13.5" customHeight="1" x14ac:dyDescent="0.2">
      <c r="A917" s="7"/>
      <c r="B917" s="7"/>
      <c r="C917" s="7"/>
      <c r="D917" s="7"/>
      <c r="E917" s="7"/>
      <c r="F917" s="7"/>
      <c r="G917" s="7"/>
      <c r="H917" s="32"/>
      <c r="I917" s="32"/>
      <c r="J917" s="32"/>
      <c r="K917" s="33"/>
      <c r="L917" s="33"/>
    </row>
    <row r="918" spans="1:12" ht="13.5" customHeight="1" x14ac:dyDescent="0.2">
      <c r="A918" s="7"/>
      <c r="B918" s="7"/>
      <c r="C918" s="7"/>
      <c r="D918" s="7"/>
      <c r="E918" s="7"/>
      <c r="F918" s="7"/>
      <c r="G918" s="7"/>
      <c r="H918" s="32"/>
      <c r="I918" s="32"/>
      <c r="J918" s="32"/>
      <c r="K918" s="33"/>
      <c r="L918" s="33"/>
    </row>
    <row r="919" spans="1:12" ht="13.5" customHeight="1" x14ac:dyDescent="0.2">
      <c r="A919" s="7"/>
      <c r="B919" s="7"/>
      <c r="C919" s="7"/>
      <c r="D919" s="7"/>
      <c r="E919" s="7"/>
      <c r="F919" s="7"/>
      <c r="G919" s="7"/>
      <c r="H919" s="32"/>
      <c r="I919" s="32"/>
      <c r="J919" s="32"/>
      <c r="K919" s="33"/>
      <c r="L919" s="33"/>
    </row>
    <row r="920" spans="1:12" ht="13.5" customHeight="1" x14ac:dyDescent="0.2">
      <c r="A920" s="7"/>
      <c r="B920" s="7"/>
      <c r="C920" s="7"/>
      <c r="D920" s="7"/>
      <c r="E920" s="7"/>
      <c r="F920" s="7"/>
      <c r="G920" s="7"/>
      <c r="H920" s="32"/>
      <c r="I920" s="32"/>
      <c r="J920" s="32"/>
      <c r="K920" s="33"/>
      <c r="L920" s="33"/>
    </row>
    <row r="921" spans="1:12" ht="13.5" customHeight="1" x14ac:dyDescent="0.2">
      <c r="A921" s="7"/>
      <c r="B921" s="7"/>
      <c r="C921" s="7"/>
      <c r="D921" s="7"/>
      <c r="E921" s="7"/>
      <c r="F921" s="7"/>
      <c r="G921" s="7"/>
      <c r="H921" s="32"/>
      <c r="I921" s="32"/>
      <c r="J921" s="32"/>
      <c r="K921" s="33"/>
      <c r="L921" s="33"/>
    </row>
    <row r="922" spans="1:12" ht="13.5" customHeight="1" x14ac:dyDescent="0.2">
      <c r="A922" s="7"/>
      <c r="B922" s="7"/>
      <c r="C922" s="7"/>
      <c r="D922" s="7"/>
      <c r="E922" s="7"/>
      <c r="F922" s="7"/>
      <c r="G922" s="7"/>
      <c r="H922" s="32"/>
      <c r="I922" s="32"/>
      <c r="J922" s="32"/>
      <c r="K922" s="33"/>
      <c r="L922" s="33"/>
    </row>
    <row r="923" spans="1:12" ht="13.5" customHeight="1" x14ac:dyDescent="0.2">
      <c r="A923" s="7"/>
      <c r="B923" s="7"/>
      <c r="C923" s="7"/>
      <c r="D923" s="7"/>
      <c r="E923" s="7"/>
      <c r="F923" s="7"/>
      <c r="G923" s="7"/>
      <c r="H923" s="32"/>
      <c r="I923" s="32"/>
      <c r="J923" s="32"/>
      <c r="K923" s="33"/>
      <c r="L923" s="33"/>
    </row>
    <row r="924" spans="1:12" ht="13.5" customHeight="1" x14ac:dyDescent="0.2">
      <c r="A924" s="7"/>
      <c r="B924" s="7"/>
      <c r="C924" s="7"/>
      <c r="D924" s="7"/>
      <c r="E924" s="7"/>
      <c r="F924" s="7"/>
      <c r="G924" s="7"/>
      <c r="H924" s="32"/>
      <c r="I924" s="32"/>
      <c r="J924" s="32"/>
      <c r="K924" s="33"/>
      <c r="L924" s="33"/>
    </row>
    <row r="925" spans="1:12" ht="13.5" customHeight="1" x14ac:dyDescent="0.2">
      <c r="A925" s="7"/>
      <c r="B925" s="7"/>
      <c r="C925" s="7"/>
      <c r="D925" s="7"/>
      <c r="E925" s="7"/>
      <c r="F925" s="7"/>
      <c r="G925" s="7"/>
      <c r="H925" s="32"/>
      <c r="I925" s="32"/>
      <c r="J925" s="32"/>
      <c r="K925" s="33"/>
      <c r="L925" s="33"/>
    </row>
    <row r="926" spans="1:12" ht="13.5" customHeight="1" x14ac:dyDescent="0.2">
      <c r="A926" s="7"/>
      <c r="B926" s="7"/>
      <c r="C926" s="7"/>
      <c r="D926" s="7"/>
      <c r="E926" s="7"/>
      <c r="F926" s="7"/>
      <c r="G926" s="7"/>
      <c r="H926" s="32"/>
      <c r="I926" s="32"/>
      <c r="J926" s="32"/>
      <c r="K926" s="33"/>
      <c r="L926" s="33"/>
    </row>
    <row r="927" spans="1:12" ht="13.5" customHeight="1" x14ac:dyDescent="0.2">
      <c r="A927" s="7"/>
      <c r="B927" s="7"/>
      <c r="C927" s="7"/>
      <c r="D927" s="7"/>
      <c r="E927" s="7"/>
      <c r="F927" s="7"/>
      <c r="G927" s="7"/>
      <c r="H927" s="32"/>
      <c r="I927" s="32"/>
      <c r="J927" s="32"/>
      <c r="K927" s="33"/>
      <c r="L927" s="33"/>
    </row>
    <row r="928" spans="1:12" ht="13.5" customHeight="1" x14ac:dyDescent="0.2">
      <c r="A928" s="7"/>
      <c r="B928" s="7"/>
      <c r="C928" s="7"/>
      <c r="D928" s="7"/>
      <c r="E928" s="7"/>
      <c r="F928" s="7"/>
      <c r="G928" s="7"/>
      <c r="H928" s="32"/>
      <c r="I928" s="32"/>
      <c r="J928" s="32"/>
      <c r="K928" s="33"/>
      <c r="L928" s="33"/>
    </row>
    <row r="929" spans="1:12" ht="13.5" customHeight="1" x14ac:dyDescent="0.2">
      <c r="A929" s="7"/>
      <c r="B929" s="7"/>
      <c r="C929" s="7"/>
      <c r="D929" s="7"/>
      <c r="E929" s="7"/>
      <c r="F929" s="7"/>
      <c r="G929" s="7"/>
      <c r="H929" s="32"/>
      <c r="I929" s="32"/>
      <c r="J929" s="32"/>
      <c r="K929" s="33"/>
      <c r="L929" s="33"/>
    </row>
    <row r="930" spans="1:12" ht="13.5" customHeight="1" x14ac:dyDescent="0.2">
      <c r="A930" s="7"/>
      <c r="B930" s="7"/>
      <c r="C930" s="7"/>
      <c r="D930" s="7"/>
      <c r="E930" s="7"/>
      <c r="F930" s="7"/>
      <c r="G930" s="7"/>
      <c r="H930" s="32"/>
      <c r="I930" s="32"/>
      <c r="J930" s="32"/>
      <c r="K930" s="33"/>
      <c r="L930" s="33"/>
    </row>
    <row r="931" spans="1:12" ht="13.5" customHeight="1" x14ac:dyDescent="0.2">
      <c r="A931" s="7"/>
      <c r="B931" s="7"/>
      <c r="C931" s="7"/>
      <c r="D931" s="7"/>
      <c r="E931" s="7"/>
      <c r="F931" s="7"/>
      <c r="G931" s="7"/>
      <c r="H931" s="32"/>
      <c r="I931" s="32"/>
      <c r="J931" s="32"/>
      <c r="K931" s="33"/>
      <c r="L931" s="33"/>
    </row>
    <row r="932" spans="1:12" ht="13.5" customHeight="1" x14ac:dyDescent="0.2">
      <c r="A932" s="7"/>
      <c r="B932" s="7"/>
      <c r="C932" s="7"/>
      <c r="D932" s="7"/>
      <c r="E932" s="7"/>
      <c r="F932" s="7"/>
      <c r="G932" s="7"/>
      <c r="H932" s="32"/>
      <c r="I932" s="32"/>
      <c r="J932" s="32"/>
      <c r="K932" s="33"/>
      <c r="L932" s="33"/>
    </row>
    <row r="933" spans="1:12" ht="13.5" customHeight="1" x14ac:dyDescent="0.2">
      <c r="A933" s="7"/>
      <c r="B933" s="7"/>
      <c r="C933" s="7"/>
      <c r="D933" s="7"/>
      <c r="E933" s="7"/>
      <c r="F933" s="7"/>
      <c r="G933" s="7"/>
      <c r="H933" s="32"/>
      <c r="I933" s="32"/>
      <c r="J933" s="32"/>
      <c r="K933" s="33"/>
      <c r="L933" s="33"/>
    </row>
    <row r="934" spans="1:12" ht="13.5" customHeight="1" x14ac:dyDescent="0.2">
      <c r="A934" s="7"/>
      <c r="B934" s="7"/>
      <c r="C934" s="7"/>
      <c r="D934" s="7"/>
      <c r="E934" s="7"/>
      <c r="F934" s="7"/>
      <c r="G934" s="7"/>
      <c r="H934" s="32"/>
      <c r="I934" s="32"/>
      <c r="J934" s="32"/>
      <c r="K934" s="33"/>
      <c r="L934" s="33"/>
    </row>
    <row r="935" spans="1:12" ht="13.5" customHeight="1" x14ac:dyDescent="0.2">
      <c r="A935" s="7"/>
      <c r="B935" s="7"/>
      <c r="C935" s="7"/>
      <c r="D935" s="7"/>
      <c r="E935" s="7"/>
      <c r="F935" s="7"/>
      <c r="G935" s="7"/>
      <c r="H935" s="32"/>
      <c r="I935" s="32"/>
      <c r="J935" s="32"/>
      <c r="K935" s="33"/>
      <c r="L935" s="33"/>
    </row>
    <row r="936" spans="1:12" ht="13.5" customHeight="1" x14ac:dyDescent="0.2">
      <c r="A936" s="7"/>
      <c r="B936" s="7"/>
      <c r="C936" s="7"/>
      <c r="D936" s="7"/>
      <c r="E936" s="7"/>
      <c r="F936" s="7"/>
      <c r="G936" s="7"/>
      <c r="H936" s="32"/>
      <c r="I936" s="32"/>
      <c r="J936" s="32"/>
      <c r="K936" s="33"/>
      <c r="L936" s="33"/>
    </row>
    <row r="937" spans="1:12" ht="13.5" customHeight="1" x14ac:dyDescent="0.2">
      <c r="A937" s="7"/>
      <c r="B937" s="7"/>
      <c r="C937" s="7"/>
      <c r="D937" s="7"/>
      <c r="E937" s="7"/>
      <c r="F937" s="7"/>
      <c r="G937" s="7"/>
      <c r="H937" s="32"/>
      <c r="I937" s="32"/>
      <c r="J937" s="32"/>
      <c r="K937" s="33"/>
      <c r="L937" s="33"/>
    </row>
    <row r="938" spans="1:12" ht="13.5" customHeight="1" x14ac:dyDescent="0.2">
      <c r="A938" s="7"/>
      <c r="B938" s="7"/>
      <c r="C938" s="7"/>
      <c r="D938" s="7"/>
      <c r="E938" s="7"/>
      <c r="F938" s="7"/>
      <c r="G938" s="7"/>
      <c r="H938" s="32"/>
      <c r="I938" s="32"/>
      <c r="J938" s="32"/>
      <c r="K938" s="33"/>
      <c r="L938" s="33"/>
    </row>
    <row r="939" spans="1:12" ht="13.5" customHeight="1" x14ac:dyDescent="0.2">
      <c r="A939" s="7"/>
      <c r="B939" s="7"/>
      <c r="C939" s="7"/>
      <c r="D939" s="7"/>
      <c r="E939" s="7"/>
      <c r="F939" s="7"/>
      <c r="G939" s="7"/>
      <c r="H939" s="32"/>
      <c r="I939" s="32"/>
      <c r="J939" s="32"/>
      <c r="K939" s="33"/>
      <c r="L939" s="33"/>
    </row>
    <row r="940" spans="1:12" ht="13.5" customHeight="1" x14ac:dyDescent="0.2">
      <c r="A940" s="7"/>
      <c r="B940" s="7"/>
      <c r="C940" s="7"/>
      <c r="D940" s="7"/>
      <c r="E940" s="7"/>
      <c r="F940" s="7"/>
      <c r="G940" s="7"/>
      <c r="H940" s="32"/>
      <c r="I940" s="32"/>
      <c r="J940" s="32"/>
      <c r="K940" s="33"/>
      <c r="L940" s="33"/>
    </row>
    <row r="941" spans="1:12" ht="13.5" customHeight="1" x14ac:dyDescent="0.2">
      <c r="A941" s="7"/>
      <c r="B941" s="7"/>
      <c r="C941" s="7"/>
      <c r="D941" s="7"/>
      <c r="E941" s="7"/>
      <c r="F941" s="7"/>
      <c r="G941" s="7"/>
      <c r="H941" s="32"/>
      <c r="I941" s="32"/>
      <c r="J941" s="32"/>
      <c r="K941" s="33"/>
      <c r="L941" s="33"/>
    </row>
    <row r="942" spans="1:12" ht="13.5" customHeight="1" x14ac:dyDescent="0.2">
      <c r="A942" s="7"/>
      <c r="B942" s="7"/>
      <c r="C942" s="7"/>
      <c r="D942" s="7"/>
      <c r="E942" s="7"/>
      <c r="F942" s="7"/>
      <c r="G942" s="7"/>
      <c r="H942" s="32"/>
      <c r="I942" s="32"/>
      <c r="J942" s="32"/>
      <c r="K942" s="33"/>
      <c r="L942" s="33"/>
    </row>
    <row r="943" spans="1:12" ht="13.5" customHeight="1" x14ac:dyDescent="0.2">
      <c r="A943" s="7"/>
      <c r="B943" s="7"/>
      <c r="C943" s="7"/>
      <c r="D943" s="7"/>
      <c r="E943" s="7"/>
      <c r="F943" s="7"/>
      <c r="G943" s="7"/>
      <c r="H943" s="32"/>
      <c r="I943" s="32"/>
      <c r="J943" s="32"/>
      <c r="K943" s="33"/>
      <c r="L943" s="33"/>
    </row>
    <row r="944" spans="1:12" ht="13.5" customHeight="1" x14ac:dyDescent="0.2">
      <c r="A944" s="7"/>
      <c r="B944" s="7"/>
      <c r="C944" s="7"/>
      <c r="D944" s="7"/>
      <c r="E944" s="7"/>
      <c r="F944" s="7"/>
      <c r="G944" s="7"/>
      <c r="H944" s="32"/>
      <c r="I944" s="32"/>
      <c r="J944" s="32"/>
      <c r="K944" s="33"/>
      <c r="L944" s="33"/>
    </row>
    <row r="945" spans="1:12" ht="13.5" customHeight="1" x14ac:dyDescent="0.2">
      <c r="A945" s="7"/>
      <c r="B945" s="7"/>
      <c r="C945" s="7"/>
      <c r="D945" s="7"/>
      <c r="E945" s="7"/>
      <c r="F945" s="7"/>
      <c r="G945" s="7"/>
      <c r="H945" s="32"/>
      <c r="I945" s="32"/>
      <c r="J945" s="32"/>
      <c r="K945" s="33"/>
      <c r="L945" s="33"/>
    </row>
    <row r="946" spans="1:12" ht="13.5" customHeight="1" x14ac:dyDescent="0.2">
      <c r="A946" s="7"/>
      <c r="B946" s="7"/>
      <c r="C946" s="7"/>
      <c r="D946" s="7"/>
      <c r="E946" s="7"/>
      <c r="F946" s="7"/>
      <c r="G946" s="7"/>
      <c r="H946" s="32"/>
      <c r="I946" s="32"/>
      <c r="J946" s="32"/>
      <c r="K946" s="33"/>
      <c r="L946" s="33"/>
    </row>
    <row r="947" spans="1:12" ht="13.5" customHeight="1" x14ac:dyDescent="0.2">
      <c r="A947" s="7"/>
      <c r="B947" s="7"/>
      <c r="C947" s="7"/>
      <c r="D947" s="7"/>
      <c r="E947" s="7"/>
      <c r="F947" s="7"/>
      <c r="G947" s="7"/>
      <c r="H947" s="32"/>
      <c r="I947" s="32"/>
      <c r="J947" s="32"/>
      <c r="K947" s="33"/>
      <c r="L947" s="33"/>
    </row>
    <row r="948" spans="1:12" ht="13.5" customHeight="1" x14ac:dyDescent="0.2">
      <c r="A948" s="7"/>
      <c r="B948" s="7"/>
      <c r="C948" s="7"/>
      <c r="D948" s="7"/>
      <c r="E948" s="7"/>
      <c r="F948" s="7"/>
      <c r="G948" s="7"/>
      <c r="H948" s="32"/>
      <c r="I948" s="32"/>
      <c r="J948" s="32"/>
      <c r="K948" s="33"/>
      <c r="L948" s="33"/>
    </row>
    <row r="949" spans="1:12" ht="13.5" customHeight="1" x14ac:dyDescent="0.2">
      <c r="A949" s="7"/>
      <c r="B949" s="7"/>
      <c r="C949" s="7"/>
      <c r="D949" s="7"/>
      <c r="E949" s="7"/>
      <c r="F949" s="7"/>
      <c r="G949" s="7"/>
      <c r="H949" s="32"/>
      <c r="I949" s="32"/>
      <c r="J949" s="32"/>
      <c r="K949" s="33"/>
      <c r="L949" s="33"/>
    </row>
    <row r="950" spans="1:12" ht="13.5" customHeight="1" x14ac:dyDescent="0.2">
      <c r="A950" s="7"/>
      <c r="B950" s="7"/>
      <c r="C950" s="7"/>
      <c r="D950" s="7"/>
      <c r="E950" s="7"/>
      <c r="F950" s="7"/>
      <c r="G950" s="7"/>
      <c r="H950" s="32"/>
      <c r="I950" s="32"/>
      <c r="J950" s="32"/>
      <c r="K950" s="33"/>
      <c r="L950" s="33"/>
    </row>
    <row r="951" spans="1:12" ht="13.5" customHeight="1" x14ac:dyDescent="0.2">
      <c r="A951" s="7"/>
      <c r="B951" s="7"/>
      <c r="C951" s="7"/>
      <c r="D951" s="7"/>
      <c r="E951" s="7"/>
      <c r="F951" s="7"/>
      <c r="G951" s="7"/>
      <c r="H951" s="32"/>
      <c r="I951" s="32"/>
      <c r="J951" s="32"/>
      <c r="K951" s="33"/>
      <c r="L951" s="33"/>
    </row>
    <row r="952" spans="1:12" ht="13.5" customHeight="1" x14ac:dyDescent="0.2">
      <c r="A952" s="7"/>
      <c r="B952" s="7"/>
      <c r="C952" s="7"/>
      <c r="D952" s="7"/>
      <c r="E952" s="7"/>
      <c r="F952" s="7"/>
      <c r="G952" s="7"/>
      <c r="H952" s="32"/>
      <c r="I952" s="32"/>
      <c r="J952" s="32"/>
      <c r="K952" s="33"/>
      <c r="L952" s="33"/>
    </row>
    <row r="953" spans="1:12" ht="13.5" customHeight="1" x14ac:dyDescent="0.2">
      <c r="A953" s="7"/>
      <c r="B953" s="7"/>
      <c r="C953" s="7"/>
      <c r="D953" s="7"/>
      <c r="E953" s="7"/>
      <c r="F953" s="7"/>
      <c r="G953" s="7"/>
      <c r="H953" s="32"/>
      <c r="I953" s="32"/>
      <c r="J953" s="32"/>
      <c r="K953" s="33"/>
      <c r="L953" s="33"/>
    </row>
    <row r="954" spans="1:12" ht="13.5" customHeight="1" x14ac:dyDescent="0.2">
      <c r="A954" s="7"/>
      <c r="B954" s="7"/>
      <c r="C954" s="7"/>
      <c r="D954" s="7"/>
      <c r="E954" s="7"/>
      <c r="F954" s="7"/>
      <c r="G954" s="7"/>
      <c r="H954" s="32"/>
      <c r="I954" s="32"/>
      <c r="J954" s="32"/>
      <c r="K954" s="33"/>
      <c r="L954" s="33"/>
    </row>
    <row r="955" spans="1:12" ht="13.5" customHeight="1" x14ac:dyDescent="0.2">
      <c r="A955" s="7"/>
      <c r="B955" s="7"/>
      <c r="C955" s="7"/>
      <c r="D955" s="7"/>
      <c r="E955" s="7"/>
      <c r="F955" s="7"/>
      <c r="G955" s="7"/>
      <c r="H955" s="7"/>
      <c r="I955" s="7"/>
      <c r="J955" s="7"/>
      <c r="K955" s="33"/>
      <c r="L955" s="33"/>
    </row>
    <row r="956" spans="1:12" ht="13.5" customHeight="1" x14ac:dyDescent="0.2">
      <c r="A956" s="7"/>
      <c r="B956" s="7"/>
      <c r="C956" s="7"/>
      <c r="D956" s="7"/>
      <c r="E956" s="7"/>
      <c r="F956" s="7"/>
      <c r="G956" s="7"/>
      <c r="H956" s="7"/>
      <c r="I956" s="7"/>
      <c r="J956" s="7"/>
      <c r="K956" s="33"/>
      <c r="L956" s="33"/>
    </row>
    <row r="957" spans="1:12" ht="13.5" customHeight="1" x14ac:dyDescent="0.2">
      <c r="A957" s="7"/>
      <c r="B957" s="7"/>
      <c r="C957" s="7"/>
      <c r="D957" s="7"/>
      <c r="E957" s="7"/>
      <c r="F957" s="7"/>
      <c r="G957" s="7"/>
      <c r="H957" s="7"/>
      <c r="I957" s="7"/>
      <c r="J957" s="7"/>
      <c r="K957" s="33"/>
      <c r="L957" s="33"/>
    </row>
    <row r="958" spans="1:12" ht="13.5" customHeight="1" x14ac:dyDescent="0.2">
      <c r="A958" s="7"/>
      <c r="B958" s="7"/>
      <c r="C958" s="7"/>
      <c r="D958" s="7"/>
      <c r="E958" s="7"/>
      <c r="F958" s="7"/>
      <c r="G958" s="7"/>
      <c r="H958" s="7"/>
      <c r="I958" s="7"/>
      <c r="J958" s="7"/>
      <c r="K958" s="33"/>
      <c r="L958" s="33"/>
    </row>
    <row r="959" spans="1:12" ht="13.5" customHeight="1" x14ac:dyDescent="0.2">
      <c r="A959" s="7"/>
      <c r="B959" s="7"/>
      <c r="C959" s="7"/>
      <c r="D959" s="7"/>
      <c r="E959" s="7"/>
      <c r="F959" s="7"/>
      <c r="G959" s="7"/>
      <c r="H959" s="7"/>
      <c r="I959" s="7"/>
      <c r="J959" s="7"/>
      <c r="K959" s="33"/>
      <c r="L959" s="33"/>
    </row>
    <row r="960" spans="1:12" ht="13.5" customHeight="1" x14ac:dyDescent="0.2">
      <c r="A960" s="7"/>
      <c r="B960" s="7"/>
      <c r="C960" s="7"/>
      <c r="D960" s="7"/>
      <c r="E960" s="7"/>
      <c r="F960" s="7"/>
      <c r="G960" s="7"/>
      <c r="H960" s="7"/>
      <c r="I960" s="7"/>
      <c r="J960" s="7"/>
      <c r="K960" s="33"/>
      <c r="L960" s="33"/>
    </row>
    <row r="961" spans="1:12" ht="13.5" customHeight="1" x14ac:dyDescent="0.2">
      <c r="A961" s="7"/>
      <c r="B961" s="7"/>
      <c r="C961" s="7"/>
      <c r="D961" s="7"/>
      <c r="E961" s="7"/>
      <c r="F961" s="7"/>
      <c r="G961" s="7"/>
      <c r="H961" s="7"/>
      <c r="I961" s="7"/>
      <c r="J961" s="7"/>
      <c r="K961" s="33"/>
      <c r="L961" s="33"/>
    </row>
    <row r="962" spans="1:12" ht="13.5" customHeight="1" x14ac:dyDescent="0.2">
      <c r="A962" s="7"/>
      <c r="B962" s="7"/>
      <c r="C962" s="7"/>
      <c r="D962" s="7"/>
      <c r="E962" s="7"/>
      <c r="F962" s="7"/>
      <c r="G962" s="7"/>
      <c r="H962" s="7"/>
      <c r="I962" s="7"/>
      <c r="J962" s="7"/>
      <c r="K962" s="33"/>
      <c r="L962" s="33"/>
    </row>
    <row r="963" spans="1:12" ht="13.5" customHeight="1" x14ac:dyDescent="0.2">
      <c r="A963" s="7"/>
      <c r="B963" s="7"/>
      <c r="C963" s="7"/>
      <c r="D963" s="7"/>
      <c r="E963" s="7"/>
      <c r="F963" s="7"/>
      <c r="G963" s="7"/>
      <c r="H963" s="7"/>
      <c r="I963" s="7"/>
      <c r="J963" s="7"/>
      <c r="K963" s="33"/>
      <c r="L963" s="33"/>
    </row>
    <row r="964" spans="1:12" ht="13.5" customHeight="1" x14ac:dyDescent="0.2">
      <c r="A964" s="7"/>
      <c r="B964" s="7"/>
      <c r="C964" s="7"/>
      <c r="D964" s="7"/>
      <c r="E964" s="7"/>
      <c r="F964" s="7"/>
      <c r="G964" s="7"/>
      <c r="H964" s="7"/>
      <c r="I964" s="7"/>
      <c r="J964" s="7"/>
      <c r="K964" s="33"/>
      <c r="L964" s="33"/>
    </row>
    <row r="965" spans="1:12" ht="13.5" customHeight="1" x14ac:dyDescent="0.2">
      <c r="A965" s="7"/>
      <c r="B965" s="7"/>
      <c r="C965" s="7"/>
      <c r="D965" s="7"/>
      <c r="E965" s="7"/>
      <c r="F965" s="7"/>
      <c r="G965" s="7"/>
      <c r="H965" s="7"/>
      <c r="I965" s="7"/>
      <c r="J965" s="7"/>
      <c r="K965" s="33"/>
      <c r="L965" s="33"/>
    </row>
    <row r="966" spans="1:12" ht="13.5" customHeight="1" x14ac:dyDescent="0.2">
      <c r="A966" s="7"/>
      <c r="B966" s="7"/>
      <c r="C966" s="7"/>
      <c r="D966" s="7"/>
      <c r="E966" s="7"/>
      <c r="F966" s="7"/>
      <c r="G966" s="7"/>
      <c r="H966" s="7"/>
      <c r="I966" s="7"/>
      <c r="J966" s="7"/>
      <c r="K966" s="33"/>
      <c r="L966" s="33"/>
    </row>
    <row r="967" spans="1:12" ht="13.5" customHeight="1" x14ac:dyDescent="0.2">
      <c r="A967" s="7"/>
      <c r="B967" s="7"/>
      <c r="C967" s="7"/>
      <c r="D967" s="7"/>
      <c r="E967" s="7"/>
      <c r="F967" s="7"/>
      <c r="G967" s="7"/>
      <c r="H967" s="7"/>
      <c r="I967" s="7"/>
      <c r="J967" s="7"/>
      <c r="K967" s="33"/>
      <c r="L967" s="33"/>
    </row>
    <row r="968" spans="1:12" ht="13.5" customHeight="1" x14ac:dyDescent="0.2">
      <c r="A968" s="7"/>
      <c r="B968" s="7"/>
      <c r="C968" s="7"/>
      <c r="D968" s="7"/>
      <c r="E968" s="7"/>
      <c r="F968" s="7"/>
      <c r="G968" s="7"/>
      <c r="H968" s="7"/>
      <c r="I968" s="7"/>
      <c r="J968" s="7"/>
      <c r="K968" s="33"/>
      <c r="L968" s="33"/>
    </row>
    <row r="969" spans="1:12" ht="13.5" customHeight="1" x14ac:dyDescent="0.2">
      <c r="A969" s="7"/>
      <c r="B969" s="7"/>
      <c r="C969" s="7"/>
      <c r="D969" s="7"/>
      <c r="E969" s="7"/>
      <c r="F969" s="7"/>
      <c r="G969" s="7"/>
      <c r="H969" s="7"/>
      <c r="I969" s="7"/>
      <c r="J969" s="7"/>
      <c r="K969" s="33"/>
      <c r="L969" s="33"/>
    </row>
    <row r="970" spans="1:12" ht="13.5" customHeight="1" x14ac:dyDescent="0.2">
      <c r="A970" s="7"/>
      <c r="B970" s="7"/>
      <c r="C970" s="7"/>
      <c r="D970" s="7"/>
      <c r="E970" s="7"/>
      <c r="F970" s="7"/>
      <c r="G970" s="7"/>
      <c r="H970" s="7"/>
      <c r="I970" s="7"/>
      <c r="J970" s="7"/>
      <c r="K970" s="33"/>
      <c r="L970" s="33"/>
    </row>
    <row r="971" spans="1:12" ht="13.5" customHeight="1" x14ac:dyDescent="0.2">
      <c r="A971" s="7"/>
      <c r="B971" s="7"/>
      <c r="C971" s="7"/>
      <c r="D971" s="7"/>
      <c r="E971" s="7"/>
      <c r="F971" s="7"/>
      <c r="G971" s="7"/>
      <c r="H971" s="7"/>
      <c r="I971" s="7"/>
      <c r="J971" s="7"/>
      <c r="K971" s="33"/>
      <c r="L971" s="33"/>
    </row>
    <row r="972" spans="1:12" ht="13.5" customHeight="1" x14ac:dyDescent="0.2">
      <c r="A972" s="7"/>
      <c r="B972" s="7"/>
      <c r="C972" s="7"/>
      <c r="D972" s="7"/>
      <c r="E972" s="7"/>
      <c r="F972" s="7"/>
      <c r="G972" s="7"/>
      <c r="H972" s="7"/>
      <c r="I972" s="7"/>
      <c r="J972" s="7"/>
      <c r="K972" s="33"/>
      <c r="L972" s="33"/>
    </row>
    <row r="973" spans="1:12" ht="13.5" customHeight="1" x14ac:dyDescent="0.2">
      <c r="A973" s="7"/>
      <c r="B973" s="7"/>
      <c r="C973" s="7"/>
      <c r="D973" s="7"/>
      <c r="E973" s="7"/>
      <c r="F973" s="7"/>
      <c r="G973" s="7"/>
      <c r="H973" s="7"/>
      <c r="I973" s="7"/>
      <c r="J973" s="7"/>
      <c r="K973" s="33"/>
      <c r="L973" s="33"/>
    </row>
    <row r="974" spans="1:12" ht="13.5" customHeight="1" x14ac:dyDescent="0.2">
      <c r="A974" s="7"/>
      <c r="B974" s="7"/>
      <c r="C974" s="7"/>
      <c r="D974" s="7"/>
      <c r="E974" s="7"/>
      <c r="F974" s="7"/>
      <c r="G974" s="7"/>
      <c r="H974" s="7"/>
      <c r="I974" s="7"/>
      <c r="J974" s="7"/>
      <c r="K974" s="33"/>
      <c r="L974" s="33"/>
    </row>
    <row r="975" spans="1:12" ht="13.5" customHeight="1" x14ac:dyDescent="0.2">
      <c r="A975" s="7"/>
      <c r="B975" s="7"/>
      <c r="C975" s="7"/>
      <c r="D975" s="7"/>
      <c r="E975" s="7"/>
      <c r="F975" s="7"/>
      <c r="G975" s="7"/>
      <c r="H975" s="7"/>
      <c r="I975" s="7"/>
      <c r="J975" s="7"/>
      <c r="K975" s="33"/>
      <c r="L975" s="33"/>
    </row>
    <row r="976" spans="1:12" ht="13.5" customHeight="1" x14ac:dyDescent="0.2">
      <c r="A976" s="7"/>
      <c r="B976" s="7"/>
      <c r="C976" s="7"/>
      <c r="D976" s="7"/>
      <c r="E976" s="7"/>
      <c r="F976" s="7"/>
      <c r="G976" s="7"/>
      <c r="H976" s="7"/>
      <c r="I976" s="7"/>
      <c r="J976" s="7"/>
      <c r="K976" s="33"/>
      <c r="L976" s="33"/>
    </row>
    <row r="977" spans="1:12" ht="13.5" customHeight="1" x14ac:dyDescent="0.2">
      <c r="A977" s="7"/>
      <c r="B977" s="7"/>
      <c r="C977" s="7"/>
      <c r="D977" s="7"/>
      <c r="E977" s="7"/>
      <c r="F977" s="7"/>
      <c r="G977" s="7"/>
      <c r="H977" s="7"/>
      <c r="I977" s="7"/>
      <c r="J977" s="7"/>
      <c r="K977" s="33"/>
      <c r="L977" s="33"/>
    </row>
    <row r="978" spans="1:12" ht="13.5" customHeight="1" x14ac:dyDescent="0.2">
      <c r="A978" s="7"/>
      <c r="B978" s="7"/>
      <c r="C978" s="7"/>
      <c r="D978" s="7"/>
      <c r="E978" s="7"/>
      <c r="F978" s="7"/>
      <c r="G978" s="7"/>
      <c r="H978" s="7"/>
      <c r="I978" s="7"/>
      <c r="J978" s="7"/>
      <c r="K978" s="33"/>
      <c r="L978" s="33"/>
    </row>
    <row r="979" spans="1:12" ht="13.5" customHeight="1" x14ac:dyDescent="0.2">
      <c r="A979" s="7"/>
      <c r="B979" s="7"/>
      <c r="C979" s="7"/>
      <c r="D979" s="7"/>
      <c r="E979" s="7"/>
      <c r="F979" s="7"/>
      <c r="G979" s="7"/>
      <c r="H979" s="7"/>
      <c r="I979" s="7"/>
      <c r="J979" s="7"/>
      <c r="K979" s="33"/>
      <c r="L979" s="33"/>
    </row>
    <row r="980" spans="1:12" ht="13.5" customHeight="1" x14ac:dyDescent="0.2">
      <c r="A980" s="7"/>
      <c r="B980" s="7"/>
      <c r="C980" s="7"/>
      <c r="D980" s="7"/>
      <c r="E980" s="7"/>
      <c r="F980" s="7"/>
      <c r="G980" s="7"/>
      <c r="H980" s="7"/>
      <c r="I980" s="7"/>
      <c r="J980" s="7"/>
      <c r="K980" s="33"/>
      <c r="L980" s="33"/>
    </row>
    <row r="981" spans="1:12" ht="13.5" customHeight="1" x14ac:dyDescent="0.2">
      <c r="A981" s="7"/>
      <c r="B981" s="7"/>
      <c r="C981" s="7"/>
      <c r="D981" s="7"/>
      <c r="E981" s="7"/>
      <c r="F981" s="7"/>
      <c r="G981" s="7"/>
      <c r="H981" s="7"/>
      <c r="I981" s="7"/>
      <c r="J981" s="7"/>
      <c r="K981" s="33"/>
      <c r="L981" s="33"/>
    </row>
    <row r="982" spans="1:12" ht="13.5" customHeight="1" x14ac:dyDescent="0.2">
      <c r="A982" s="7"/>
      <c r="B982" s="7"/>
      <c r="C982" s="7"/>
      <c r="D982" s="7"/>
      <c r="E982" s="7"/>
      <c r="F982" s="7"/>
      <c r="G982" s="7"/>
      <c r="H982" s="7"/>
      <c r="I982" s="7"/>
      <c r="J982" s="7"/>
      <c r="K982" s="33"/>
      <c r="L982" s="33"/>
    </row>
    <row r="983" spans="1:12" ht="13.5" customHeight="1" x14ac:dyDescent="0.2">
      <c r="A983" s="7"/>
      <c r="B983" s="7"/>
      <c r="C983" s="7"/>
      <c r="D983" s="7"/>
      <c r="E983" s="7"/>
      <c r="F983" s="7"/>
      <c r="G983" s="7"/>
      <c r="H983" s="7"/>
      <c r="I983" s="7"/>
      <c r="J983" s="7"/>
      <c r="K983" s="33"/>
      <c r="L983" s="33"/>
    </row>
    <row r="984" spans="1:12" ht="13.5" customHeight="1" x14ac:dyDescent="0.2">
      <c r="A984" s="7"/>
      <c r="B984" s="7"/>
      <c r="C984" s="7"/>
      <c r="D984" s="7"/>
      <c r="E984" s="7"/>
      <c r="F984" s="7"/>
      <c r="G984" s="7"/>
      <c r="H984" s="7"/>
      <c r="I984" s="7"/>
      <c r="J984" s="7"/>
      <c r="K984" s="33"/>
      <c r="L984" s="33"/>
    </row>
    <row r="985" spans="1:12" ht="13.5" customHeight="1" x14ac:dyDescent="0.2">
      <c r="A985" s="7"/>
      <c r="B985" s="7"/>
      <c r="C985" s="7"/>
      <c r="D985" s="7"/>
      <c r="E985" s="7"/>
      <c r="F985" s="7"/>
      <c r="G985" s="7"/>
      <c r="H985" s="7"/>
      <c r="I985" s="7"/>
      <c r="J985" s="7"/>
      <c r="K985" s="33"/>
      <c r="L985" s="33"/>
    </row>
    <row r="986" spans="1:12" ht="13.5" customHeight="1" x14ac:dyDescent="0.2">
      <c r="A986" s="7"/>
      <c r="B986" s="7"/>
      <c r="C986" s="7"/>
      <c r="D986" s="7"/>
      <c r="E986" s="7"/>
      <c r="F986" s="7"/>
      <c r="G986" s="7"/>
      <c r="H986" s="7"/>
      <c r="I986" s="7"/>
      <c r="J986" s="7"/>
      <c r="K986" s="33"/>
      <c r="L986" s="33"/>
    </row>
    <row r="987" spans="1:12" ht="13.5" customHeight="1" x14ac:dyDescent="0.2">
      <c r="A987" s="7"/>
      <c r="B987" s="7"/>
      <c r="C987" s="7"/>
      <c r="D987" s="7"/>
      <c r="E987" s="7"/>
      <c r="F987" s="7"/>
      <c r="G987" s="7"/>
      <c r="H987" s="7"/>
      <c r="I987" s="7"/>
      <c r="J987" s="7"/>
      <c r="K987" s="33"/>
      <c r="L987" s="33"/>
    </row>
    <row r="988" spans="1:12" ht="13.5" customHeight="1" x14ac:dyDescent="0.2">
      <c r="A988" s="7"/>
      <c r="B988" s="7"/>
      <c r="C988" s="7"/>
      <c r="D988" s="7"/>
      <c r="E988" s="7"/>
      <c r="F988" s="7"/>
      <c r="G988" s="7"/>
      <c r="H988" s="7"/>
      <c r="I988" s="7"/>
      <c r="J988" s="7"/>
      <c r="K988" s="33"/>
      <c r="L988" s="33"/>
    </row>
    <row r="989" spans="1:12" ht="13.5" customHeight="1" x14ac:dyDescent="0.2">
      <c r="A989" s="7"/>
      <c r="B989" s="7"/>
      <c r="C989" s="7"/>
      <c r="D989" s="7"/>
      <c r="E989" s="7"/>
      <c r="F989" s="7"/>
      <c r="G989" s="7"/>
      <c r="H989" s="7"/>
      <c r="I989" s="7"/>
      <c r="J989" s="7"/>
      <c r="K989" s="33"/>
      <c r="L989" s="33"/>
    </row>
    <row r="990" spans="1:12" ht="13.5" customHeight="1" x14ac:dyDescent="0.2">
      <c r="A990" s="7"/>
      <c r="B990" s="7"/>
      <c r="C990" s="7"/>
      <c r="D990" s="7"/>
      <c r="E990" s="7"/>
      <c r="F990" s="7"/>
      <c r="G990" s="7"/>
      <c r="H990" s="7"/>
      <c r="I990" s="7"/>
      <c r="J990" s="7"/>
      <c r="K990" s="33"/>
      <c r="L990" s="33"/>
    </row>
    <row r="991" spans="1:12" ht="13.5" customHeight="1" x14ac:dyDescent="0.2">
      <c r="A991" s="7"/>
      <c r="B991" s="7"/>
      <c r="C991" s="7"/>
      <c r="D991" s="7"/>
      <c r="E991" s="7"/>
      <c r="F991" s="7"/>
      <c r="G991" s="7"/>
      <c r="H991" s="7"/>
      <c r="I991" s="7"/>
      <c r="J991" s="7"/>
      <c r="K991" s="33"/>
      <c r="L991" s="33"/>
    </row>
    <row r="992" spans="1:12" ht="13.5" customHeight="1" x14ac:dyDescent="0.2">
      <c r="A992" s="7"/>
      <c r="B992" s="7"/>
      <c r="C992" s="7"/>
      <c r="D992" s="7"/>
      <c r="E992" s="7"/>
      <c r="F992" s="7"/>
      <c r="G992" s="7"/>
      <c r="H992" s="7"/>
      <c r="I992" s="7"/>
      <c r="J992" s="7"/>
      <c r="K992" s="33"/>
      <c r="L992" s="33"/>
    </row>
    <row r="993" spans="1:12" ht="13.5" customHeight="1" x14ac:dyDescent="0.2">
      <c r="A993" s="7"/>
      <c r="B993" s="7"/>
      <c r="C993" s="7"/>
      <c r="D993" s="7"/>
      <c r="E993" s="7"/>
      <c r="F993" s="7"/>
      <c r="G993" s="7"/>
      <c r="H993" s="7"/>
      <c r="I993" s="7"/>
      <c r="J993" s="7"/>
      <c r="K993" s="33"/>
      <c r="L993" s="33"/>
    </row>
    <row r="994" spans="1:12" ht="13.5" customHeight="1" x14ac:dyDescent="0.2">
      <c r="A994" s="7"/>
      <c r="B994" s="7"/>
      <c r="C994" s="7"/>
      <c r="D994" s="7"/>
      <c r="E994" s="7"/>
      <c r="F994" s="7"/>
      <c r="G994" s="7"/>
      <c r="H994" s="7"/>
      <c r="I994" s="7"/>
      <c r="J994" s="7"/>
      <c r="K994" s="33"/>
      <c r="L994" s="33"/>
    </row>
    <row r="995" spans="1:12" ht="13.5" customHeight="1" x14ac:dyDescent="0.2">
      <c r="A995" s="7"/>
      <c r="B995" s="7"/>
      <c r="C995" s="7"/>
      <c r="D995" s="7"/>
      <c r="E995" s="7"/>
      <c r="F995" s="7"/>
      <c r="G995" s="7"/>
      <c r="H995" s="7"/>
      <c r="I995" s="7"/>
      <c r="J995" s="7"/>
      <c r="K995" s="33"/>
      <c r="L995" s="33"/>
    </row>
    <row r="996" spans="1:12" ht="13.5" customHeight="1" x14ac:dyDescent="0.2">
      <c r="A996" s="7"/>
      <c r="B996" s="7"/>
      <c r="C996" s="7"/>
      <c r="D996" s="7"/>
      <c r="E996" s="7"/>
      <c r="F996" s="7"/>
      <c r="G996" s="7"/>
      <c r="H996" s="7"/>
      <c r="I996" s="7"/>
      <c r="J996" s="7"/>
      <c r="K996" s="33"/>
      <c r="L996" s="33"/>
    </row>
    <row r="997" spans="1:12" ht="13.5" customHeight="1" x14ac:dyDescent="0.2">
      <c r="A997" s="7"/>
      <c r="B997" s="7"/>
      <c r="C997" s="7"/>
      <c r="D997" s="7"/>
      <c r="E997" s="7"/>
      <c r="F997" s="7"/>
      <c r="G997" s="7"/>
      <c r="H997" s="7"/>
      <c r="I997" s="7"/>
      <c r="J997" s="7"/>
      <c r="K997" s="33"/>
      <c r="L997" s="33"/>
    </row>
    <row r="998" spans="1:12" ht="13.5" customHeight="1" x14ac:dyDescent="0.2">
      <c r="A998" s="7"/>
      <c r="B998" s="7"/>
      <c r="C998" s="7"/>
      <c r="D998" s="7"/>
      <c r="E998" s="7"/>
      <c r="F998" s="7"/>
      <c r="G998" s="7"/>
      <c r="H998" s="7"/>
      <c r="I998" s="7"/>
      <c r="J998" s="7"/>
      <c r="K998" s="33"/>
      <c r="L998" s="33"/>
    </row>
    <row r="999" spans="1:12" ht="13.5" customHeight="1" x14ac:dyDescent="0.2">
      <c r="A999" s="7"/>
      <c r="B999" s="7"/>
      <c r="C999" s="7"/>
      <c r="D999" s="7"/>
      <c r="E999" s="7"/>
      <c r="F999" s="7"/>
      <c r="G999" s="7"/>
      <c r="H999" s="7"/>
      <c r="I999" s="7"/>
      <c r="J999" s="7"/>
      <c r="K999" s="33"/>
      <c r="L999" s="33"/>
    </row>
    <row r="1000" spans="1:12" ht="13.5" customHeight="1" x14ac:dyDescent="0.2">
      <c r="A1000" s="7"/>
      <c r="B1000" s="7"/>
      <c r="C1000" s="7"/>
      <c r="D1000" s="7"/>
      <c r="E1000" s="7"/>
      <c r="F1000" s="7"/>
      <c r="G1000" s="7"/>
      <c r="H1000" s="7"/>
      <c r="I1000" s="7"/>
      <c r="J1000" s="7"/>
      <c r="K1000" s="33"/>
      <c r="L1000" s="33"/>
    </row>
    <row r="1001" spans="1:12" ht="13.5" customHeight="1" x14ac:dyDescent="0.2">
      <c r="A1001" s="7"/>
      <c r="B1001" s="7"/>
      <c r="C1001" s="7"/>
      <c r="D1001" s="7"/>
      <c r="E1001" s="7"/>
      <c r="F1001" s="7"/>
      <c r="G1001" s="7"/>
      <c r="H1001" s="7"/>
      <c r="I1001" s="7"/>
      <c r="J1001" s="7"/>
      <c r="K1001" s="33"/>
      <c r="L1001" s="33"/>
    </row>
    <row r="1002" spans="1:12" ht="13.5" customHeight="1" x14ac:dyDescent="0.2">
      <c r="A1002" s="7"/>
      <c r="B1002" s="7"/>
      <c r="C1002" s="7"/>
      <c r="D1002" s="7"/>
      <c r="E1002" s="7"/>
      <c r="F1002" s="7"/>
      <c r="G1002" s="7"/>
      <c r="H1002" s="7"/>
      <c r="I1002" s="7"/>
      <c r="J1002" s="7"/>
      <c r="K1002" s="33"/>
      <c r="L1002" s="33"/>
    </row>
    <row r="1003" spans="1:12" ht="13.5" customHeight="1" x14ac:dyDescent="0.2">
      <c r="A1003" s="7"/>
      <c r="B1003" s="7"/>
      <c r="C1003" s="7"/>
      <c r="D1003" s="7"/>
      <c r="E1003" s="7"/>
      <c r="F1003" s="7"/>
      <c r="G1003" s="7"/>
      <c r="H1003" s="7"/>
      <c r="I1003" s="7"/>
      <c r="J1003" s="7"/>
      <c r="K1003" s="33"/>
      <c r="L1003" s="33"/>
    </row>
    <row r="1004" spans="1:12" ht="13.5" customHeight="1" x14ac:dyDescent="0.2">
      <c r="A1004" s="7"/>
      <c r="B1004" s="7"/>
      <c r="C1004" s="7"/>
      <c r="D1004" s="7"/>
      <c r="E1004" s="7"/>
      <c r="F1004" s="7"/>
      <c r="G1004" s="7"/>
      <c r="H1004" s="7"/>
      <c r="I1004" s="7"/>
      <c r="J1004" s="7"/>
      <c r="K1004" s="33"/>
      <c r="L1004" s="33"/>
    </row>
    <row r="1005" spans="1:12" ht="13.5" customHeight="1" x14ac:dyDescent="0.2">
      <c r="A1005" s="7"/>
      <c r="B1005" s="7"/>
      <c r="C1005" s="7"/>
      <c r="D1005" s="7"/>
      <c r="E1005" s="7"/>
      <c r="F1005" s="7"/>
      <c r="G1005" s="7"/>
      <c r="H1005" s="7"/>
      <c r="I1005" s="7"/>
      <c r="J1005" s="7"/>
      <c r="K1005" s="33"/>
      <c r="L1005" s="33"/>
    </row>
    <row r="1006" spans="1:12" ht="13.5" customHeight="1" x14ac:dyDescent="0.2">
      <c r="A1006" s="7"/>
      <c r="B1006" s="7"/>
      <c r="C1006" s="7"/>
      <c r="D1006" s="7"/>
      <c r="E1006" s="7"/>
      <c r="F1006" s="7"/>
      <c r="G1006" s="7"/>
      <c r="H1006" s="7"/>
      <c r="I1006" s="7"/>
      <c r="J1006" s="7"/>
      <c r="K1006" s="33"/>
      <c r="L1006" s="33"/>
    </row>
    <row r="1007" spans="1:12" ht="13.5" customHeight="1" x14ac:dyDescent="0.2">
      <c r="A1007" s="7"/>
      <c r="B1007" s="7"/>
      <c r="C1007" s="7"/>
      <c r="D1007" s="7"/>
      <c r="E1007" s="7"/>
      <c r="F1007" s="7"/>
      <c r="G1007" s="7"/>
      <c r="H1007" s="7"/>
      <c r="I1007" s="7"/>
      <c r="J1007" s="7"/>
      <c r="K1007" s="33"/>
      <c r="L1007" s="33"/>
    </row>
    <row r="1008" spans="1:12" ht="13.5" customHeight="1" x14ac:dyDescent="0.2">
      <c r="A1008" s="7"/>
      <c r="B1008" s="7"/>
      <c r="C1008" s="7"/>
      <c r="D1008" s="7"/>
      <c r="E1008" s="7"/>
      <c r="F1008" s="7"/>
      <c r="G1008" s="7"/>
      <c r="H1008" s="7"/>
      <c r="I1008" s="7"/>
      <c r="J1008" s="7"/>
      <c r="K1008" s="33"/>
      <c r="L1008" s="33"/>
    </row>
    <row r="1009" spans="1:12" ht="13.5" customHeight="1" x14ac:dyDescent="0.2">
      <c r="A1009" s="7"/>
      <c r="B1009" s="7"/>
      <c r="C1009" s="7"/>
      <c r="D1009" s="7"/>
      <c r="E1009" s="7"/>
      <c r="F1009" s="7"/>
      <c r="G1009" s="7"/>
      <c r="H1009" s="7"/>
      <c r="I1009" s="7"/>
      <c r="J1009" s="7"/>
      <c r="K1009" s="33"/>
      <c r="L1009" s="33"/>
    </row>
    <row r="1010" spans="1:12" ht="13.5" customHeight="1" x14ac:dyDescent="0.2">
      <c r="A1010" s="7"/>
      <c r="B1010" s="7"/>
      <c r="C1010" s="7"/>
      <c r="D1010" s="7"/>
      <c r="E1010" s="7"/>
      <c r="F1010" s="7"/>
      <c r="G1010" s="7"/>
      <c r="H1010" s="7"/>
      <c r="I1010" s="7"/>
      <c r="J1010" s="7"/>
      <c r="K1010" s="33"/>
      <c r="L1010" s="33"/>
    </row>
    <row r="1011" spans="1:12" ht="13.5" customHeight="1" x14ac:dyDescent="0.2">
      <c r="A1011" s="7"/>
      <c r="B1011" s="7"/>
      <c r="C1011" s="7"/>
      <c r="D1011" s="7"/>
      <c r="E1011" s="7"/>
      <c r="F1011" s="7"/>
      <c r="G1011" s="7"/>
      <c r="H1011" s="7"/>
      <c r="I1011" s="7"/>
      <c r="J1011" s="7"/>
      <c r="K1011" s="33"/>
      <c r="L1011" s="33"/>
    </row>
    <row r="1012" spans="1:12" ht="13.5" customHeight="1" x14ac:dyDescent="0.2">
      <c r="A1012" s="7"/>
      <c r="B1012" s="7"/>
      <c r="C1012" s="7"/>
      <c r="D1012" s="7"/>
      <c r="E1012" s="7"/>
      <c r="F1012" s="7"/>
      <c r="G1012" s="7"/>
      <c r="H1012" s="7"/>
      <c r="I1012" s="7"/>
      <c r="J1012" s="7"/>
      <c r="K1012" s="33"/>
      <c r="L1012" s="33"/>
    </row>
    <row r="1013" spans="1:12" ht="13.5" customHeight="1" x14ac:dyDescent="0.2">
      <c r="A1013" s="7"/>
      <c r="B1013" s="7"/>
      <c r="C1013" s="7"/>
      <c r="D1013" s="7"/>
      <c r="E1013" s="7"/>
      <c r="F1013" s="7"/>
      <c r="G1013" s="7"/>
      <c r="H1013" s="7"/>
      <c r="I1013" s="7"/>
      <c r="J1013" s="7"/>
      <c r="K1013" s="33"/>
      <c r="L1013" s="33"/>
    </row>
    <row r="1014" spans="1:12" ht="13.5" customHeight="1" x14ac:dyDescent="0.2">
      <c r="A1014" s="7"/>
      <c r="B1014" s="7"/>
      <c r="C1014" s="7"/>
      <c r="D1014" s="7"/>
      <c r="E1014" s="7"/>
      <c r="F1014" s="7"/>
      <c r="G1014" s="7"/>
      <c r="H1014" s="7"/>
      <c r="I1014" s="7"/>
      <c r="J1014" s="7"/>
      <c r="K1014" s="33"/>
      <c r="L1014" s="33"/>
    </row>
    <row r="1015" spans="1:12" ht="13.5" customHeight="1" x14ac:dyDescent="0.2">
      <c r="A1015" s="7"/>
      <c r="B1015" s="7"/>
      <c r="C1015" s="7"/>
      <c r="D1015" s="7"/>
      <c r="E1015" s="7"/>
      <c r="F1015" s="7"/>
      <c r="G1015" s="7"/>
      <c r="H1015" s="7"/>
      <c r="I1015" s="7"/>
      <c r="J1015" s="7"/>
      <c r="K1015" s="33"/>
      <c r="L1015" s="33"/>
    </row>
    <row r="1016" spans="1:12" ht="13.5" customHeight="1" x14ac:dyDescent="0.2">
      <c r="A1016" s="7"/>
      <c r="B1016" s="7"/>
      <c r="C1016" s="7"/>
      <c r="D1016" s="7"/>
      <c r="E1016" s="7"/>
      <c r="F1016" s="7"/>
      <c r="G1016" s="7"/>
      <c r="H1016" s="7"/>
      <c r="I1016" s="7"/>
      <c r="J1016" s="7"/>
      <c r="K1016" s="33"/>
      <c r="L1016" s="33"/>
    </row>
  </sheetData>
  <mergeCells count="69">
    <mergeCell ref="K217:L217"/>
    <mergeCell ref="K218:L218"/>
    <mergeCell ref="K219:L219"/>
    <mergeCell ref="K220:L220"/>
    <mergeCell ref="K247:L247"/>
    <mergeCell ref="K221:L221"/>
    <mergeCell ref="K241:L241"/>
    <mergeCell ref="K242:L242"/>
    <mergeCell ref="K255:L255"/>
    <mergeCell ref="K256:L256"/>
    <mergeCell ref="K259:L259"/>
    <mergeCell ref="K260:L260"/>
    <mergeCell ref="K248:L248"/>
    <mergeCell ref="K249:L249"/>
    <mergeCell ref="K250:L250"/>
    <mergeCell ref="K251:L251"/>
    <mergeCell ref="K252:L252"/>
    <mergeCell ref="K253:L253"/>
    <mergeCell ref="K254:L254"/>
    <mergeCell ref="A9:D9"/>
    <mergeCell ref="D11:E11"/>
    <mergeCell ref="H1:K1"/>
    <mergeCell ref="H3:K3"/>
    <mergeCell ref="H4:I4"/>
    <mergeCell ref="H5:K5"/>
    <mergeCell ref="A7:D7"/>
    <mergeCell ref="A8:D8"/>
    <mergeCell ref="A11:A13"/>
    <mergeCell ref="K13:L13"/>
    <mergeCell ref="D12:E12"/>
    <mergeCell ref="D13:E13"/>
    <mergeCell ref="K19:L19"/>
    <mergeCell ref="K26:L26"/>
    <mergeCell ref="K27:L27"/>
    <mergeCell ref="K28:L28"/>
    <mergeCell ref="K29:L29"/>
    <mergeCell ref="K30:L30"/>
    <mergeCell ref="K32:L32"/>
    <mergeCell ref="K50:L50"/>
    <mergeCell ref="K51:L51"/>
    <mergeCell ref="K62:L62"/>
    <mergeCell ref="K33:L33"/>
    <mergeCell ref="K70:L70"/>
    <mergeCell ref="K71:L71"/>
    <mergeCell ref="K60:L60"/>
    <mergeCell ref="K81:L81"/>
    <mergeCell ref="K82:L82"/>
    <mergeCell ref="K83:L83"/>
    <mergeCell ref="K84:L84"/>
    <mergeCell ref="K104:L104"/>
    <mergeCell ref="K109:L109"/>
    <mergeCell ref="H120:K120"/>
    <mergeCell ref="K110:L110"/>
    <mergeCell ref="K85:L85"/>
    <mergeCell ref="K127:L127"/>
    <mergeCell ref="K129:L129"/>
    <mergeCell ref="K130:L130"/>
    <mergeCell ref="K131:L131"/>
    <mergeCell ref="K132:L132"/>
    <mergeCell ref="K175:L175"/>
    <mergeCell ref="K197:L197"/>
    <mergeCell ref="K206:L206"/>
    <mergeCell ref="K169:L169"/>
    <mergeCell ref="K133:L133"/>
    <mergeCell ref="K144:L144"/>
    <mergeCell ref="K150:L150"/>
    <mergeCell ref="K173:L173"/>
    <mergeCell ref="K174:L174"/>
    <mergeCell ref="K134:L134"/>
  </mergeCells>
  <conditionalFormatting sqref="D16:E115 D247:E265 D123:E245">
    <cfRule type="expression" dxfId="12" priority="1" stopIfTrue="1">
      <formula>($D16+$E16)&lt;&gt;0</formula>
    </cfRule>
  </conditionalFormatting>
  <conditionalFormatting sqref="K13 K24 K26:K27 K30 K39:K45 K80 K83 K108 K110 K127:K128 K131:K132 K172:K173 K175 K216 K219 K258 K260">
    <cfRule type="expression" dxfId="11" priority="2" stopIfTrue="1">
      <formula>ISERROR(K13)</formula>
    </cfRule>
  </conditionalFormatting>
  <conditionalFormatting sqref="K49 K51:K59 K61">
    <cfRule type="expression" dxfId="10" priority="3" stopIfTrue="1">
      <formula>ISERROR(K49)</formula>
    </cfRule>
  </conditionalFormatting>
  <conditionalFormatting sqref="K63:K64">
    <cfRule type="expression" dxfId="9" priority="4" stopIfTrue="1">
      <formula>ISERROR(K63)</formula>
    </cfRule>
  </conditionalFormatting>
  <conditionalFormatting sqref="K241:K242 K247:K256">
    <cfRule type="expression" dxfId="8" priority="5">
      <formula>MOD(ROW(),2)=1</formula>
    </cfRule>
  </conditionalFormatting>
  <conditionalFormatting sqref="K52:L59 K61:L61 K39:L45 K12:L12">
    <cfRule type="containsText" dxfId="7" priority="6" stopIfTrue="1" operator="containsText" text="0">
      <formula>NOT(ISERROR(SEARCH(("0"),(K12))))</formula>
    </cfRule>
  </conditionalFormatting>
  <conditionalFormatting sqref="K63:L64">
    <cfRule type="containsText" dxfId="6" priority="7" stopIfTrue="1" operator="containsText" text="0">
      <formula>NOT(ISERROR(SEARCH(("0"),(K63))))</formula>
    </cfRule>
  </conditionalFormatting>
  <printOptions horizontalCentered="1"/>
  <pageMargins left="0" right="0" top="0" bottom="0" header="0" footer="0"/>
  <pageSetup scale="33" fitToHeight="0" pageOrder="overThenDown" orientation="landscape" cellComments="atEnd"/>
  <drawing r:id="rId1"/>
  <extLst>
    <ext xmlns:x14="http://schemas.microsoft.com/office/spreadsheetml/2009/9/main" uri="{CCE6A557-97BC-4b89-ADB6-D9C93CAAB3DF}">
      <x14:dataValidations xmlns:xm="http://schemas.microsoft.com/office/excel/2006/main" count="7">
        <x14:dataValidation type="list" allowBlank="1" showErrorMessage="1" xr:uid="{00000000-0002-0000-0000-000000000000}">
          <x14:formula1>
            <xm:f>'Digital Content'!$C:$C</xm:f>
          </x14:formula1>
          <xm:sqref>G61 G71 G79 G97 G115 G188 G192 G265 G206 G214 G233</xm:sqref>
        </x14:dataValidation>
        <x14:dataValidation type="list" allowBlank="1" showErrorMessage="1" xr:uid="{00000000-0002-0000-0000-000001000000}">
          <x14:formula1>
            <xm:f>'Digital Content'!$J:$J</xm:f>
          </x14:formula1>
          <xm:sqref>J14 J21 J35 J37 J64:J70 J76 J104:J105 J199:J205 J211 J241:J242</xm:sqref>
        </x14:dataValidation>
        <x14:dataValidation type="list" allowBlank="1" showErrorMessage="1" xr:uid="{00000000-0002-0000-0000-000002000000}">
          <x14:formula1>
            <xm:f>'Digital Content'!$C$9:$C$143</xm:f>
          </x14:formula1>
          <xm:sqref>G12 G146:G148</xm:sqref>
        </x14:dataValidation>
        <x14:dataValidation type="list" allowBlank="1" showErrorMessage="1" xr:uid="{00000000-0002-0000-0000-000003000000}">
          <x14:formula1>
            <xm:f>'National Anthems'!$F:$F</xm:f>
          </x14:formula1>
          <xm:sqref>H67 H69 H202 H204</xm:sqref>
        </x14:dataValidation>
        <x14:dataValidation type="list" allowBlank="1" showErrorMessage="1" xr:uid="{00000000-0002-0000-0000-000004000000}">
          <x14:formula1>
            <xm:f>Sponsors!$A:$A</xm:f>
          </x14:formula1>
          <xm:sqref>G13 G24:G33 G39:G45 G49:G58 G80:G96 G108:G114 G127:G141 G172:G175 G181:G187 G215:G232 G258:G264</xm:sqref>
        </x14:dataValidation>
        <x14:dataValidation type="list" allowBlank="1" showErrorMessage="1" xr:uid="{00000000-0002-0000-0000-000005000000}">
          <x14:formula1>
            <xm:f>'Match Database '!$A:$A</xm:f>
          </x14:formula1>
          <xm:sqref>C4 B12 C119</xm:sqref>
        </x14:dataValidation>
        <x14:dataValidation type="list" allowBlank="1" showErrorMessage="1" xr:uid="{00000000-0002-0000-0000-000006000000}">
          <x14:formula1>
            <xm:f>'Digital Content'!$I:$I</xm:f>
          </x14:formula1>
          <xm:sqref>I14 I64:I70 I73 I199:I205 I208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outlinePr summaryBelow="0" summaryRight="0"/>
  </sheetPr>
  <dimension ref="A1:Z1000"/>
  <sheetViews>
    <sheetView view="pageBreakPreview" topLeftCell="A17" zoomScale="60" zoomScaleNormal="100" workbookViewId="0">
      <selection activeCell="C27" sqref="C27"/>
    </sheetView>
  </sheetViews>
  <sheetFormatPr baseColWidth="10" defaultColWidth="11.1640625" defaultRowHeight="15" customHeight="1" x14ac:dyDescent="0.25"/>
  <cols>
    <col min="1" max="1" width="25.83203125" style="501" customWidth="1"/>
    <col min="2" max="2" width="57.1640625" style="501" customWidth="1"/>
    <col min="3" max="3" width="129.83203125" style="501" customWidth="1"/>
    <col min="4" max="4" width="140" style="501" customWidth="1"/>
    <col min="5" max="26" width="11.1640625" customWidth="1"/>
  </cols>
  <sheetData>
    <row r="1" spans="1:26" ht="34.5" customHeight="1" x14ac:dyDescent="0.25">
      <c r="A1" s="393" t="s">
        <v>843</v>
      </c>
      <c r="B1" s="537"/>
      <c r="C1" s="537"/>
      <c r="D1" s="537"/>
      <c r="E1" s="395"/>
      <c r="F1" s="395"/>
      <c r="G1" s="395"/>
      <c r="H1" s="7"/>
      <c r="I1" s="7"/>
      <c r="J1" s="7"/>
      <c r="K1" s="7"/>
      <c r="L1" s="7"/>
      <c r="M1" s="7"/>
      <c r="N1" s="7"/>
      <c r="O1" s="7"/>
      <c r="P1" s="7"/>
      <c r="Q1" s="7"/>
      <c r="R1" s="7"/>
      <c r="S1" s="7"/>
      <c r="T1" s="7"/>
      <c r="U1" s="7"/>
      <c r="V1" s="7"/>
      <c r="W1" s="7"/>
      <c r="X1" s="7"/>
      <c r="Y1" s="7"/>
      <c r="Z1" s="7"/>
    </row>
    <row r="2" spans="1:26" ht="15" customHeight="1" x14ac:dyDescent="0.25">
      <c r="A2" s="394"/>
      <c r="B2" s="537"/>
      <c r="C2" s="537"/>
      <c r="D2" s="537"/>
      <c r="E2" s="395"/>
      <c r="F2" s="395"/>
      <c r="G2" s="395"/>
      <c r="H2" s="7"/>
      <c r="I2" s="7"/>
      <c r="J2" s="7"/>
      <c r="K2" s="7"/>
      <c r="L2" s="7"/>
      <c r="M2" s="7"/>
      <c r="N2" s="7"/>
      <c r="O2" s="7"/>
      <c r="P2" s="7"/>
      <c r="Q2" s="7"/>
      <c r="R2" s="7"/>
      <c r="S2" s="7"/>
      <c r="T2" s="7"/>
      <c r="U2" s="7"/>
      <c r="V2" s="7"/>
      <c r="W2" s="7"/>
      <c r="X2" s="7"/>
      <c r="Y2" s="7"/>
      <c r="Z2" s="7"/>
    </row>
    <row r="3" spans="1:26" ht="15" customHeight="1" x14ac:dyDescent="0.25">
      <c r="A3" s="595" t="s">
        <v>480</v>
      </c>
      <c r="B3" s="596"/>
      <c r="C3" s="596"/>
      <c r="D3" s="597"/>
      <c r="E3" s="395"/>
      <c r="F3" s="395"/>
      <c r="G3" s="395"/>
      <c r="H3" s="7"/>
      <c r="I3" s="7"/>
      <c r="J3" s="7"/>
      <c r="K3" s="7"/>
      <c r="L3" s="7"/>
      <c r="M3" s="7"/>
      <c r="N3" s="7"/>
      <c r="O3" s="7"/>
      <c r="P3" s="7"/>
      <c r="Q3" s="7"/>
      <c r="R3" s="7"/>
      <c r="S3" s="7"/>
      <c r="T3" s="7"/>
      <c r="U3" s="7"/>
      <c r="V3" s="7"/>
      <c r="W3" s="7"/>
      <c r="X3" s="7"/>
      <c r="Y3" s="7"/>
      <c r="Z3" s="7"/>
    </row>
    <row r="4" spans="1:26" ht="15" customHeight="1" x14ac:dyDescent="0.2">
      <c r="A4" s="502" t="s">
        <v>481</v>
      </c>
      <c r="B4" s="502" t="s">
        <v>482</v>
      </c>
      <c r="C4" s="502" t="s">
        <v>483</v>
      </c>
      <c r="D4" s="502" t="s">
        <v>484</v>
      </c>
      <c r="E4" s="395"/>
      <c r="F4" s="395"/>
      <c r="G4" s="395"/>
      <c r="H4" s="7"/>
      <c r="I4" s="7"/>
      <c r="J4" s="7"/>
      <c r="K4" s="7"/>
      <c r="L4" s="7"/>
      <c r="M4" s="7"/>
      <c r="N4" s="7"/>
      <c r="O4" s="7"/>
      <c r="P4" s="7"/>
      <c r="Q4" s="7"/>
      <c r="R4" s="7"/>
      <c r="S4" s="7"/>
      <c r="T4" s="7"/>
      <c r="U4" s="7"/>
      <c r="V4" s="7"/>
      <c r="W4" s="7"/>
      <c r="X4" s="7"/>
      <c r="Y4" s="7"/>
      <c r="Z4" s="7"/>
    </row>
    <row r="5" spans="1:26" ht="40.5" customHeight="1" x14ac:dyDescent="0.2">
      <c r="A5" s="538" t="s">
        <v>519</v>
      </c>
      <c r="B5" s="539" t="s">
        <v>520</v>
      </c>
      <c r="C5" s="539" t="s">
        <v>844</v>
      </c>
      <c r="D5" s="539" t="s">
        <v>845</v>
      </c>
      <c r="E5" s="396"/>
      <c r="F5" s="396"/>
      <c r="G5" s="396"/>
      <c r="H5" s="397"/>
      <c r="I5" s="397"/>
      <c r="J5" s="397"/>
      <c r="K5" s="397"/>
      <c r="L5" s="397"/>
      <c r="M5" s="397"/>
      <c r="N5" s="397"/>
      <c r="O5" s="397"/>
      <c r="P5" s="397"/>
      <c r="Q5" s="397"/>
      <c r="R5" s="397"/>
      <c r="S5" s="397"/>
      <c r="T5" s="397"/>
      <c r="U5" s="397"/>
      <c r="V5" s="397"/>
      <c r="W5" s="397"/>
      <c r="X5" s="397"/>
      <c r="Y5" s="397"/>
      <c r="Z5" s="397"/>
    </row>
    <row r="6" spans="1:26" ht="42" customHeight="1" x14ac:dyDescent="0.2">
      <c r="A6" s="540" t="s">
        <v>846</v>
      </c>
      <c r="B6" s="539" t="s">
        <v>521</v>
      </c>
      <c r="C6" s="539" t="s">
        <v>1076</v>
      </c>
      <c r="D6" s="539" t="s">
        <v>847</v>
      </c>
      <c r="E6" s="396"/>
      <c r="F6" s="396"/>
      <c r="G6" s="396"/>
      <c r="H6" s="397"/>
      <c r="I6" s="397"/>
      <c r="J6" s="397"/>
      <c r="K6" s="397"/>
      <c r="L6" s="397"/>
      <c r="M6" s="397"/>
      <c r="N6" s="397"/>
      <c r="O6" s="397"/>
      <c r="P6" s="397"/>
      <c r="Q6" s="397"/>
      <c r="R6" s="397"/>
      <c r="S6" s="397"/>
      <c r="T6" s="397"/>
      <c r="U6" s="397"/>
      <c r="V6" s="397"/>
      <c r="W6" s="397"/>
      <c r="X6" s="397"/>
      <c r="Y6" s="397"/>
      <c r="Z6" s="397"/>
    </row>
    <row r="7" spans="1:26" ht="98" customHeight="1" x14ac:dyDescent="0.2">
      <c r="A7" s="541" t="s">
        <v>522</v>
      </c>
      <c r="B7" s="155" t="s">
        <v>523</v>
      </c>
      <c r="C7" s="155" t="s">
        <v>1077</v>
      </c>
      <c r="D7" s="155" t="s">
        <v>848</v>
      </c>
      <c r="E7" s="396"/>
      <c r="F7" s="396"/>
      <c r="G7" s="396"/>
      <c r="H7" s="397"/>
      <c r="I7" s="397"/>
      <c r="J7" s="397"/>
      <c r="K7" s="397"/>
      <c r="L7" s="397"/>
      <c r="M7" s="397"/>
      <c r="N7" s="397"/>
      <c r="O7" s="397"/>
      <c r="P7" s="397"/>
      <c r="Q7" s="397"/>
      <c r="R7" s="397"/>
      <c r="S7" s="397"/>
      <c r="T7" s="397"/>
      <c r="U7" s="397"/>
      <c r="V7" s="397"/>
      <c r="W7" s="397"/>
      <c r="X7" s="397"/>
      <c r="Y7" s="397"/>
      <c r="Z7" s="397"/>
    </row>
    <row r="8" spans="1:26" ht="121" customHeight="1" x14ac:dyDescent="0.2">
      <c r="A8" s="542" t="s">
        <v>524</v>
      </c>
      <c r="B8" s="543" t="s">
        <v>525</v>
      </c>
      <c r="C8" s="543" t="s">
        <v>849</v>
      </c>
      <c r="D8" s="543" t="s">
        <v>850</v>
      </c>
      <c r="E8" s="396"/>
      <c r="F8" s="396"/>
      <c r="G8" s="396"/>
      <c r="H8" s="397"/>
      <c r="I8" s="397"/>
      <c r="J8" s="397"/>
      <c r="K8" s="397"/>
      <c r="L8" s="397"/>
      <c r="M8" s="397"/>
      <c r="N8" s="397"/>
      <c r="O8" s="397"/>
      <c r="P8" s="397"/>
      <c r="Q8" s="397"/>
      <c r="R8" s="397"/>
      <c r="S8" s="397"/>
      <c r="T8" s="397"/>
      <c r="U8" s="397"/>
      <c r="V8" s="397"/>
      <c r="W8" s="397"/>
      <c r="X8" s="397"/>
      <c r="Y8" s="397"/>
      <c r="Z8" s="397"/>
    </row>
    <row r="9" spans="1:26" ht="142.5" customHeight="1" x14ac:dyDescent="0.2">
      <c r="A9" s="541" t="s">
        <v>526</v>
      </c>
      <c r="B9" s="544" t="s">
        <v>527</v>
      </c>
      <c r="C9" s="155" t="s">
        <v>851</v>
      </c>
      <c r="D9" s="544" t="s">
        <v>852</v>
      </c>
      <c r="E9" s="396"/>
      <c r="F9" s="396"/>
      <c r="G9" s="396"/>
      <c r="H9" s="397"/>
      <c r="I9" s="397"/>
      <c r="J9" s="397"/>
      <c r="K9" s="397"/>
      <c r="L9" s="397"/>
      <c r="M9" s="397"/>
      <c r="N9" s="397"/>
      <c r="O9" s="397"/>
      <c r="P9" s="397"/>
      <c r="Q9" s="397"/>
      <c r="R9" s="397"/>
      <c r="S9" s="397"/>
      <c r="T9" s="397"/>
      <c r="U9" s="397"/>
      <c r="V9" s="397"/>
      <c r="W9" s="397"/>
      <c r="X9" s="397"/>
      <c r="Y9" s="397"/>
      <c r="Z9" s="397"/>
    </row>
    <row r="10" spans="1:26" ht="46.5" customHeight="1" x14ac:dyDescent="0.2">
      <c r="A10" s="545" t="s">
        <v>530</v>
      </c>
      <c r="B10" s="546" t="s">
        <v>531</v>
      </c>
      <c r="C10" s="546" t="s">
        <v>853</v>
      </c>
      <c r="D10" s="546" t="s">
        <v>854</v>
      </c>
      <c r="E10" s="396"/>
      <c r="F10" s="396"/>
      <c r="G10" s="396"/>
      <c r="H10" s="397"/>
      <c r="I10" s="397"/>
      <c r="J10" s="397"/>
      <c r="K10" s="397"/>
      <c r="L10" s="397"/>
      <c r="M10" s="397"/>
      <c r="N10" s="397"/>
      <c r="O10" s="397"/>
      <c r="P10" s="397"/>
      <c r="Q10" s="397"/>
      <c r="R10" s="397"/>
      <c r="S10" s="397"/>
      <c r="T10" s="397"/>
      <c r="U10" s="397"/>
      <c r="V10" s="397"/>
      <c r="W10" s="397"/>
      <c r="X10" s="397"/>
      <c r="Y10" s="397"/>
      <c r="Z10" s="397"/>
    </row>
    <row r="11" spans="1:26" ht="54.75" customHeight="1" x14ac:dyDescent="0.2">
      <c r="A11" s="541" t="s">
        <v>532</v>
      </c>
      <c r="B11" s="155" t="s">
        <v>533</v>
      </c>
      <c r="C11" s="155" t="s">
        <v>855</v>
      </c>
      <c r="D11" s="155" t="s">
        <v>856</v>
      </c>
      <c r="E11" s="396"/>
      <c r="F11" s="396"/>
      <c r="G11" s="396"/>
      <c r="H11" s="397"/>
      <c r="I11" s="397"/>
      <c r="J11" s="397"/>
      <c r="K11" s="397"/>
      <c r="L11" s="397"/>
      <c r="M11" s="397"/>
      <c r="N11" s="397"/>
      <c r="O11" s="397"/>
      <c r="P11" s="397"/>
      <c r="Q11" s="397"/>
      <c r="R11" s="397"/>
      <c r="S11" s="397"/>
      <c r="T11" s="397"/>
      <c r="U11" s="397"/>
      <c r="V11" s="397"/>
      <c r="W11" s="397"/>
      <c r="X11" s="397"/>
      <c r="Y11" s="397"/>
      <c r="Z11" s="397"/>
    </row>
    <row r="12" spans="1:26" ht="42.75" customHeight="1" x14ac:dyDescent="0.2">
      <c r="A12" s="547" t="s">
        <v>534</v>
      </c>
      <c r="B12" s="548" t="s">
        <v>535</v>
      </c>
      <c r="C12" s="549" t="s">
        <v>857</v>
      </c>
      <c r="D12" s="548" t="s">
        <v>858</v>
      </c>
      <c r="E12" s="395"/>
      <c r="F12" s="395"/>
      <c r="G12" s="395"/>
      <c r="H12" s="7"/>
      <c r="I12" s="7"/>
      <c r="J12" s="7"/>
      <c r="K12" s="7"/>
      <c r="L12" s="7"/>
      <c r="M12" s="7"/>
      <c r="N12" s="7"/>
      <c r="O12" s="7"/>
      <c r="P12" s="7"/>
      <c r="Q12" s="7"/>
      <c r="R12" s="7"/>
      <c r="S12" s="7"/>
      <c r="T12" s="7"/>
      <c r="U12" s="7"/>
      <c r="V12" s="7"/>
      <c r="W12" s="7"/>
      <c r="X12" s="7"/>
      <c r="Y12" s="7"/>
      <c r="Z12" s="7"/>
    </row>
    <row r="13" spans="1:26" ht="66.75" customHeight="1" x14ac:dyDescent="0.2">
      <c r="A13" s="541" t="s">
        <v>540</v>
      </c>
      <c r="B13" s="550" t="s">
        <v>541</v>
      </c>
      <c r="C13" s="550" t="s">
        <v>859</v>
      </c>
      <c r="D13" s="550" t="s">
        <v>860</v>
      </c>
      <c r="E13" s="395"/>
      <c r="F13" s="395"/>
      <c r="G13" s="395"/>
      <c r="H13" s="7"/>
      <c r="I13" s="7"/>
      <c r="J13" s="7"/>
      <c r="K13" s="7"/>
      <c r="L13" s="7"/>
      <c r="M13" s="7"/>
      <c r="N13" s="7"/>
      <c r="O13" s="7"/>
      <c r="P13" s="7"/>
      <c r="Q13" s="7"/>
      <c r="R13" s="7"/>
      <c r="S13" s="7"/>
      <c r="T13" s="7"/>
      <c r="U13" s="7"/>
      <c r="V13" s="7"/>
      <c r="W13" s="7"/>
      <c r="X13" s="7"/>
      <c r="Y13" s="7"/>
      <c r="Z13" s="7"/>
    </row>
    <row r="14" spans="1:26" ht="57.75" customHeight="1" x14ac:dyDescent="0.2">
      <c r="A14" s="541" t="s">
        <v>542</v>
      </c>
      <c r="B14" s="550" t="s">
        <v>543</v>
      </c>
      <c r="C14" s="550" t="s">
        <v>861</v>
      </c>
      <c r="D14" s="550" t="s">
        <v>862</v>
      </c>
      <c r="E14" s="395"/>
      <c r="F14" s="395"/>
      <c r="G14" s="395"/>
      <c r="H14" s="7"/>
      <c r="I14" s="7"/>
      <c r="J14" s="7"/>
      <c r="K14" s="7"/>
      <c r="L14" s="7"/>
      <c r="M14" s="7"/>
      <c r="N14" s="7"/>
      <c r="O14" s="7"/>
      <c r="P14" s="7"/>
      <c r="Q14" s="7"/>
      <c r="R14" s="7"/>
      <c r="S14" s="7"/>
      <c r="T14" s="7"/>
      <c r="U14" s="7"/>
      <c r="V14" s="7"/>
      <c r="W14" s="7"/>
      <c r="X14" s="7"/>
      <c r="Y14" s="7"/>
      <c r="Z14" s="7"/>
    </row>
    <row r="15" spans="1:26" ht="102.75" customHeight="1" x14ac:dyDescent="0.2">
      <c r="A15" s="541" t="s">
        <v>544</v>
      </c>
      <c r="B15" s="550" t="s">
        <v>545</v>
      </c>
      <c r="C15" s="551" t="s">
        <v>863</v>
      </c>
      <c r="D15" s="550" t="s">
        <v>546</v>
      </c>
      <c r="E15" s="395"/>
      <c r="F15" s="395"/>
      <c r="G15" s="395"/>
      <c r="H15" s="7"/>
      <c r="I15" s="7"/>
      <c r="J15" s="7"/>
      <c r="K15" s="7"/>
      <c r="L15" s="7"/>
      <c r="M15" s="7"/>
      <c r="N15" s="7"/>
      <c r="O15" s="7"/>
      <c r="P15" s="7"/>
      <c r="Q15" s="7"/>
      <c r="R15" s="7"/>
      <c r="S15" s="7"/>
      <c r="T15" s="7"/>
      <c r="U15" s="7"/>
      <c r="V15" s="7"/>
      <c r="W15" s="7"/>
      <c r="X15" s="7"/>
      <c r="Y15" s="7"/>
      <c r="Z15" s="7"/>
    </row>
    <row r="16" spans="1:26" ht="106.5" customHeight="1" x14ac:dyDescent="0.2">
      <c r="A16" s="541" t="s">
        <v>547</v>
      </c>
      <c r="B16" s="550" t="s">
        <v>1078</v>
      </c>
      <c r="C16" s="551" t="s">
        <v>864</v>
      </c>
      <c r="D16" s="550" t="s">
        <v>865</v>
      </c>
      <c r="E16" s="395"/>
      <c r="F16" s="395"/>
      <c r="G16" s="395"/>
      <c r="H16" s="7"/>
      <c r="I16" s="7"/>
      <c r="J16" s="7"/>
      <c r="K16" s="7"/>
      <c r="L16" s="7"/>
      <c r="M16" s="7"/>
      <c r="N16" s="7"/>
      <c r="O16" s="7"/>
      <c r="P16" s="7"/>
      <c r="Q16" s="7"/>
      <c r="R16" s="7"/>
      <c r="S16" s="7"/>
      <c r="T16" s="7"/>
      <c r="U16" s="7"/>
      <c r="V16" s="7"/>
      <c r="W16" s="7"/>
      <c r="X16" s="7"/>
      <c r="Y16" s="7"/>
      <c r="Z16" s="7"/>
    </row>
    <row r="17" spans="1:26" ht="57" customHeight="1" x14ac:dyDescent="0.2">
      <c r="A17" s="541" t="s">
        <v>548</v>
      </c>
      <c r="B17" s="550" t="s">
        <v>549</v>
      </c>
      <c r="C17" s="550" t="s">
        <v>550</v>
      </c>
      <c r="D17" s="550" t="s">
        <v>866</v>
      </c>
      <c r="E17" s="395"/>
      <c r="F17" s="395"/>
      <c r="G17" s="395"/>
      <c r="H17" s="7"/>
      <c r="I17" s="7"/>
      <c r="J17" s="7"/>
      <c r="K17" s="7"/>
      <c r="L17" s="7"/>
      <c r="M17" s="7"/>
      <c r="N17" s="7"/>
      <c r="O17" s="7"/>
      <c r="P17" s="7"/>
      <c r="Q17" s="7"/>
      <c r="R17" s="7"/>
      <c r="S17" s="7"/>
      <c r="T17" s="7"/>
      <c r="U17" s="7"/>
      <c r="V17" s="7"/>
      <c r="W17" s="7"/>
      <c r="X17" s="7"/>
      <c r="Y17" s="7"/>
      <c r="Z17" s="7"/>
    </row>
    <row r="18" spans="1:26" ht="57" customHeight="1" x14ac:dyDescent="0.2">
      <c r="A18" s="541" t="s">
        <v>551</v>
      </c>
      <c r="B18" s="550" t="s">
        <v>552</v>
      </c>
      <c r="C18" s="550" t="s">
        <v>867</v>
      </c>
      <c r="D18" s="550" t="s">
        <v>868</v>
      </c>
      <c r="E18" s="395"/>
      <c r="F18" s="395"/>
      <c r="G18" s="395"/>
      <c r="H18" s="7"/>
      <c r="I18" s="7"/>
      <c r="J18" s="7"/>
      <c r="K18" s="7"/>
      <c r="L18" s="7"/>
      <c r="M18" s="7"/>
      <c r="N18" s="7"/>
      <c r="O18" s="7"/>
      <c r="P18" s="7"/>
      <c r="Q18" s="7"/>
      <c r="R18" s="7"/>
      <c r="S18" s="7"/>
      <c r="T18" s="7"/>
      <c r="U18" s="7"/>
      <c r="V18" s="7"/>
      <c r="W18" s="7"/>
      <c r="X18" s="7"/>
      <c r="Y18" s="7"/>
      <c r="Z18" s="7"/>
    </row>
    <row r="19" spans="1:26" ht="87.75" customHeight="1" x14ac:dyDescent="0.2">
      <c r="A19" s="541" t="s">
        <v>553</v>
      </c>
      <c r="B19" s="550" t="s">
        <v>554</v>
      </c>
      <c r="C19" s="551" t="s">
        <v>555</v>
      </c>
      <c r="D19" s="550" t="s">
        <v>556</v>
      </c>
      <c r="E19" s="395"/>
      <c r="F19" s="395"/>
      <c r="G19" s="395"/>
      <c r="H19" s="7"/>
      <c r="I19" s="7"/>
      <c r="J19" s="7"/>
      <c r="K19" s="7"/>
      <c r="L19" s="7"/>
      <c r="M19" s="7"/>
      <c r="N19" s="7"/>
      <c r="O19" s="7"/>
      <c r="P19" s="7"/>
      <c r="Q19" s="7"/>
      <c r="R19" s="7"/>
      <c r="S19" s="7"/>
      <c r="T19" s="7"/>
      <c r="U19" s="7"/>
      <c r="V19" s="7"/>
      <c r="W19" s="7"/>
      <c r="X19" s="7"/>
      <c r="Y19" s="7"/>
      <c r="Z19" s="7"/>
    </row>
    <row r="20" spans="1:26" ht="81" customHeight="1" x14ac:dyDescent="0.2">
      <c r="A20" s="541" t="s">
        <v>557</v>
      </c>
      <c r="B20" s="550" t="s">
        <v>558</v>
      </c>
      <c r="C20" s="551" t="s">
        <v>869</v>
      </c>
      <c r="D20" s="550" t="s">
        <v>560</v>
      </c>
      <c r="E20" s="395"/>
      <c r="F20" s="395"/>
      <c r="G20" s="395"/>
      <c r="H20" s="7"/>
      <c r="I20" s="7"/>
      <c r="J20" s="7"/>
      <c r="K20" s="7"/>
      <c r="L20" s="7"/>
      <c r="M20" s="7"/>
      <c r="N20" s="7"/>
      <c r="O20" s="7"/>
      <c r="P20" s="7"/>
      <c r="Q20" s="7"/>
      <c r="R20" s="7"/>
      <c r="S20" s="7"/>
      <c r="T20" s="7"/>
      <c r="U20" s="7"/>
      <c r="V20" s="7"/>
      <c r="W20" s="7"/>
      <c r="X20" s="7"/>
      <c r="Y20" s="7"/>
      <c r="Z20" s="7"/>
    </row>
    <row r="21" spans="1:26" ht="135" customHeight="1" x14ac:dyDescent="0.2">
      <c r="A21" s="541" t="s">
        <v>561</v>
      </c>
      <c r="B21" s="550" t="s">
        <v>1079</v>
      </c>
      <c r="C21" s="551" t="s">
        <v>562</v>
      </c>
      <c r="D21" s="552" t="s">
        <v>563</v>
      </c>
      <c r="E21" s="395"/>
      <c r="F21" s="395"/>
      <c r="G21" s="395"/>
      <c r="H21" s="7"/>
      <c r="I21" s="7"/>
      <c r="J21" s="7"/>
      <c r="K21" s="7"/>
      <c r="L21" s="7"/>
      <c r="M21" s="7"/>
      <c r="N21" s="7"/>
      <c r="O21" s="7"/>
      <c r="P21" s="7"/>
      <c r="Q21" s="7"/>
      <c r="R21" s="7"/>
      <c r="S21" s="7"/>
      <c r="T21" s="7"/>
      <c r="U21" s="7"/>
      <c r="V21" s="7"/>
      <c r="W21" s="7"/>
      <c r="X21" s="7"/>
      <c r="Y21" s="7"/>
      <c r="Z21" s="7"/>
    </row>
    <row r="22" spans="1:26" ht="15" customHeight="1" x14ac:dyDescent="0.25">
      <c r="A22" s="537"/>
      <c r="B22" s="537"/>
      <c r="C22" s="537"/>
      <c r="D22" s="537"/>
      <c r="E22" s="395"/>
      <c r="F22" s="395"/>
      <c r="G22" s="395"/>
      <c r="H22" s="7"/>
      <c r="I22" s="7"/>
      <c r="J22" s="7"/>
      <c r="K22" s="7"/>
      <c r="L22" s="7"/>
      <c r="M22" s="7"/>
      <c r="N22" s="7"/>
      <c r="O22" s="7"/>
      <c r="P22" s="7"/>
      <c r="Q22" s="7"/>
      <c r="R22" s="7"/>
      <c r="S22" s="7"/>
      <c r="T22" s="7"/>
      <c r="U22" s="7"/>
      <c r="V22" s="7"/>
      <c r="W22" s="7"/>
      <c r="X22" s="7"/>
      <c r="Y22" s="7"/>
      <c r="Z22" s="7"/>
    </row>
    <row r="23" spans="1:26" ht="15.75" customHeight="1" x14ac:dyDescent="0.25">
      <c r="A23" s="595" t="s">
        <v>805</v>
      </c>
      <c r="B23" s="596"/>
      <c r="C23" s="596"/>
      <c r="D23" s="597"/>
      <c r="E23" s="395"/>
      <c r="F23" s="395"/>
      <c r="G23" s="395"/>
      <c r="H23" s="7"/>
      <c r="I23" s="7"/>
      <c r="J23" s="7"/>
      <c r="K23" s="7"/>
      <c r="L23" s="7"/>
      <c r="M23" s="7"/>
      <c r="N23" s="7"/>
      <c r="O23" s="7"/>
      <c r="P23" s="7"/>
      <c r="Q23" s="7"/>
      <c r="R23" s="7"/>
      <c r="S23" s="7"/>
      <c r="T23" s="7"/>
      <c r="U23" s="7"/>
      <c r="V23" s="7"/>
      <c r="W23" s="7"/>
      <c r="X23" s="7"/>
      <c r="Y23" s="7"/>
      <c r="Z23" s="7"/>
    </row>
    <row r="24" spans="1:26" ht="15.75" customHeight="1" x14ac:dyDescent="0.2">
      <c r="A24" s="502" t="s">
        <v>576</v>
      </c>
      <c r="B24" s="502" t="s">
        <v>482</v>
      </c>
      <c r="C24" s="502" t="s">
        <v>483</v>
      </c>
      <c r="D24" s="502" t="s">
        <v>661</v>
      </c>
      <c r="E24" s="395"/>
      <c r="F24" s="395"/>
      <c r="G24" s="395"/>
      <c r="H24" s="7"/>
      <c r="I24" s="7"/>
      <c r="J24" s="7"/>
      <c r="K24" s="7"/>
      <c r="L24" s="7"/>
      <c r="M24" s="7"/>
      <c r="N24" s="7"/>
      <c r="O24" s="7"/>
      <c r="P24" s="7"/>
      <c r="Q24" s="7"/>
      <c r="R24" s="7"/>
      <c r="S24" s="7"/>
      <c r="T24" s="7"/>
      <c r="U24" s="7"/>
      <c r="V24" s="7"/>
      <c r="W24" s="7"/>
      <c r="X24" s="7"/>
      <c r="Y24" s="7"/>
      <c r="Z24" s="7"/>
    </row>
    <row r="25" spans="1:26" ht="107" customHeight="1" x14ac:dyDescent="0.2">
      <c r="A25" s="541" t="s">
        <v>806</v>
      </c>
      <c r="B25" s="550" t="s">
        <v>807</v>
      </c>
      <c r="C25" s="550" t="s">
        <v>808</v>
      </c>
      <c r="D25" s="550" t="s">
        <v>809</v>
      </c>
      <c r="E25" s="395"/>
      <c r="F25" s="395"/>
      <c r="G25" s="395"/>
      <c r="H25" s="7"/>
      <c r="I25" s="7"/>
      <c r="J25" s="7"/>
      <c r="K25" s="7"/>
      <c r="L25" s="7"/>
      <c r="M25" s="7"/>
      <c r="N25" s="7"/>
      <c r="O25" s="7"/>
      <c r="P25" s="7"/>
      <c r="Q25" s="7"/>
      <c r="R25" s="7"/>
      <c r="S25" s="7"/>
      <c r="T25" s="7"/>
      <c r="U25" s="7"/>
      <c r="V25" s="7"/>
      <c r="W25" s="7"/>
      <c r="X25" s="7"/>
      <c r="Y25" s="7"/>
      <c r="Z25" s="7"/>
    </row>
    <row r="26" spans="1:26" ht="93" customHeight="1" x14ac:dyDescent="0.2">
      <c r="A26" s="541" t="s">
        <v>810</v>
      </c>
      <c r="B26" s="550" t="s">
        <v>811</v>
      </c>
      <c r="C26" s="550" t="s">
        <v>812</v>
      </c>
      <c r="D26" s="550" t="s">
        <v>813</v>
      </c>
      <c r="E26" s="395"/>
      <c r="F26" s="395"/>
      <c r="G26" s="395"/>
      <c r="H26" s="7"/>
      <c r="I26" s="7"/>
      <c r="J26" s="7"/>
      <c r="K26" s="7"/>
      <c r="L26" s="7"/>
      <c r="M26" s="7"/>
      <c r="N26" s="7"/>
      <c r="O26" s="7"/>
      <c r="P26" s="7"/>
      <c r="Q26" s="7"/>
      <c r="R26" s="7"/>
      <c r="S26" s="7"/>
      <c r="T26" s="7"/>
      <c r="U26" s="7"/>
      <c r="V26" s="7"/>
      <c r="W26" s="7"/>
      <c r="X26" s="7"/>
      <c r="Y26" s="7"/>
      <c r="Z26" s="7"/>
    </row>
    <row r="27" spans="1:26" ht="129" customHeight="1" x14ac:dyDescent="0.2">
      <c r="A27" s="541" t="s">
        <v>814</v>
      </c>
      <c r="B27" s="550" t="s">
        <v>815</v>
      </c>
      <c r="C27" s="550" t="s">
        <v>816</v>
      </c>
      <c r="D27" s="550" t="s">
        <v>817</v>
      </c>
      <c r="E27" s="395"/>
      <c r="F27" s="395"/>
      <c r="G27" s="395"/>
      <c r="H27" s="7"/>
      <c r="I27" s="7"/>
      <c r="J27" s="7"/>
      <c r="K27" s="7"/>
      <c r="L27" s="7"/>
      <c r="M27" s="7"/>
      <c r="N27" s="7"/>
      <c r="O27" s="7"/>
      <c r="P27" s="7"/>
      <c r="Q27" s="7"/>
      <c r="R27" s="7"/>
      <c r="S27" s="7"/>
      <c r="T27" s="7"/>
      <c r="U27" s="7"/>
      <c r="V27" s="7"/>
      <c r="W27" s="7"/>
      <c r="X27" s="7"/>
      <c r="Y27" s="7"/>
      <c r="Z27" s="7"/>
    </row>
    <row r="28" spans="1:26" ht="169.5" customHeight="1" x14ac:dyDescent="0.2">
      <c r="A28" s="541" t="s">
        <v>818</v>
      </c>
      <c r="B28" s="550" t="s">
        <v>819</v>
      </c>
      <c r="C28" s="550" t="s">
        <v>820</v>
      </c>
      <c r="D28" s="550" t="s">
        <v>821</v>
      </c>
      <c r="E28" s="395"/>
      <c r="F28" s="395"/>
      <c r="G28" s="395"/>
      <c r="H28" s="7"/>
      <c r="I28" s="7"/>
      <c r="J28" s="7"/>
      <c r="K28" s="7"/>
      <c r="L28" s="7"/>
      <c r="M28" s="7"/>
      <c r="N28" s="7"/>
      <c r="O28" s="7"/>
      <c r="P28" s="7"/>
      <c r="Q28" s="7"/>
      <c r="R28" s="7"/>
      <c r="S28" s="7"/>
      <c r="T28" s="7"/>
      <c r="U28" s="7"/>
      <c r="V28" s="7"/>
      <c r="W28" s="7"/>
      <c r="X28" s="7"/>
      <c r="Y28" s="7"/>
      <c r="Z28" s="7"/>
    </row>
    <row r="29" spans="1:26" ht="229.5" customHeight="1" x14ac:dyDescent="0.2">
      <c r="A29" s="541" t="s">
        <v>822</v>
      </c>
      <c r="B29" s="550" t="s">
        <v>1080</v>
      </c>
      <c r="C29" s="550" t="s">
        <v>823</v>
      </c>
      <c r="D29" s="550" t="s">
        <v>824</v>
      </c>
      <c r="E29" s="395"/>
      <c r="F29" s="395"/>
      <c r="G29" s="395"/>
      <c r="H29" s="7"/>
      <c r="I29" s="7"/>
      <c r="J29" s="7"/>
      <c r="K29" s="7"/>
      <c r="L29" s="7"/>
      <c r="M29" s="7"/>
      <c r="N29" s="7"/>
      <c r="O29" s="7"/>
      <c r="P29" s="7"/>
      <c r="Q29" s="7"/>
      <c r="R29" s="7"/>
      <c r="S29" s="7"/>
      <c r="T29" s="7"/>
      <c r="U29" s="7"/>
      <c r="V29" s="7"/>
      <c r="W29" s="7"/>
      <c r="X29" s="7"/>
      <c r="Y29" s="7"/>
      <c r="Z29" s="7"/>
    </row>
    <row r="30" spans="1:26" ht="15.75" customHeight="1" x14ac:dyDescent="0.25">
      <c r="A30" s="537"/>
      <c r="B30" s="537"/>
      <c r="C30" s="537"/>
      <c r="D30" s="537"/>
      <c r="E30" s="395"/>
      <c r="F30" s="395"/>
      <c r="G30" s="395"/>
      <c r="H30" s="7"/>
      <c r="I30" s="7"/>
      <c r="J30" s="7"/>
      <c r="K30" s="7"/>
      <c r="L30" s="7"/>
      <c r="M30" s="7"/>
      <c r="N30" s="7"/>
      <c r="O30" s="7"/>
      <c r="P30" s="7"/>
      <c r="Q30" s="7"/>
      <c r="R30" s="7"/>
      <c r="S30" s="7"/>
      <c r="T30" s="7"/>
      <c r="U30" s="7"/>
      <c r="V30" s="7"/>
      <c r="W30" s="7"/>
      <c r="X30" s="7"/>
      <c r="Y30" s="7"/>
      <c r="Z30" s="7"/>
    </row>
    <row r="31" spans="1:26" ht="15.75" customHeight="1" x14ac:dyDescent="0.25">
      <c r="A31" s="537"/>
      <c r="B31" s="537"/>
      <c r="C31" s="537"/>
      <c r="D31" s="537"/>
      <c r="E31" s="395"/>
      <c r="F31" s="395"/>
      <c r="G31" s="395"/>
      <c r="H31" s="7"/>
      <c r="I31" s="7"/>
      <c r="J31" s="7"/>
      <c r="K31" s="7"/>
      <c r="L31" s="7"/>
      <c r="M31" s="7"/>
      <c r="N31" s="7"/>
      <c r="O31" s="7"/>
      <c r="P31" s="7"/>
      <c r="Q31" s="7"/>
      <c r="R31" s="7"/>
      <c r="S31" s="7"/>
      <c r="T31" s="7"/>
      <c r="U31" s="7"/>
      <c r="V31" s="7"/>
      <c r="W31" s="7"/>
      <c r="X31" s="7"/>
      <c r="Y31" s="7"/>
      <c r="Z31" s="7"/>
    </row>
    <row r="32" spans="1:26" ht="357" x14ac:dyDescent="0.2">
      <c r="A32" s="503" t="s">
        <v>493</v>
      </c>
      <c r="B32" s="504" t="s">
        <v>494</v>
      </c>
      <c r="C32" s="504" t="s">
        <v>980</v>
      </c>
      <c r="D32" s="504" t="s">
        <v>981</v>
      </c>
      <c r="E32" s="389"/>
      <c r="F32" s="389"/>
      <c r="G32" s="389"/>
    </row>
    <row r="33" spans="1:26" ht="15.75" customHeight="1" x14ac:dyDescent="0.25">
      <c r="A33" s="537"/>
      <c r="B33" s="537"/>
      <c r="C33" s="537"/>
      <c r="D33" s="537"/>
      <c r="E33" s="395"/>
      <c r="F33" s="395"/>
      <c r="G33" s="395"/>
      <c r="H33" s="7"/>
      <c r="I33" s="7"/>
      <c r="J33" s="7"/>
      <c r="K33" s="7"/>
      <c r="L33" s="7"/>
      <c r="M33" s="7"/>
      <c r="N33" s="7"/>
      <c r="O33" s="7"/>
      <c r="P33" s="7"/>
      <c r="Q33" s="7"/>
      <c r="R33" s="7"/>
      <c r="S33" s="7"/>
      <c r="T33" s="7"/>
      <c r="U33" s="7"/>
      <c r="V33" s="7"/>
      <c r="W33" s="7"/>
      <c r="X33" s="7"/>
      <c r="Y33" s="7"/>
      <c r="Z33" s="7"/>
    </row>
    <row r="34" spans="1:26" ht="15.75" customHeight="1" x14ac:dyDescent="0.25">
      <c r="A34" s="537"/>
      <c r="B34" s="537"/>
      <c r="C34" s="537"/>
      <c r="D34" s="537"/>
      <c r="E34" s="395"/>
      <c r="F34" s="395"/>
      <c r="G34" s="395"/>
      <c r="H34" s="7"/>
      <c r="I34" s="7"/>
      <c r="J34" s="7"/>
      <c r="K34" s="7"/>
      <c r="L34" s="7"/>
      <c r="M34" s="7"/>
      <c r="N34" s="7"/>
      <c r="O34" s="7"/>
      <c r="P34" s="7"/>
      <c r="Q34" s="7"/>
      <c r="R34" s="7"/>
      <c r="S34" s="7"/>
      <c r="T34" s="7"/>
      <c r="U34" s="7"/>
      <c r="V34" s="7"/>
      <c r="W34" s="7"/>
      <c r="X34" s="7"/>
      <c r="Y34" s="7"/>
      <c r="Z34" s="7"/>
    </row>
    <row r="35" spans="1:26" ht="15.75" customHeight="1" x14ac:dyDescent="0.25">
      <c r="A35" s="537"/>
      <c r="B35" s="537"/>
      <c r="C35" s="537"/>
      <c r="D35" s="537"/>
      <c r="E35" s="395"/>
      <c r="F35" s="395"/>
      <c r="G35" s="395"/>
      <c r="H35" s="7"/>
      <c r="I35" s="7"/>
      <c r="J35" s="7"/>
      <c r="K35" s="7"/>
      <c r="L35" s="7"/>
      <c r="M35" s="7"/>
      <c r="N35" s="7"/>
      <c r="O35" s="7"/>
      <c r="P35" s="7"/>
      <c r="Q35" s="7"/>
      <c r="R35" s="7"/>
      <c r="S35" s="7"/>
      <c r="T35" s="7"/>
      <c r="U35" s="7"/>
      <c r="V35" s="7"/>
      <c r="W35" s="7"/>
      <c r="X35" s="7"/>
      <c r="Y35" s="7"/>
      <c r="Z35" s="7"/>
    </row>
    <row r="36" spans="1:26" ht="15.75" customHeight="1" x14ac:dyDescent="0.25">
      <c r="A36" s="537"/>
      <c r="B36" s="537"/>
      <c r="C36" s="537"/>
      <c r="D36" s="537"/>
      <c r="E36" s="395"/>
      <c r="F36" s="395"/>
      <c r="G36" s="395"/>
      <c r="H36" s="7"/>
      <c r="I36" s="7"/>
      <c r="J36" s="7"/>
      <c r="K36" s="7"/>
      <c r="L36" s="7"/>
      <c r="M36" s="7"/>
      <c r="N36" s="7"/>
      <c r="O36" s="7"/>
      <c r="P36" s="7"/>
      <c r="Q36" s="7"/>
      <c r="R36" s="7"/>
      <c r="S36" s="7"/>
      <c r="T36" s="7"/>
      <c r="U36" s="7"/>
      <c r="V36" s="7"/>
      <c r="W36" s="7"/>
      <c r="X36" s="7"/>
      <c r="Y36" s="7"/>
      <c r="Z36" s="7"/>
    </row>
    <row r="37" spans="1:26" ht="15.75" customHeight="1" x14ac:dyDescent="0.25">
      <c r="A37" s="537"/>
      <c r="B37" s="537"/>
      <c r="C37" s="537"/>
      <c r="D37" s="537"/>
      <c r="E37" s="395"/>
      <c r="F37" s="395"/>
      <c r="G37" s="395"/>
      <c r="H37" s="7"/>
      <c r="I37" s="7"/>
      <c r="J37" s="7"/>
      <c r="K37" s="7"/>
      <c r="L37" s="7"/>
      <c r="M37" s="7"/>
      <c r="N37" s="7"/>
      <c r="O37" s="7"/>
      <c r="P37" s="7"/>
      <c r="Q37" s="7"/>
      <c r="R37" s="7"/>
      <c r="S37" s="7"/>
      <c r="T37" s="7"/>
      <c r="U37" s="7"/>
      <c r="V37" s="7"/>
      <c r="W37" s="7"/>
      <c r="X37" s="7"/>
      <c r="Y37" s="7"/>
      <c r="Z37" s="7"/>
    </row>
    <row r="38" spans="1:26" ht="15.75" customHeight="1" x14ac:dyDescent="0.25">
      <c r="A38" s="537"/>
      <c r="B38" s="537"/>
      <c r="C38" s="537"/>
      <c r="D38" s="537"/>
      <c r="E38" s="395"/>
      <c r="F38" s="395"/>
      <c r="G38" s="395"/>
      <c r="H38" s="7"/>
      <c r="I38" s="7"/>
      <c r="J38" s="7"/>
      <c r="K38" s="7"/>
      <c r="L38" s="7"/>
      <c r="M38" s="7"/>
      <c r="N38" s="7"/>
      <c r="O38" s="7"/>
      <c r="P38" s="7"/>
      <c r="Q38" s="7"/>
      <c r="R38" s="7"/>
      <c r="S38" s="7"/>
      <c r="T38" s="7"/>
      <c r="U38" s="7"/>
      <c r="V38" s="7"/>
      <c r="W38" s="7"/>
      <c r="X38" s="7"/>
      <c r="Y38" s="7"/>
      <c r="Z38" s="7"/>
    </row>
    <row r="39" spans="1:26" ht="15.75" customHeight="1" x14ac:dyDescent="0.25">
      <c r="A39" s="537"/>
      <c r="B39" s="537"/>
      <c r="C39" s="537"/>
      <c r="D39" s="537"/>
      <c r="E39" s="395"/>
      <c r="F39" s="395"/>
      <c r="G39" s="395"/>
      <c r="H39" s="7"/>
      <c r="I39" s="7"/>
      <c r="J39" s="7"/>
      <c r="K39" s="7"/>
      <c r="L39" s="7"/>
      <c r="M39" s="7"/>
      <c r="N39" s="7"/>
      <c r="O39" s="7"/>
      <c r="P39" s="7"/>
      <c r="Q39" s="7"/>
      <c r="R39" s="7"/>
      <c r="S39" s="7"/>
      <c r="T39" s="7"/>
      <c r="U39" s="7"/>
      <c r="V39" s="7"/>
      <c r="W39" s="7"/>
      <c r="X39" s="7"/>
      <c r="Y39" s="7"/>
      <c r="Z39" s="7"/>
    </row>
    <row r="40" spans="1:26" ht="15.75" customHeight="1" x14ac:dyDescent="0.25">
      <c r="A40" s="537"/>
      <c r="B40" s="537"/>
      <c r="C40" s="537"/>
      <c r="D40" s="537"/>
      <c r="E40" s="395"/>
      <c r="F40" s="395"/>
      <c r="G40" s="395"/>
      <c r="H40" s="7"/>
      <c r="I40" s="7"/>
      <c r="J40" s="7"/>
      <c r="K40" s="7"/>
      <c r="L40" s="7"/>
      <c r="M40" s="7"/>
      <c r="N40" s="7"/>
      <c r="O40" s="7"/>
      <c r="P40" s="7"/>
      <c r="Q40" s="7"/>
      <c r="R40" s="7"/>
      <c r="S40" s="7"/>
      <c r="T40" s="7"/>
      <c r="U40" s="7"/>
      <c r="V40" s="7"/>
      <c r="W40" s="7"/>
      <c r="X40" s="7"/>
      <c r="Y40" s="7"/>
      <c r="Z40" s="7"/>
    </row>
    <row r="41" spans="1:26" ht="15.75" customHeight="1" x14ac:dyDescent="0.25">
      <c r="A41" s="537"/>
      <c r="B41" s="537"/>
      <c r="C41" s="537"/>
      <c r="D41" s="537"/>
      <c r="E41" s="395"/>
      <c r="F41" s="395"/>
      <c r="G41" s="395"/>
      <c r="H41" s="7"/>
      <c r="I41" s="7"/>
      <c r="J41" s="7"/>
      <c r="K41" s="7"/>
      <c r="L41" s="7"/>
      <c r="M41" s="7"/>
      <c r="N41" s="7"/>
      <c r="O41" s="7"/>
      <c r="P41" s="7"/>
      <c r="Q41" s="7"/>
      <c r="R41" s="7"/>
      <c r="S41" s="7"/>
      <c r="T41" s="7"/>
      <c r="U41" s="7"/>
      <c r="V41" s="7"/>
      <c r="W41" s="7"/>
      <c r="X41" s="7"/>
      <c r="Y41" s="7"/>
      <c r="Z41" s="7"/>
    </row>
    <row r="42" spans="1:26" ht="15.75" customHeight="1" x14ac:dyDescent="0.25">
      <c r="A42" s="537"/>
      <c r="B42" s="537"/>
      <c r="C42" s="537"/>
      <c r="D42" s="537"/>
      <c r="E42" s="395"/>
      <c r="F42" s="395"/>
      <c r="G42" s="395"/>
      <c r="H42" s="7"/>
      <c r="I42" s="7"/>
      <c r="J42" s="7"/>
      <c r="K42" s="7"/>
      <c r="L42" s="7"/>
      <c r="M42" s="7"/>
      <c r="N42" s="7"/>
      <c r="O42" s="7"/>
      <c r="P42" s="7"/>
      <c r="Q42" s="7"/>
      <c r="R42" s="7"/>
      <c r="S42" s="7"/>
      <c r="T42" s="7"/>
      <c r="U42" s="7"/>
      <c r="V42" s="7"/>
      <c r="W42" s="7"/>
      <c r="X42" s="7"/>
      <c r="Y42" s="7"/>
      <c r="Z42" s="7"/>
    </row>
    <row r="43" spans="1:26" ht="15.75" customHeight="1" x14ac:dyDescent="0.25">
      <c r="A43" s="537"/>
      <c r="B43" s="537"/>
      <c r="C43" s="537"/>
      <c r="D43" s="537"/>
      <c r="E43" s="395"/>
      <c r="F43" s="395"/>
      <c r="G43" s="395"/>
      <c r="H43" s="7"/>
      <c r="I43" s="7"/>
      <c r="J43" s="7"/>
      <c r="K43" s="7"/>
      <c r="L43" s="7"/>
      <c r="M43" s="7"/>
      <c r="N43" s="7"/>
      <c r="O43" s="7"/>
      <c r="P43" s="7"/>
      <c r="Q43" s="7"/>
      <c r="R43" s="7"/>
      <c r="S43" s="7"/>
      <c r="T43" s="7"/>
      <c r="U43" s="7"/>
      <c r="V43" s="7"/>
      <c r="W43" s="7"/>
      <c r="X43" s="7"/>
      <c r="Y43" s="7"/>
      <c r="Z43" s="7"/>
    </row>
    <row r="44" spans="1:26" ht="15.75" customHeight="1" x14ac:dyDescent="0.25">
      <c r="A44" s="537"/>
      <c r="B44" s="537"/>
      <c r="C44" s="537"/>
      <c r="D44" s="537"/>
      <c r="E44" s="395"/>
      <c r="F44" s="395"/>
      <c r="G44" s="395"/>
      <c r="H44" s="7"/>
      <c r="I44" s="7"/>
      <c r="J44" s="7"/>
      <c r="K44" s="7"/>
      <c r="L44" s="7"/>
      <c r="M44" s="7"/>
      <c r="N44" s="7"/>
      <c r="O44" s="7"/>
      <c r="P44" s="7"/>
      <c r="Q44" s="7"/>
      <c r="R44" s="7"/>
      <c r="S44" s="7"/>
      <c r="T44" s="7"/>
      <c r="U44" s="7"/>
      <c r="V44" s="7"/>
      <c r="W44" s="7"/>
      <c r="X44" s="7"/>
      <c r="Y44" s="7"/>
      <c r="Z44" s="7"/>
    </row>
    <row r="45" spans="1:26" ht="15.75" customHeight="1" x14ac:dyDescent="0.25">
      <c r="A45" s="537"/>
      <c r="B45" s="537"/>
      <c r="C45" s="537"/>
      <c r="D45" s="537"/>
      <c r="E45" s="395"/>
      <c r="F45" s="395"/>
      <c r="G45" s="395"/>
      <c r="H45" s="7"/>
      <c r="I45" s="7"/>
      <c r="J45" s="7"/>
      <c r="K45" s="7"/>
      <c r="L45" s="7"/>
      <c r="M45" s="7"/>
      <c r="N45" s="7"/>
      <c r="O45" s="7"/>
      <c r="P45" s="7"/>
      <c r="Q45" s="7"/>
      <c r="R45" s="7"/>
      <c r="S45" s="7"/>
      <c r="T45" s="7"/>
      <c r="U45" s="7"/>
      <c r="V45" s="7"/>
      <c r="W45" s="7"/>
      <c r="X45" s="7"/>
      <c r="Y45" s="7"/>
      <c r="Z45" s="7"/>
    </row>
    <row r="46" spans="1:26" ht="15.75" customHeight="1" x14ac:dyDescent="0.25">
      <c r="A46" s="537"/>
      <c r="B46" s="537"/>
      <c r="C46" s="537"/>
      <c r="D46" s="537"/>
      <c r="E46" s="395"/>
      <c r="F46" s="395"/>
      <c r="G46" s="395"/>
      <c r="H46" s="7"/>
      <c r="I46" s="7"/>
      <c r="J46" s="7"/>
      <c r="K46" s="7"/>
      <c r="L46" s="7"/>
      <c r="M46" s="7"/>
      <c r="N46" s="7"/>
      <c r="O46" s="7"/>
      <c r="P46" s="7"/>
      <c r="Q46" s="7"/>
      <c r="R46" s="7"/>
      <c r="S46" s="7"/>
      <c r="T46" s="7"/>
      <c r="U46" s="7"/>
      <c r="V46" s="7"/>
      <c r="W46" s="7"/>
      <c r="X46" s="7"/>
      <c r="Y46" s="7"/>
      <c r="Z46" s="7"/>
    </row>
    <row r="47" spans="1:26" ht="15.75" customHeight="1" x14ac:dyDescent="0.25">
      <c r="A47" s="537"/>
      <c r="B47" s="537"/>
      <c r="C47" s="537"/>
      <c r="D47" s="537"/>
      <c r="E47" s="395"/>
      <c r="F47" s="395"/>
      <c r="G47" s="395"/>
      <c r="H47" s="7"/>
      <c r="I47" s="7"/>
      <c r="J47" s="7"/>
      <c r="K47" s="7"/>
      <c r="L47" s="7"/>
      <c r="M47" s="7"/>
      <c r="N47" s="7"/>
      <c r="O47" s="7"/>
      <c r="P47" s="7"/>
      <c r="Q47" s="7"/>
      <c r="R47" s="7"/>
      <c r="S47" s="7"/>
      <c r="T47" s="7"/>
      <c r="U47" s="7"/>
      <c r="V47" s="7"/>
      <c r="W47" s="7"/>
      <c r="X47" s="7"/>
      <c r="Y47" s="7"/>
      <c r="Z47" s="7"/>
    </row>
    <row r="48" spans="1:26" ht="15.75" customHeight="1" x14ac:dyDescent="0.25">
      <c r="A48" s="537"/>
      <c r="B48" s="537"/>
      <c r="C48" s="537"/>
      <c r="D48" s="537"/>
      <c r="E48" s="395"/>
      <c r="F48" s="395"/>
      <c r="G48" s="395"/>
      <c r="H48" s="7"/>
      <c r="I48" s="7"/>
      <c r="J48" s="7"/>
      <c r="K48" s="7"/>
      <c r="L48" s="7"/>
      <c r="M48" s="7"/>
      <c r="N48" s="7"/>
      <c r="O48" s="7"/>
      <c r="P48" s="7"/>
      <c r="Q48" s="7"/>
      <c r="R48" s="7"/>
      <c r="S48" s="7"/>
      <c r="T48" s="7"/>
      <c r="U48" s="7"/>
      <c r="V48" s="7"/>
      <c r="W48" s="7"/>
      <c r="X48" s="7"/>
      <c r="Y48" s="7"/>
      <c r="Z48" s="7"/>
    </row>
    <row r="49" spans="1:26" ht="15.75" customHeight="1" x14ac:dyDescent="0.25">
      <c r="A49" s="537"/>
      <c r="B49" s="537"/>
      <c r="C49" s="537"/>
      <c r="D49" s="537"/>
      <c r="E49" s="395"/>
      <c r="F49" s="395"/>
      <c r="G49" s="395"/>
      <c r="H49" s="7"/>
      <c r="I49" s="7"/>
      <c r="J49" s="7"/>
      <c r="K49" s="7"/>
      <c r="L49" s="7"/>
      <c r="M49" s="7"/>
      <c r="N49" s="7"/>
      <c r="O49" s="7"/>
      <c r="P49" s="7"/>
      <c r="Q49" s="7"/>
      <c r="R49" s="7"/>
      <c r="S49" s="7"/>
      <c r="T49" s="7"/>
      <c r="U49" s="7"/>
      <c r="V49" s="7"/>
      <c r="W49" s="7"/>
      <c r="X49" s="7"/>
      <c r="Y49" s="7"/>
      <c r="Z49" s="7"/>
    </row>
    <row r="50" spans="1:26" ht="15.75" customHeight="1" x14ac:dyDescent="0.25">
      <c r="A50" s="537"/>
      <c r="B50" s="537"/>
      <c r="C50" s="537"/>
      <c r="D50" s="537"/>
      <c r="E50" s="395"/>
      <c r="F50" s="395"/>
      <c r="G50" s="395"/>
      <c r="H50" s="7"/>
      <c r="I50" s="7"/>
      <c r="J50" s="7"/>
      <c r="K50" s="7"/>
      <c r="L50" s="7"/>
      <c r="M50" s="7"/>
      <c r="N50" s="7"/>
      <c r="O50" s="7"/>
      <c r="P50" s="7"/>
      <c r="Q50" s="7"/>
      <c r="R50" s="7"/>
      <c r="S50" s="7"/>
      <c r="T50" s="7"/>
      <c r="U50" s="7"/>
      <c r="V50" s="7"/>
      <c r="W50" s="7"/>
      <c r="X50" s="7"/>
      <c r="Y50" s="7"/>
      <c r="Z50" s="7"/>
    </row>
    <row r="51" spans="1:26" ht="15.75" customHeight="1" x14ac:dyDescent="0.25">
      <c r="A51" s="537"/>
      <c r="B51" s="537"/>
      <c r="C51" s="537"/>
      <c r="D51" s="537"/>
      <c r="E51" s="395"/>
      <c r="F51" s="395"/>
      <c r="G51" s="395"/>
      <c r="H51" s="7"/>
      <c r="I51" s="7"/>
      <c r="J51" s="7"/>
      <c r="K51" s="7"/>
      <c r="L51" s="7"/>
      <c r="M51" s="7"/>
      <c r="N51" s="7"/>
      <c r="O51" s="7"/>
      <c r="P51" s="7"/>
      <c r="Q51" s="7"/>
      <c r="R51" s="7"/>
      <c r="S51" s="7"/>
      <c r="T51" s="7"/>
      <c r="U51" s="7"/>
      <c r="V51" s="7"/>
      <c r="W51" s="7"/>
      <c r="X51" s="7"/>
      <c r="Y51" s="7"/>
      <c r="Z51" s="7"/>
    </row>
    <row r="52" spans="1:26" ht="15.75" customHeight="1" x14ac:dyDescent="0.25">
      <c r="A52" s="537"/>
      <c r="B52" s="537"/>
      <c r="C52" s="537"/>
      <c r="D52" s="537"/>
      <c r="E52" s="395"/>
      <c r="F52" s="395"/>
      <c r="G52" s="395"/>
      <c r="H52" s="7"/>
      <c r="I52" s="7"/>
      <c r="J52" s="7"/>
      <c r="K52" s="7"/>
      <c r="L52" s="7"/>
      <c r="M52" s="7"/>
      <c r="N52" s="7"/>
      <c r="O52" s="7"/>
      <c r="P52" s="7"/>
      <c r="Q52" s="7"/>
      <c r="R52" s="7"/>
      <c r="S52" s="7"/>
      <c r="T52" s="7"/>
      <c r="U52" s="7"/>
      <c r="V52" s="7"/>
      <c r="W52" s="7"/>
      <c r="X52" s="7"/>
      <c r="Y52" s="7"/>
      <c r="Z52" s="7"/>
    </row>
    <row r="53" spans="1:26" ht="15.75" customHeight="1" x14ac:dyDescent="0.25">
      <c r="A53" s="537"/>
      <c r="B53" s="537"/>
      <c r="C53" s="537"/>
      <c r="D53" s="537"/>
      <c r="E53" s="395"/>
      <c r="F53" s="395"/>
      <c r="G53" s="395"/>
      <c r="H53" s="7"/>
      <c r="I53" s="7"/>
      <c r="J53" s="7"/>
      <c r="K53" s="7"/>
      <c r="L53" s="7"/>
      <c r="M53" s="7"/>
      <c r="N53" s="7"/>
      <c r="O53" s="7"/>
      <c r="P53" s="7"/>
      <c r="Q53" s="7"/>
      <c r="R53" s="7"/>
      <c r="S53" s="7"/>
      <c r="T53" s="7"/>
      <c r="U53" s="7"/>
      <c r="V53" s="7"/>
      <c r="W53" s="7"/>
      <c r="X53" s="7"/>
      <c r="Y53" s="7"/>
      <c r="Z53" s="7"/>
    </row>
    <row r="54" spans="1:26" ht="15.75" customHeight="1" x14ac:dyDescent="0.25">
      <c r="A54" s="537"/>
      <c r="B54" s="537"/>
      <c r="C54" s="537"/>
      <c r="D54" s="537"/>
      <c r="E54" s="395"/>
      <c r="F54" s="395"/>
      <c r="G54" s="395"/>
      <c r="H54" s="7"/>
      <c r="I54" s="7"/>
      <c r="J54" s="7"/>
      <c r="K54" s="7"/>
      <c r="L54" s="7"/>
      <c r="M54" s="7"/>
      <c r="N54" s="7"/>
      <c r="O54" s="7"/>
      <c r="P54" s="7"/>
      <c r="Q54" s="7"/>
      <c r="R54" s="7"/>
      <c r="S54" s="7"/>
      <c r="T54" s="7"/>
      <c r="U54" s="7"/>
      <c r="V54" s="7"/>
      <c r="W54" s="7"/>
      <c r="X54" s="7"/>
      <c r="Y54" s="7"/>
      <c r="Z54" s="7"/>
    </row>
    <row r="55" spans="1:26" ht="15.75" customHeight="1" x14ac:dyDescent="0.25">
      <c r="A55" s="537"/>
      <c r="B55" s="537"/>
      <c r="C55" s="537"/>
      <c r="D55" s="537"/>
      <c r="E55" s="395"/>
      <c r="F55" s="395"/>
      <c r="G55" s="395"/>
      <c r="H55" s="7"/>
      <c r="I55" s="7"/>
      <c r="J55" s="7"/>
      <c r="K55" s="7"/>
      <c r="L55" s="7"/>
      <c r="M55" s="7"/>
      <c r="N55" s="7"/>
      <c r="O55" s="7"/>
      <c r="P55" s="7"/>
      <c r="Q55" s="7"/>
      <c r="R55" s="7"/>
      <c r="S55" s="7"/>
      <c r="T55" s="7"/>
      <c r="U55" s="7"/>
      <c r="V55" s="7"/>
      <c r="W55" s="7"/>
      <c r="X55" s="7"/>
      <c r="Y55" s="7"/>
      <c r="Z55" s="7"/>
    </row>
    <row r="56" spans="1:26" ht="15.75" customHeight="1" x14ac:dyDescent="0.25">
      <c r="A56" s="537"/>
      <c r="B56" s="537"/>
      <c r="C56" s="537"/>
      <c r="D56" s="537"/>
      <c r="E56" s="395"/>
      <c r="F56" s="395"/>
      <c r="G56" s="395"/>
      <c r="H56" s="7"/>
      <c r="I56" s="7"/>
      <c r="J56" s="7"/>
      <c r="K56" s="7"/>
      <c r="L56" s="7"/>
      <c r="M56" s="7"/>
      <c r="N56" s="7"/>
      <c r="O56" s="7"/>
      <c r="P56" s="7"/>
      <c r="Q56" s="7"/>
      <c r="R56" s="7"/>
      <c r="S56" s="7"/>
      <c r="T56" s="7"/>
      <c r="U56" s="7"/>
      <c r="V56" s="7"/>
      <c r="W56" s="7"/>
      <c r="X56" s="7"/>
      <c r="Y56" s="7"/>
      <c r="Z56" s="7"/>
    </row>
    <row r="57" spans="1:26" ht="15.75" customHeight="1" x14ac:dyDescent="0.25">
      <c r="A57" s="537"/>
      <c r="B57" s="537"/>
      <c r="C57" s="537"/>
      <c r="D57" s="537"/>
      <c r="E57" s="395"/>
      <c r="F57" s="395"/>
      <c r="G57" s="395"/>
      <c r="H57" s="7"/>
      <c r="I57" s="7"/>
      <c r="J57" s="7"/>
      <c r="K57" s="7"/>
      <c r="L57" s="7"/>
      <c r="M57" s="7"/>
      <c r="N57" s="7"/>
      <c r="O57" s="7"/>
      <c r="P57" s="7"/>
      <c r="Q57" s="7"/>
      <c r="R57" s="7"/>
      <c r="S57" s="7"/>
      <c r="T57" s="7"/>
      <c r="U57" s="7"/>
      <c r="V57" s="7"/>
      <c r="W57" s="7"/>
      <c r="X57" s="7"/>
      <c r="Y57" s="7"/>
      <c r="Z57" s="7"/>
    </row>
    <row r="58" spans="1:26" ht="15.75" customHeight="1" x14ac:dyDescent="0.25">
      <c r="A58" s="537"/>
      <c r="B58" s="537"/>
      <c r="C58" s="537"/>
      <c r="D58" s="537"/>
      <c r="E58" s="395"/>
      <c r="F58" s="395"/>
      <c r="G58" s="395"/>
      <c r="H58" s="7"/>
      <c r="I58" s="7"/>
      <c r="J58" s="7"/>
      <c r="K58" s="7"/>
      <c r="L58" s="7"/>
      <c r="M58" s="7"/>
      <c r="N58" s="7"/>
      <c r="O58" s="7"/>
      <c r="P58" s="7"/>
      <c r="Q58" s="7"/>
      <c r="R58" s="7"/>
      <c r="S58" s="7"/>
      <c r="T58" s="7"/>
      <c r="U58" s="7"/>
      <c r="V58" s="7"/>
      <c r="W58" s="7"/>
      <c r="X58" s="7"/>
      <c r="Y58" s="7"/>
      <c r="Z58" s="7"/>
    </row>
    <row r="59" spans="1:26" ht="15.75" customHeight="1" x14ac:dyDescent="0.25">
      <c r="A59" s="537"/>
      <c r="B59" s="537"/>
      <c r="C59" s="537"/>
      <c r="D59" s="537"/>
      <c r="E59" s="395"/>
      <c r="F59" s="395"/>
      <c r="G59" s="395"/>
      <c r="H59" s="7"/>
      <c r="I59" s="7"/>
      <c r="J59" s="7"/>
      <c r="K59" s="7"/>
      <c r="L59" s="7"/>
      <c r="M59" s="7"/>
      <c r="N59" s="7"/>
      <c r="O59" s="7"/>
      <c r="P59" s="7"/>
      <c r="Q59" s="7"/>
      <c r="R59" s="7"/>
      <c r="S59" s="7"/>
      <c r="T59" s="7"/>
      <c r="U59" s="7"/>
      <c r="V59" s="7"/>
      <c r="W59" s="7"/>
      <c r="X59" s="7"/>
      <c r="Y59" s="7"/>
      <c r="Z59" s="7"/>
    </row>
    <row r="60" spans="1:26" ht="15.75" customHeight="1" x14ac:dyDescent="0.25">
      <c r="A60" s="537"/>
      <c r="B60" s="537"/>
      <c r="C60" s="537"/>
      <c r="D60" s="537"/>
      <c r="E60" s="395"/>
      <c r="F60" s="395"/>
      <c r="G60" s="395"/>
      <c r="H60" s="7"/>
      <c r="I60" s="7"/>
      <c r="J60" s="7"/>
      <c r="K60" s="7"/>
      <c r="L60" s="7"/>
      <c r="M60" s="7"/>
      <c r="N60" s="7"/>
      <c r="O60" s="7"/>
      <c r="P60" s="7"/>
      <c r="Q60" s="7"/>
      <c r="R60" s="7"/>
      <c r="S60" s="7"/>
      <c r="T60" s="7"/>
      <c r="U60" s="7"/>
      <c r="V60" s="7"/>
      <c r="W60" s="7"/>
      <c r="X60" s="7"/>
      <c r="Y60" s="7"/>
      <c r="Z60" s="7"/>
    </row>
    <row r="61" spans="1:26" ht="15.75" customHeight="1" x14ac:dyDescent="0.25">
      <c r="A61" s="537"/>
      <c r="B61" s="537"/>
      <c r="C61" s="537"/>
      <c r="D61" s="537"/>
      <c r="E61" s="395"/>
      <c r="F61" s="395"/>
      <c r="G61" s="395"/>
      <c r="H61" s="7"/>
      <c r="I61" s="7"/>
      <c r="J61" s="7"/>
      <c r="K61" s="7"/>
      <c r="L61" s="7"/>
      <c r="M61" s="7"/>
      <c r="N61" s="7"/>
      <c r="O61" s="7"/>
      <c r="P61" s="7"/>
      <c r="Q61" s="7"/>
      <c r="R61" s="7"/>
      <c r="S61" s="7"/>
      <c r="T61" s="7"/>
      <c r="U61" s="7"/>
      <c r="V61" s="7"/>
      <c r="W61" s="7"/>
      <c r="X61" s="7"/>
      <c r="Y61" s="7"/>
      <c r="Z61" s="7"/>
    </row>
    <row r="62" spans="1:26" ht="15.75" customHeight="1" x14ac:dyDescent="0.25">
      <c r="A62" s="537"/>
      <c r="B62" s="537"/>
      <c r="C62" s="537"/>
      <c r="D62" s="537"/>
      <c r="E62" s="395"/>
      <c r="F62" s="395"/>
      <c r="G62" s="395"/>
      <c r="H62" s="7"/>
      <c r="I62" s="7"/>
      <c r="J62" s="7"/>
      <c r="K62" s="7"/>
      <c r="L62" s="7"/>
      <c r="M62" s="7"/>
      <c r="N62" s="7"/>
      <c r="O62" s="7"/>
      <c r="P62" s="7"/>
      <c r="Q62" s="7"/>
      <c r="R62" s="7"/>
      <c r="S62" s="7"/>
      <c r="T62" s="7"/>
      <c r="U62" s="7"/>
      <c r="V62" s="7"/>
      <c r="W62" s="7"/>
      <c r="X62" s="7"/>
      <c r="Y62" s="7"/>
      <c r="Z62" s="7"/>
    </row>
    <row r="63" spans="1:26" ht="15.75" customHeight="1" x14ac:dyDescent="0.25">
      <c r="A63" s="537"/>
      <c r="B63" s="537"/>
      <c r="C63" s="537"/>
      <c r="D63" s="537"/>
      <c r="E63" s="395"/>
      <c r="F63" s="395"/>
      <c r="G63" s="395"/>
      <c r="H63" s="7"/>
      <c r="I63" s="7"/>
      <c r="J63" s="7"/>
      <c r="K63" s="7"/>
      <c r="L63" s="7"/>
      <c r="M63" s="7"/>
      <c r="N63" s="7"/>
      <c r="O63" s="7"/>
      <c r="P63" s="7"/>
      <c r="Q63" s="7"/>
      <c r="R63" s="7"/>
      <c r="S63" s="7"/>
      <c r="T63" s="7"/>
      <c r="U63" s="7"/>
      <c r="V63" s="7"/>
      <c r="W63" s="7"/>
      <c r="X63" s="7"/>
      <c r="Y63" s="7"/>
      <c r="Z63" s="7"/>
    </row>
    <row r="64" spans="1:26" ht="15.75" customHeight="1" x14ac:dyDescent="0.25">
      <c r="A64" s="537"/>
      <c r="B64" s="537"/>
      <c r="C64" s="537"/>
      <c r="D64" s="537"/>
      <c r="E64" s="395"/>
      <c r="F64" s="395"/>
      <c r="G64" s="395"/>
      <c r="H64" s="7"/>
      <c r="I64" s="7"/>
      <c r="J64" s="7"/>
      <c r="K64" s="7"/>
      <c r="L64" s="7"/>
      <c r="M64" s="7"/>
      <c r="N64" s="7"/>
      <c r="O64" s="7"/>
      <c r="P64" s="7"/>
      <c r="Q64" s="7"/>
      <c r="R64" s="7"/>
      <c r="S64" s="7"/>
      <c r="T64" s="7"/>
      <c r="U64" s="7"/>
      <c r="V64" s="7"/>
      <c r="W64" s="7"/>
      <c r="X64" s="7"/>
      <c r="Y64" s="7"/>
      <c r="Z64" s="7"/>
    </row>
    <row r="65" spans="1:26" ht="15.75" customHeight="1" x14ac:dyDescent="0.25">
      <c r="A65" s="537"/>
      <c r="B65" s="537"/>
      <c r="C65" s="537"/>
      <c r="D65" s="537"/>
      <c r="E65" s="395"/>
      <c r="F65" s="395"/>
      <c r="G65" s="395"/>
      <c r="H65" s="7"/>
      <c r="I65" s="7"/>
      <c r="J65" s="7"/>
      <c r="K65" s="7"/>
      <c r="L65" s="7"/>
      <c r="M65" s="7"/>
      <c r="N65" s="7"/>
      <c r="O65" s="7"/>
      <c r="P65" s="7"/>
      <c r="Q65" s="7"/>
      <c r="R65" s="7"/>
      <c r="S65" s="7"/>
      <c r="T65" s="7"/>
      <c r="U65" s="7"/>
      <c r="V65" s="7"/>
      <c r="W65" s="7"/>
      <c r="X65" s="7"/>
      <c r="Y65" s="7"/>
      <c r="Z65" s="7"/>
    </row>
    <row r="66" spans="1:26" ht="15.75" customHeight="1" x14ac:dyDescent="0.25">
      <c r="A66" s="537"/>
      <c r="B66" s="537"/>
      <c r="C66" s="537"/>
      <c r="D66" s="537"/>
      <c r="E66" s="395"/>
      <c r="F66" s="395"/>
      <c r="G66" s="395"/>
      <c r="H66" s="7"/>
      <c r="I66" s="7"/>
      <c r="J66" s="7"/>
      <c r="K66" s="7"/>
      <c r="L66" s="7"/>
      <c r="M66" s="7"/>
      <c r="N66" s="7"/>
      <c r="O66" s="7"/>
      <c r="P66" s="7"/>
      <c r="Q66" s="7"/>
      <c r="R66" s="7"/>
      <c r="S66" s="7"/>
      <c r="T66" s="7"/>
      <c r="U66" s="7"/>
      <c r="V66" s="7"/>
      <c r="W66" s="7"/>
      <c r="X66" s="7"/>
      <c r="Y66" s="7"/>
      <c r="Z66" s="7"/>
    </row>
    <row r="67" spans="1:26" ht="15.75" customHeight="1" x14ac:dyDescent="0.25">
      <c r="A67" s="537"/>
      <c r="B67" s="537"/>
      <c r="C67" s="537"/>
      <c r="D67" s="537"/>
      <c r="E67" s="395"/>
      <c r="F67" s="395"/>
      <c r="G67" s="395"/>
      <c r="H67" s="7"/>
      <c r="I67" s="7"/>
      <c r="J67" s="7"/>
      <c r="K67" s="7"/>
      <c r="L67" s="7"/>
      <c r="M67" s="7"/>
      <c r="N67" s="7"/>
      <c r="O67" s="7"/>
      <c r="P67" s="7"/>
      <c r="Q67" s="7"/>
      <c r="R67" s="7"/>
      <c r="S67" s="7"/>
      <c r="T67" s="7"/>
      <c r="U67" s="7"/>
      <c r="V67" s="7"/>
      <c r="W67" s="7"/>
      <c r="X67" s="7"/>
      <c r="Y67" s="7"/>
      <c r="Z67" s="7"/>
    </row>
    <row r="68" spans="1:26" ht="15.75" customHeight="1" x14ac:dyDescent="0.25">
      <c r="A68" s="537"/>
      <c r="B68" s="537"/>
      <c r="C68" s="537"/>
      <c r="D68" s="537"/>
      <c r="E68" s="395"/>
      <c r="F68" s="395"/>
      <c r="G68" s="395"/>
      <c r="H68" s="7"/>
      <c r="I68" s="7"/>
      <c r="J68" s="7"/>
      <c r="K68" s="7"/>
      <c r="L68" s="7"/>
      <c r="M68" s="7"/>
      <c r="N68" s="7"/>
      <c r="O68" s="7"/>
      <c r="P68" s="7"/>
      <c r="Q68" s="7"/>
      <c r="R68" s="7"/>
      <c r="S68" s="7"/>
      <c r="T68" s="7"/>
      <c r="U68" s="7"/>
      <c r="V68" s="7"/>
      <c r="W68" s="7"/>
      <c r="X68" s="7"/>
      <c r="Y68" s="7"/>
      <c r="Z68" s="7"/>
    </row>
    <row r="69" spans="1:26" ht="15.75" customHeight="1" x14ac:dyDescent="0.25">
      <c r="A69" s="537"/>
      <c r="B69" s="537"/>
      <c r="C69" s="537"/>
      <c r="D69" s="537"/>
      <c r="E69" s="395"/>
      <c r="F69" s="395"/>
      <c r="G69" s="395"/>
      <c r="H69" s="7"/>
      <c r="I69" s="7"/>
      <c r="J69" s="7"/>
      <c r="K69" s="7"/>
      <c r="L69" s="7"/>
      <c r="M69" s="7"/>
      <c r="N69" s="7"/>
      <c r="O69" s="7"/>
      <c r="P69" s="7"/>
      <c r="Q69" s="7"/>
      <c r="R69" s="7"/>
      <c r="S69" s="7"/>
      <c r="T69" s="7"/>
      <c r="U69" s="7"/>
      <c r="V69" s="7"/>
      <c r="W69" s="7"/>
      <c r="X69" s="7"/>
      <c r="Y69" s="7"/>
      <c r="Z69" s="7"/>
    </row>
    <row r="70" spans="1:26" ht="15.75" customHeight="1" x14ac:dyDescent="0.25">
      <c r="A70" s="537"/>
      <c r="B70" s="537"/>
      <c r="C70" s="537"/>
      <c r="D70" s="537"/>
      <c r="E70" s="395"/>
      <c r="F70" s="395"/>
      <c r="G70" s="395"/>
      <c r="H70" s="7"/>
      <c r="I70" s="7"/>
      <c r="J70" s="7"/>
      <c r="K70" s="7"/>
      <c r="L70" s="7"/>
      <c r="M70" s="7"/>
      <c r="N70" s="7"/>
      <c r="O70" s="7"/>
      <c r="P70" s="7"/>
      <c r="Q70" s="7"/>
      <c r="R70" s="7"/>
      <c r="S70" s="7"/>
      <c r="T70" s="7"/>
      <c r="U70" s="7"/>
      <c r="V70" s="7"/>
      <c r="W70" s="7"/>
      <c r="X70" s="7"/>
      <c r="Y70" s="7"/>
      <c r="Z70" s="7"/>
    </row>
    <row r="71" spans="1:26" ht="15.75" customHeight="1" x14ac:dyDescent="0.25">
      <c r="A71" s="537"/>
      <c r="B71" s="537"/>
      <c r="C71" s="537"/>
      <c r="D71" s="537"/>
      <c r="E71" s="395"/>
      <c r="F71" s="395"/>
      <c r="G71" s="395"/>
      <c r="H71" s="7"/>
      <c r="I71" s="7"/>
      <c r="J71" s="7"/>
      <c r="K71" s="7"/>
      <c r="L71" s="7"/>
      <c r="M71" s="7"/>
      <c r="N71" s="7"/>
      <c r="O71" s="7"/>
      <c r="P71" s="7"/>
      <c r="Q71" s="7"/>
      <c r="R71" s="7"/>
      <c r="S71" s="7"/>
      <c r="T71" s="7"/>
      <c r="U71" s="7"/>
      <c r="V71" s="7"/>
      <c r="W71" s="7"/>
      <c r="X71" s="7"/>
      <c r="Y71" s="7"/>
      <c r="Z71" s="7"/>
    </row>
    <row r="72" spans="1:26" ht="15.75" customHeight="1" x14ac:dyDescent="0.25">
      <c r="A72" s="537"/>
      <c r="B72" s="537"/>
      <c r="C72" s="537"/>
      <c r="D72" s="537"/>
      <c r="E72" s="395"/>
      <c r="F72" s="395"/>
      <c r="G72" s="395"/>
      <c r="H72" s="7"/>
      <c r="I72" s="7"/>
      <c r="J72" s="7"/>
      <c r="K72" s="7"/>
      <c r="L72" s="7"/>
      <c r="M72" s="7"/>
      <c r="N72" s="7"/>
      <c r="O72" s="7"/>
      <c r="P72" s="7"/>
      <c r="Q72" s="7"/>
      <c r="R72" s="7"/>
      <c r="S72" s="7"/>
      <c r="T72" s="7"/>
      <c r="U72" s="7"/>
      <c r="V72" s="7"/>
      <c r="W72" s="7"/>
      <c r="X72" s="7"/>
      <c r="Y72" s="7"/>
      <c r="Z72" s="7"/>
    </row>
    <row r="73" spans="1:26" ht="15.75" customHeight="1" x14ac:dyDescent="0.25">
      <c r="A73" s="537"/>
      <c r="B73" s="537"/>
      <c r="C73" s="537"/>
      <c r="D73" s="537"/>
      <c r="E73" s="395"/>
      <c r="F73" s="395"/>
      <c r="G73" s="395"/>
      <c r="H73" s="7"/>
      <c r="I73" s="7"/>
      <c r="J73" s="7"/>
      <c r="K73" s="7"/>
      <c r="L73" s="7"/>
      <c r="M73" s="7"/>
      <c r="N73" s="7"/>
      <c r="O73" s="7"/>
      <c r="P73" s="7"/>
      <c r="Q73" s="7"/>
      <c r="R73" s="7"/>
      <c r="S73" s="7"/>
      <c r="T73" s="7"/>
      <c r="U73" s="7"/>
      <c r="V73" s="7"/>
      <c r="W73" s="7"/>
      <c r="X73" s="7"/>
      <c r="Y73" s="7"/>
      <c r="Z73" s="7"/>
    </row>
    <row r="74" spans="1:26" ht="15.75" customHeight="1" x14ac:dyDescent="0.25">
      <c r="A74" s="537"/>
      <c r="B74" s="537"/>
      <c r="C74" s="537"/>
      <c r="D74" s="537"/>
      <c r="E74" s="395"/>
      <c r="F74" s="395"/>
      <c r="G74" s="395"/>
      <c r="H74" s="7"/>
      <c r="I74" s="7"/>
      <c r="J74" s="7"/>
      <c r="K74" s="7"/>
      <c r="L74" s="7"/>
      <c r="M74" s="7"/>
      <c r="N74" s="7"/>
      <c r="O74" s="7"/>
      <c r="P74" s="7"/>
      <c r="Q74" s="7"/>
      <c r="R74" s="7"/>
      <c r="S74" s="7"/>
      <c r="T74" s="7"/>
      <c r="U74" s="7"/>
      <c r="V74" s="7"/>
      <c r="W74" s="7"/>
      <c r="X74" s="7"/>
      <c r="Y74" s="7"/>
      <c r="Z74" s="7"/>
    </row>
    <row r="75" spans="1:26" ht="15.75" customHeight="1" x14ac:dyDescent="0.25">
      <c r="A75" s="537"/>
      <c r="B75" s="537"/>
      <c r="C75" s="537"/>
      <c r="D75" s="537"/>
      <c r="E75" s="395"/>
      <c r="F75" s="395"/>
      <c r="G75" s="395"/>
      <c r="H75" s="7"/>
      <c r="I75" s="7"/>
      <c r="J75" s="7"/>
      <c r="K75" s="7"/>
      <c r="L75" s="7"/>
      <c r="M75" s="7"/>
      <c r="N75" s="7"/>
      <c r="O75" s="7"/>
      <c r="P75" s="7"/>
      <c r="Q75" s="7"/>
      <c r="R75" s="7"/>
      <c r="S75" s="7"/>
      <c r="T75" s="7"/>
      <c r="U75" s="7"/>
      <c r="V75" s="7"/>
      <c r="W75" s="7"/>
      <c r="X75" s="7"/>
      <c r="Y75" s="7"/>
      <c r="Z75" s="7"/>
    </row>
    <row r="76" spans="1:26" ht="15.75" customHeight="1" x14ac:dyDescent="0.25">
      <c r="A76" s="537"/>
      <c r="B76" s="537"/>
      <c r="C76" s="537"/>
      <c r="D76" s="537"/>
      <c r="E76" s="395"/>
      <c r="F76" s="395"/>
      <c r="G76" s="395"/>
      <c r="H76" s="7"/>
      <c r="I76" s="7"/>
      <c r="J76" s="7"/>
      <c r="K76" s="7"/>
      <c r="L76" s="7"/>
      <c r="M76" s="7"/>
      <c r="N76" s="7"/>
      <c r="O76" s="7"/>
      <c r="P76" s="7"/>
      <c r="Q76" s="7"/>
      <c r="R76" s="7"/>
      <c r="S76" s="7"/>
      <c r="T76" s="7"/>
      <c r="U76" s="7"/>
      <c r="V76" s="7"/>
      <c r="W76" s="7"/>
      <c r="X76" s="7"/>
      <c r="Y76" s="7"/>
      <c r="Z76" s="7"/>
    </row>
    <row r="77" spans="1:26" ht="15.75" customHeight="1" x14ac:dyDescent="0.25">
      <c r="A77" s="537"/>
      <c r="B77" s="537"/>
      <c r="C77" s="537"/>
      <c r="D77" s="537"/>
      <c r="E77" s="395"/>
      <c r="F77" s="395"/>
      <c r="G77" s="395"/>
      <c r="H77" s="7"/>
      <c r="I77" s="7"/>
      <c r="J77" s="7"/>
      <c r="K77" s="7"/>
      <c r="L77" s="7"/>
      <c r="M77" s="7"/>
      <c r="N77" s="7"/>
      <c r="O77" s="7"/>
      <c r="P77" s="7"/>
      <c r="Q77" s="7"/>
      <c r="R77" s="7"/>
      <c r="S77" s="7"/>
      <c r="T77" s="7"/>
      <c r="U77" s="7"/>
      <c r="V77" s="7"/>
      <c r="W77" s="7"/>
      <c r="X77" s="7"/>
      <c r="Y77" s="7"/>
      <c r="Z77" s="7"/>
    </row>
    <row r="78" spans="1:26" ht="15.75" customHeight="1" x14ac:dyDescent="0.25">
      <c r="A78" s="537"/>
      <c r="B78" s="537"/>
      <c r="C78" s="537"/>
      <c r="D78" s="537"/>
      <c r="E78" s="395"/>
      <c r="F78" s="395"/>
      <c r="G78" s="395"/>
      <c r="H78" s="7"/>
      <c r="I78" s="7"/>
      <c r="J78" s="7"/>
      <c r="K78" s="7"/>
      <c r="L78" s="7"/>
      <c r="M78" s="7"/>
      <c r="N78" s="7"/>
      <c r="O78" s="7"/>
      <c r="P78" s="7"/>
      <c r="Q78" s="7"/>
      <c r="R78" s="7"/>
      <c r="S78" s="7"/>
      <c r="T78" s="7"/>
      <c r="U78" s="7"/>
      <c r="V78" s="7"/>
      <c r="W78" s="7"/>
      <c r="X78" s="7"/>
      <c r="Y78" s="7"/>
      <c r="Z78" s="7"/>
    </row>
    <row r="79" spans="1:26" ht="15.75" customHeight="1" x14ac:dyDescent="0.25">
      <c r="A79" s="537"/>
      <c r="B79" s="537"/>
      <c r="C79" s="537"/>
      <c r="D79" s="537"/>
      <c r="E79" s="395"/>
      <c r="F79" s="395"/>
      <c r="G79" s="395"/>
      <c r="H79" s="7"/>
      <c r="I79" s="7"/>
      <c r="J79" s="7"/>
      <c r="K79" s="7"/>
      <c r="L79" s="7"/>
      <c r="M79" s="7"/>
      <c r="N79" s="7"/>
      <c r="O79" s="7"/>
      <c r="P79" s="7"/>
      <c r="Q79" s="7"/>
      <c r="R79" s="7"/>
      <c r="S79" s="7"/>
      <c r="T79" s="7"/>
      <c r="U79" s="7"/>
      <c r="V79" s="7"/>
      <c r="W79" s="7"/>
      <c r="X79" s="7"/>
      <c r="Y79" s="7"/>
      <c r="Z79" s="7"/>
    </row>
    <row r="80" spans="1:26" ht="15.75" customHeight="1" x14ac:dyDescent="0.25">
      <c r="A80" s="537"/>
      <c r="B80" s="537"/>
      <c r="C80" s="537"/>
      <c r="D80" s="537"/>
      <c r="E80" s="395"/>
      <c r="F80" s="395"/>
      <c r="G80" s="395"/>
      <c r="H80" s="7"/>
      <c r="I80" s="7"/>
      <c r="J80" s="7"/>
      <c r="K80" s="7"/>
      <c r="L80" s="7"/>
      <c r="M80" s="7"/>
      <c r="N80" s="7"/>
      <c r="O80" s="7"/>
      <c r="P80" s="7"/>
      <c r="Q80" s="7"/>
      <c r="R80" s="7"/>
      <c r="S80" s="7"/>
      <c r="T80" s="7"/>
      <c r="U80" s="7"/>
      <c r="V80" s="7"/>
      <c r="W80" s="7"/>
      <c r="X80" s="7"/>
      <c r="Y80" s="7"/>
      <c r="Z80" s="7"/>
    </row>
    <row r="81" spans="1:26" ht="15.75" customHeight="1" x14ac:dyDescent="0.25">
      <c r="A81" s="537"/>
      <c r="B81" s="537"/>
      <c r="C81" s="537"/>
      <c r="D81" s="537"/>
      <c r="E81" s="395"/>
      <c r="F81" s="395"/>
      <c r="G81" s="395"/>
      <c r="H81" s="7"/>
      <c r="I81" s="7"/>
      <c r="J81" s="7"/>
      <c r="K81" s="7"/>
      <c r="L81" s="7"/>
      <c r="M81" s="7"/>
      <c r="N81" s="7"/>
      <c r="O81" s="7"/>
      <c r="P81" s="7"/>
      <c r="Q81" s="7"/>
      <c r="R81" s="7"/>
      <c r="S81" s="7"/>
      <c r="T81" s="7"/>
      <c r="U81" s="7"/>
      <c r="V81" s="7"/>
      <c r="W81" s="7"/>
      <c r="X81" s="7"/>
      <c r="Y81" s="7"/>
      <c r="Z81" s="7"/>
    </row>
    <row r="82" spans="1:26" ht="15.75" customHeight="1" x14ac:dyDescent="0.25">
      <c r="A82" s="537"/>
      <c r="B82" s="537"/>
      <c r="C82" s="537"/>
      <c r="D82" s="537"/>
      <c r="E82" s="395"/>
      <c r="F82" s="395"/>
      <c r="G82" s="395"/>
      <c r="H82" s="7"/>
      <c r="I82" s="7"/>
      <c r="J82" s="7"/>
      <c r="K82" s="7"/>
      <c r="L82" s="7"/>
      <c r="M82" s="7"/>
      <c r="N82" s="7"/>
      <c r="O82" s="7"/>
      <c r="P82" s="7"/>
      <c r="Q82" s="7"/>
      <c r="R82" s="7"/>
      <c r="S82" s="7"/>
      <c r="T82" s="7"/>
      <c r="U82" s="7"/>
      <c r="V82" s="7"/>
      <c r="W82" s="7"/>
      <c r="X82" s="7"/>
      <c r="Y82" s="7"/>
      <c r="Z82" s="7"/>
    </row>
    <row r="83" spans="1:26" ht="15.75" customHeight="1" x14ac:dyDescent="0.25">
      <c r="A83" s="537"/>
      <c r="B83" s="537"/>
      <c r="C83" s="537"/>
      <c r="D83" s="537"/>
      <c r="E83" s="395"/>
      <c r="F83" s="395"/>
      <c r="G83" s="395"/>
      <c r="H83" s="7"/>
      <c r="I83" s="7"/>
      <c r="J83" s="7"/>
      <c r="K83" s="7"/>
      <c r="L83" s="7"/>
      <c r="M83" s="7"/>
      <c r="N83" s="7"/>
      <c r="O83" s="7"/>
      <c r="P83" s="7"/>
      <c r="Q83" s="7"/>
      <c r="R83" s="7"/>
      <c r="S83" s="7"/>
      <c r="T83" s="7"/>
      <c r="U83" s="7"/>
      <c r="V83" s="7"/>
      <c r="W83" s="7"/>
      <c r="X83" s="7"/>
      <c r="Y83" s="7"/>
      <c r="Z83" s="7"/>
    </row>
    <row r="84" spans="1:26" ht="15.75" customHeight="1" x14ac:dyDescent="0.25">
      <c r="A84" s="537"/>
      <c r="B84" s="537"/>
      <c r="C84" s="537"/>
      <c r="D84" s="537"/>
      <c r="E84" s="395"/>
      <c r="F84" s="395"/>
      <c r="G84" s="395"/>
      <c r="H84" s="7"/>
      <c r="I84" s="7"/>
      <c r="J84" s="7"/>
      <c r="K84" s="7"/>
      <c r="L84" s="7"/>
      <c r="M84" s="7"/>
      <c r="N84" s="7"/>
      <c r="O84" s="7"/>
      <c r="P84" s="7"/>
      <c r="Q84" s="7"/>
      <c r="R84" s="7"/>
      <c r="S84" s="7"/>
      <c r="T84" s="7"/>
      <c r="U84" s="7"/>
      <c r="V84" s="7"/>
      <c r="W84" s="7"/>
      <c r="X84" s="7"/>
      <c r="Y84" s="7"/>
      <c r="Z84" s="7"/>
    </row>
    <row r="85" spans="1:26" ht="15.75" customHeight="1" x14ac:dyDescent="0.25">
      <c r="A85" s="537"/>
      <c r="B85" s="537"/>
      <c r="C85" s="537"/>
      <c r="D85" s="537"/>
      <c r="E85" s="395"/>
      <c r="F85" s="395"/>
      <c r="G85" s="395"/>
      <c r="H85" s="7"/>
      <c r="I85" s="7"/>
      <c r="J85" s="7"/>
      <c r="K85" s="7"/>
      <c r="L85" s="7"/>
      <c r="M85" s="7"/>
      <c r="N85" s="7"/>
      <c r="O85" s="7"/>
      <c r="P85" s="7"/>
      <c r="Q85" s="7"/>
      <c r="R85" s="7"/>
      <c r="S85" s="7"/>
      <c r="T85" s="7"/>
      <c r="U85" s="7"/>
      <c r="V85" s="7"/>
      <c r="W85" s="7"/>
      <c r="X85" s="7"/>
      <c r="Y85" s="7"/>
      <c r="Z85" s="7"/>
    </row>
    <row r="86" spans="1:26" ht="15.75" customHeight="1" x14ac:dyDescent="0.25">
      <c r="A86" s="537"/>
      <c r="B86" s="537"/>
      <c r="C86" s="537"/>
      <c r="D86" s="537"/>
      <c r="E86" s="395"/>
      <c r="F86" s="395"/>
      <c r="G86" s="395"/>
      <c r="H86" s="7"/>
      <c r="I86" s="7"/>
      <c r="J86" s="7"/>
      <c r="K86" s="7"/>
      <c r="L86" s="7"/>
      <c r="M86" s="7"/>
      <c r="N86" s="7"/>
      <c r="O86" s="7"/>
      <c r="P86" s="7"/>
      <c r="Q86" s="7"/>
      <c r="R86" s="7"/>
      <c r="S86" s="7"/>
      <c r="T86" s="7"/>
      <c r="U86" s="7"/>
      <c r="V86" s="7"/>
      <c r="W86" s="7"/>
      <c r="X86" s="7"/>
      <c r="Y86" s="7"/>
      <c r="Z86" s="7"/>
    </row>
    <row r="87" spans="1:26" ht="15.75" customHeight="1" x14ac:dyDescent="0.25">
      <c r="A87" s="537"/>
      <c r="B87" s="537"/>
      <c r="C87" s="537"/>
      <c r="D87" s="537"/>
      <c r="E87" s="395"/>
      <c r="F87" s="395"/>
      <c r="G87" s="395"/>
      <c r="H87" s="7"/>
      <c r="I87" s="7"/>
      <c r="J87" s="7"/>
      <c r="K87" s="7"/>
      <c r="L87" s="7"/>
      <c r="M87" s="7"/>
      <c r="N87" s="7"/>
      <c r="O87" s="7"/>
      <c r="P87" s="7"/>
      <c r="Q87" s="7"/>
      <c r="R87" s="7"/>
      <c r="S87" s="7"/>
      <c r="T87" s="7"/>
      <c r="U87" s="7"/>
      <c r="V87" s="7"/>
      <c r="W87" s="7"/>
      <c r="X87" s="7"/>
      <c r="Y87" s="7"/>
      <c r="Z87" s="7"/>
    </row>
    <row r="88" spans="1:26" ht="15.75" customHeight="1" x14ac:dyDescent="0.25">
      <c r="A88" s="537"/>
      <c r="B88" s="537"/>
      <c r="C88" s="537"/>
      <c r="D88" s="537"/>
      <c r="E88" s="395"/>
      <c r="F88" s="395"/>
      <c r="G88" s="395"/>
      <c r="H88" s="7"/>
      <c r="I88" s="7"/>
      <c r="J88" s="7"/>
      <c r="K88" s="7"/>
      <c r="L88" s="7"/>
      <c r="M88" s="7"/>
      <c r="N88" s="7"/>
      <c r="O88" s="7"/>
      <c r="P88" s="7"/>
      <c r="Q88" s="7"/>
      <c r="R88" s="7"/>
      <c r="S88" s="7"/>
      <c r="T88" s="7"/>
      <c r="U88" s="7"/>
      <c r="V88" s="7"/>
      <c r="W88" s="7"/>
      <c r="X88" s="7"/>
      <c r="Y88" s="7"/>
      <c r="Z88" s="7"/>
    </row>
    <row r="89" spans="1:26" ht="15.75" customHeight="1" x14ac:dyDescent="0.25">
      <c r="A89" s="537"/>
      <c r="B89" s="537"/>
      <c r="C89" s="537"/>
      <c r="D89" s="537"/>
      <c r="E89" s="395"/>
      <c r="F89" s="395"/>
      <c r="G89" s="395"/>
      <c r="H89" s="7"/>
      <c r="I89" s="7"/>
      <c r="J89" s="7"/>
      <c r="K89" s="7"/>
      <c r="L89" s="7"/>
      <c r="M89" s="7"/>
      <c r="N89" s="7"/>
      <c r="O89" s="7"/>
      <c r="P89" s="7"/>
      <c r="Q89" s="7"/>
      <c r="R89" s="7"/>
      <c r="S89" s="7"/>
      <c r="T89" s="7"/>
      <c r="U89" s="7"/>
      <c r="V89" s="7"/>
      <c r="W89" s="7"/>
      <c r="X89" s="7"/>
      <c r="Y89" s="7"/>
      <c r="Z89" s="7"/>
    </row>
    <row r="90" spans="1:26" ht="15.75" customHeight="1" x14ac:dyDescent="0.25">
      <c r="A90" s="537"/>
      <c r="B90" s="537"/>
      <c r="C90" s="537"/>
      <c r="D90" s="537"/>
      <c r="E90" s="395"/>
      <c r="F90" s="395"/>
      <c r="G90" s="395"/>
      <c r="H90" s="7"/>
      <c r="I90" s="7"/>
      <c r="J90" s="7"/>
      <c r="K90" s="7"/>
      <c r="L90" s="7"/>
      <c r="M90" s="7"/>
      <c r="N90" s="7"/>
      <c r="O90" s="7"/>
      <c r="P90" s="7"/>
      <c r="Q90" s="7"/>
      <c r="R90" s="7"/>
      <c r="S90" s="7"/>
      <c r="T90" s="7"/>
      <c r="U90" s="7"/>
      <c r="V90" s="7"/>
      <c r="W90" s="7"/>
      <c r="X90" s="7"/>
      <c r="Y90" s="7"/>
      <c r="Z90" s="7"/>
    </row>
    <row r="91" spans="1:26" ht="15.75" customHeight="1" x14ac:dyDescent="0.25">
      <c r="A91" s="537"/>
      <c r="B91" s="537"/>
      <c r="C91" s="537"/>
      <c r="D91" s="537"/>
      <c r="E91" s="395"/>
      <c r="F91" s="395"/>
      <c r="G91" s="395"/>
      <c r="H91" s="7"/>
      <c r="I91" s="7"/>
      <c r="J91" s="7"/>
      <c r="K91" s="7"/>
      <c r="L91" s="7"/>
      <c r="M91" s="7"/>
      <c r="N91" s="7"/>
      <c r="O91" s="7"/>
      <c r="P91" s="7"/>
      <c r="Q91" s="7"/>
      <c r="R91" s="7"/>
      <c r="S91" s="7"/>
      <c r="T91" s="7"/>
      <c r="U91" s="7"/>
      <c r="V91" s="7"/>
      <c r="W91" s="7"/>
      <c r="X91" s="7"/>
      <c r="Y91" s="7"/>
      <c r="Z91" s="7"/>
    </row>
    <row r="92" spans="1:26" ht="15.75" customHeight="1" x14ac:dyDescent="0.25">
      <c r="A92" s="537"/>
      <c r="B92" s="537"/>
      <c r="C92" s="537"/>
      <c r="D92" s="537"/>
      <c r="E92" s="395"/>
      <c r="F92" s="395"/>
      <c r="G92" s="395"/>
      <c r="H92" s="7"/>
      <c r="I92" s="7"/>
      <c r="J92" s="7"/>
      <c r="K92" s="7"/>
      <c r="L92" s="7"/>
      <c r="M92" s="7"/>
      <c r="N92" s="7"/>
      <c r="O92" s="7"/>
      <c r="P92" s="7"/>
      <c r="Q92" s="7"/>
      <c r="R92" s="7"/>
      <c r="S92" s="7"/>
      <c r="T92" s="7"/>
      <c r="U92" s="7"/>
      <c r="V92" s="7"/>
      <c r="W92" s="7"/>
      <c r="X92" s="7"/>
      <c r="Y92" s="7"/>
      <c r="Z92" s="7"/>
    </row>
    <row r="93" spans="1:26" ht="15.75" customHeight="1" x14ac:dyDescent="0.25">
      <c r="A93" s="537"/>
      <c r="B93" s="537"/>
      <c r="C93" s="537"/>
      <c r="D93" s="537"/>
      <c r="E93" s="395"/>
      <c r="F93" s="395"/>
      <c r="G93" s="395"/>
      <c r="H93" s="7"/>
      <c r="I93" s="7"/>
      <c r="J93" s="7"/>
      <c r="K93" s="7"/>
      <c r="L93" s="7"/>
      <c r="M93" s="7"/>
      <c r="N93" s="7"/>
      <c r="O93" s="7"/>
      <c r="P93" s="7"/>
      <c r="Q93" s="7"/>
      <c r="R93" s="7"/>
      <c r="S93" s="7"/>
      <c r="T93" s="7"/>
      <c r="U93" s="7"/>
      <c r="V93" s="7"/>
      <c r="W93" s="7"/>
      <c r="X93" s="7"/>
      <c r="Y93" s="7"/>
      <c r="Z93" s="7"/>
    </row>
    <row r="94" spans="1:26" ht="15.75" customHeight="1" x14ac:dyDescent="0.25">
      <c r="A94" s="537"/>
      <c r="B94" s="537"/>
      <c r="C94" s="537"/>
      <c r="D94" s="537"/>
      <c r="E94" s="395"/>
      <c r="F94" s="395"/>
      <c r="G94" s="395"/>
      <c r="H94" s="7"/>
      <c r="I94" s="7"/>
      <c r="J94" s="7"/>
      <c r="K94" s="7"/>
      <c r="L94" s="7"/>
      <c r="M94" s="7"/>
      <c r="N94" s="7"/>
      <c r="O94" s="7"/>
      <c r="P94" s="7"/>
      <c r="Q94" s="7"/>
      <c r="R94" s="7"/>
      <c r="S94" s="7"/>
      <c r="T94" s="7"/>
      <c r="U94" s="7"/>
      <c r="V94" s="7"/>
      <c r="W94" s="7"/>
      <c r="X94" s="7"/>
      <c r="Y94" s="7"/>
      <c r="Z94" s="7"/>
    </row>
    <row r="95" spans="1:26" ht="15.75" customHeight="1" x14ac:dyDescent="0.25">
      <c r="A95" s="537"/>
      <c r="B95" s="537"/>
      <c r="C95" s="537"/>
      <c r="D95" s="537"/>
      <c r="E95" s="395"/>
      <c r="F95" s="395"/>
      <c r="G95" s="395"/>
      <c r="H95" s="7"/>
      <c r="I95" s="7"/>
      <c r="J95" s="7"/>
      <c r="K95" s="7"/>
      <c r="L95" s="7"/>
      <c r="M95" s="7"/>
      <c r="N95" s="7"/>
      <c r="O95" s="7"/>
      <c r="P95" s="7"/>
      <c r="Q95" s="7"/>
      <c r="R95" s="7"/>
      <c r="S95" s="7"/>
      <c r="T95" s="7"/>
      <c r="U95" s="7"/>
      <c r="V95" s="7"/>
      <c r="W95" s="7"/>
      <c r="X95" s="7"/>
      <c r="Y95" s="7"/>
      <c r="Z95" s="7"/>
    </row>
    <row r="96" spans="1:26" ht="15.75" customHeight="1" x14ac:dyDescent="0.25">
      <c r="A96" s="537"/>
      <c r="B96" s="537"/>
      <c r="C96" s="537"/>
      <c r="D96" s="537"/>
      <c r="E96" s="395"/>
      <c r="F96" s="395"/>
      <c r="G96" s="395"/>
      <c r="H96" s="7"/>
      <c r="I96" s="7"/>
      <c r="J96" s="7"/>
      <c r="K96" s="7"/>
      <c r="L96" s="7"/>
      <c r="M96" s="7"/>
      <c r="N96" s="7"/>
      <c r="O96" s="7"/>
      <c r="P96" s="7"/>
      <c r="Q96" s="7"/>
      <c r="R96" s="7"/>
      <c r="S96" s="7"/>
      <c r="T96" s="7"/>
      <c r="U96" s="7"/>
      <c r="V96" s="7"/>
      <c r="W96" s="7"/>
      <c r="X96" s="7"/>
      <c r="Y96" s="7"/>
      <c r="Z96" s="7"/>
    </row>
    <row r="97" spans="1:26" ht="15.75" customHeight="1" x14ac:dyDescent="0.25">
      <c r="A97" s="537"/>
      <c r="B97" s="537"/>
      <c r="C97" s="537"/>
      <c r="D97" s="537"/>
      <c r="E97" s="395"/>
      <c r="F97" s="395"/>
      <c r="G97" s="395"/>
      <c r="H97" s="7"/>
      <c r="I97" s="7"/>
      <c r="J97" s="7"/>
      <c r="K97" s="7"/>
      <c r="L97" s="7"/>
      <c r="M97" s="7"/>
      <c r="N97" s="7"/>
      <c r="O97" s="7"/>
      <c r="P97" s="7"/>
      <c r="Q97" s="7"/>
      <c r="R97" s="7"/>
      <c r="S97" s="7"/>
      <c r="T97" s="7"/>
      <c r="U97" s="7"/>
      <c r="V97" s="7"/>
      <c r="W97" s="7"/>
      <c r="X97" s="7"/>
      <c r="Y97" s="7"/>
      <c r="Z97" s="7"/>
    </row>
    <row r="98" spans="1:26" ht="15.75" customHeight="1" x14ac:dyDescent="0.25">
      <c r="A98" s="537"/>
      <c r="B98" s="537"/>
      <c r="C98" s="537"/>
      <c r="D98" s="537"/>
      <c r="E98" s="395"/>
      <c r="F98" s="395"/>
      <c r="G98" s="395"/>
      <c r="H98" s="7"/>
      <c r="I98" s="7"/>
      <c r="J98" s="7"/>
      <c r="K98" s="7"/>
      <c r="L98" s="7"/>
      <c r="M98" s="7"/>
      <c r="N98" s="7"/>
      <c r="O98" s="7"/>
      <c r="P98" s="7"/>
      <c r="Q98" s="7"/>
      <c r="R98" s="7"/>
      <c r="S98" s="7"/>
      <c r="T98" s="7"/>
      <c r="U98" s="7"/>
      <c r="V98" s="7"/>
      <c r="W98" s="7"/>
      <c r="X98" s="7"/>
      <c r="Y98" s="7"/>
      <c r="Z98" s="7"/>
    </row>
    <row r="99" spans="1:26" ht="15.75" customHeight="1" x14ac:dyDescent="0.25">
      <c r="A99" s="537"/>
      <c r="B99" s="537"/>
      <c r="C99" s="537"/>
      <c r="D99" s="537"/>
      <c r="E99" s="395"/>
      <c r="F99" s="395"/>
      <c r="G99" s="395"/>
      <c r="H99" s="7"/>
      <c r="I99" s="7"/>
      <c r="J99" s="7"/>
      <c r="K99" s="7"/>
      <c r="L99" s="7"/>
      <c r="M99" s="7"/>
      <c r="N99" s="7"/>
      <c r="O99" s="7"/>
      <c r="P99" s="7"/>
      <c r="Q99" s="7"/>
      <c r="R99" s="7"/>
      <c r="S99" s="7"/>
      <c r="T99" s="7"/>
      <c r="U99" s="7"/>
      <c r="V99" s="7"/>
      <c r="W99" s="7"/>
      <c r="X99" s="7"/>
      <c r="Y99" s="7"/>
      <c r="Z99" s="7"/>
    </row>
    <row r="100" spans="1:26" ht="15.75" customHeight="1" x14ac:dyDescent="0.25">
      <c r="A100" s="537"/>
      <c r="B100" s="537"/>
      <c r="C100" s="537"/>
      <c r="D100" s="537"/>
      <c r="E100" s="395"/>
      <c r="F100" s="395"/>
      <c r="G100" s="395"/>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537"/>
      <c r="B101" s="537"/>
      <c r="C101" s="537"/>
      <c r="D101" s="537"/>
      <c r="E101" s="395"/>
      <c r="F101" s="395"/>
      <c r="G101" s="395"/>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537"/>
      <c r="B102" s="537"/>
      <c r="C102" s="537"/>
      <c r="D102" s="537"/>
      <c r="E102" s="395"/>
      <c r="F102" s="395"/>
      <c r="G102" s="395"/>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537"/>
      <c r="B103" s="537"/>
      <c r="C103" s="537"/>
      <c r="D103" s="537"/>
      <c r="E103" s="395"/>
      <c r="F103" s="395"/>
      <c r="G103" s="395"/>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537"/>
      <c r="B104" s="537"/>
      <c r="C104" s="537"/>
      <c r="D104" s="537"/>
      <c r="E104" s="395"/>
      <c r="F104" s="395"/>
      <c r="G104" s="395"/>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537"/>
      <c r="B105" s="537"/>
      <c r="C105" s="537"/>
      <c r="D105" s="537"/>
      <c r="E105" s="395"/>
      <c r="F105" s="395"/>
      <c r="G105" s="395"/>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537"/>
      <c r="B106" s="537"/>
      <c r="C106" s="537"/>
      <c r="D106" s="537"/>
      <c r="E106" s="395"/>
      <c r="F106" s="395"/>
      <c r="G106" s="395"/>
      <c r="H106" s="7"/>
      <c r="I106" s="7"/>
      <c r="J106" s="7"/>
      <c r="K106" s="7"/>
      <c r="L106" s="7"/>
      <c r="M106" s="7"/>
      <c r="N106" s="7"/>
      <c r="O106" s="7"/>
      <c r="P106" s="7"/>
      <c r="Q106" s="7"/>
      <c r="R106" s="7"/>
      <c r="S106" s="7"/>
      <c r="T106" s="7"/>
      <c r="U106" s="7"/>
      <c r="V106" s="7"/>
      <c r="W106" s="7"/>
      <c r="X106" s="7"/>
      <c r="Y106" s="7"/>
      <c r="Z106" s="7"/>
    </row>
    <row r="107" spans="1:26" ht="15.75" customHeight="1" x14ac:dyDescent="0.25">
      <c r="A107" s="537"/>
      <c r="B107" s="537"/>
      <c r="C107" s="537"/>
      <c r="D107" s="537"/>
      <c r="E107" s="395"/>
      <c r="F107" s="395"/>
      <c r="G107" s="395"/>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537"/>
      <c r="B108" s="537"/>
      <c r="C108" s="537"/>
      <c r="D108" s="537"/>
      <c r="E108" s="395"/>
      <c r="F108" s="395"/>
      <c r="G108" s="395"/>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537"/>
      <c r="B109" s="537"/>
      <c r="C109" s="537"/>
      <c r="D109" s="537"/>
      <c r="E109" s="395"/>
      <c r="F109" s="395"/>
      <c r="G109" s="395"/>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537"/>
      <c r="B110" s="537"/>
      <c r="C110" s="537"/>
      <c r="D110" s="537"/>
      <c r="E110" s="395"/>
      <c r="F110" s="395"/>
      <c r="G110" s="395"/>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537"/>
      <c r="B111" s="537"/>
      <c r="C111" s="537"/>
      <c r="D111" s="537"/>
      <c r="E111" s="395"/>
      <c r="F111" s="395"/>
      <c r="G111" s="395"/>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537"/>
      <c r="B112" s="537"/>
      <c r="C112" s="537"/>
      <c r="D112" s="537"/>
      <c r="E112" s="395"/>
      <c r="F112" s="395"/>
      <c r="G112" s="395"/>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537"/>
      <c r="B113" s="537"/>
      <c r="C113" s="537"/>
      <c r="D113" s="537"/>
      <c r="E113" s="395"/>
      <c r="F113" s="395"/>
      <c r="G113" s="395"/>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537"/>
      <c r="B114" s="537"/>
      <c r="C114" s="537"/>
      <c r="D114" s="537"/>
      <c r="E114" s="395"/>
      <c r="F114" s="395"/>
      <c r="G114" s="395"/>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537"/>
      <c r="B115" s="537"/>
      <c r="C115" s="537"/>
      <c r="D115" s="537"/>
      <c r="E115" s="395"/>
      <c r="F115" s="395"/>
      <c r="G115" s="395"/>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537"/>
      <c r="B116" s="537"/>
      <c r="C116" s="537"/>
      <c r="D116" s="537"/>
      <c r="E116" s="395"/>
      <c r="F116" s="395"/>
      <c r="G116" s="395"/>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537"/>
      <c r="B117" s="537"/>
      <c r="C117" s="537"/>
      <c r="D117" s="537"/>
      <c r="E117" s="395"/>
      <c r="F117" s="395"/>
      <c r="G117" s="395"/>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537"/>
      <c r="B118" s="537"/>
      <c r="C118" s="537"/>
      <c r="D118" s="537"/>
      <c r="E118" s="395"/>
      <c r="F118" s="395"/>
      <c r="G118" s="395"/>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537"/>
      <c r="B119" s="537"/>
      <c r="C119" s="537"/>
      <c r="D119" s="537"/>
      <c r="E119" s="395"/>
      <c r="F119" s="395"/>
      <c r="G119" s="395"/>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537"/>
      <c r="B120" s="537"/>
      <c r="C120" s="537"/>
      <c r="D120" s="537"/>
      <c r="E120" s="395"/>
      <c r="F120" s="395"/>
      <c r="G120" s="395"/>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537"/>
      <c r="B121" s="537"/>
      <c r="C121" s="537"/>
      <c r="D121" s="537"/>
      <c r="E121" s="395"/>
      <c r="F121" s="395"/>
      <c r="G121" s="395"/>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537"/>
      <c r="B122" s="537"/>
      <c r="C122" s="537"/>
      <c r="D122" s="537"/>
      <c r="E122" s="395"/>
      <c r="F122" s="395"/>
      <c r="G122" s="395"/>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537"/>
      <c r="B123" s="537"/>
      <c r="C123" s="537"/>
      <c r="D123" s="537"/>
      <c r="E123" s="395"/>
      <c r="F123" s="395"/>
      <c r="G123" s="395"/>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537"/>
      <c r="B124" s="537"/>
      <c r="C124" s="537"/>
      <c r="D124" s="537"/>
      <c r="E124" s="395"/>
      <c r="F124" s="395"/>
      <c r="G124" s="395"/>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537"/>
      <c r="B125" s="537"/>
      <c r="C125" s="537"/>
      <c r="D125" s="537"/>
      <c r="E125" s="395"/>
      <c r="F125" s="395"/>
      <c r="G125" s="395"/>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537"/>
      <c r="B126" s="537"/>
      <c r="C126" s="537"/>
      <c r="D126" s="537"/>
      <c r="E126" s="395"/>
      <c r="F126" s="395"/>
      <c r="G126" s="395"/>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537"/>
      <c r="B127" s="537"/>
      <c r="C127" s="537"/>
      <c r="D127" s="537"/>
      <c r="E127" s="395"/>
      <c r="F127" s="395"/>
      <c r="G127" s="395"/>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537"/>
      <c r="B128" s="537"/>
      <c r="C128" s="537"/>
      <c r="D128" s="537"/>
      <c r="E128" s="395"/>
      <c r="F128" s="395"/>
      <c r="G128" s="395"/>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537"/>
      <c r="B129" s="537"/>
      <c r="C129" s="537"/>
      <c r="D129" s="537"/>
      <c r="E129" s="395"/>
      <c r="F129" s="395"/>
      <c r="G129" s="395"/>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537"/>
      <c r="B130" s="537"/>
      <c r="C130" s="537"/>
      <c r="D130" s="537"/>
      <c r="E130" s="395"/>
      <c r="F130" s="395"/>
      <c r="G130" s="395"/>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537"/>
      <c r="B131" s="537"/>
      <c r="C131" s="537"/>
      <c r="D131" s="537"/>
      <c r="E131" s="395"/>
      <c r="F131" s="395"/>
      <c r="G131" s="395"/>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537"/>
      <c r="B132" s="537"/>
      <c r="C132" s="537"/>
      <c r="D132" s="537"/>
      <c r="E132" s="395"/>
      <c r="F132" s="395"/>
      <c r="G132" s="395"/>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537"/>
      <c r="B133" s="537"/>
      <c r="C133" s="537"/>
      <c r="D133" s="537"/>
      <c r="E133" s="395"/>
      <c r="F133" s="395"/>
      <c r="G133" s="395"/>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537"/>
      <c r="B134" s="537"/>
      <c r="C134" s="537"/>
      <c r="D134" s="537"/>
      <c r="E134" s="395"/>
      <c r="F134" s="395"/>
      <c r="G134" s="395"/>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537"/>
      <c r="B135" s="537"/>
      <c r="C135" s="537"/>
      <c r="D135" s="537"/>
      <c r="E135" s="395"/>
      <c r="F135" s="395"/>
      <c r="G135" s="395"/>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537"/>
      <c r="B136" s="537"/>
      <c r="C136" s="537"/>
      <c r="D136" s="537"/>
      <c r="E136" s="395"/>
      <c r="F136" s="395"/>
      <c r="G136" s="395"/>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537"/>
      <c r="B137" s="537"/>
      <c r="C137" s="537"/>
      <c r="D137" s="537"/>
      <c r="E137" s="395"/>
      <c r="F137" s="395"/>
      <c r="G137" s="395"/>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537"/>
      <c r="B138" s="537"/>
      <c r="C138" s="537"/>
      <c r="D138" s="537"/>
      <c r="E138" s="395"/>
      <c r="F138" s="395"/>
      <c r="G138" s="395"/>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537"/>
      <c r="B139" s="537"/>
      <c r="C139" s="537"/>
      <c r="D139" s="537"/>
      <c r="E139" s="395"/>
      <c r="F139" s="395"/>
      <c r="G139" s="395"/>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537"/>
      <c r="B140" s="537"/>
      <c r="C140" s="537"/>
      <c r="D140" s="537"/>
      <c r="E140" s="395"/>
      <c r="F140" s="395"/>
      <c r="G140" s="395"/>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537"/>
      <c r="B141" s="537"/>
      <c r="C141" s="537"/>
      <c r="D141" s="537"/>
      <c r="E141" s="395"/>
      <c r="F141" s="395"/>
      <c r="G141" s="395"/>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537"/>
      <c r="B142" s="537"/>
      <c r="C142" s="537"/>
      <c r="D142" s="537"/>
      <c r="E142" s="395"/>
      <c r="F142" s="395"/>
      <c r="G142" s="395"/>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537"/>
      <c r="B143" s="537"/>
      <c r="C143" s="537"/>
      <c r="D143" s="537"/>
      <c r="E143" s="395"/>
      <c r="F143" s="395"/>
      <c r="G143" s="395"/>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537"/>
      <c r="B144" s="537"/>
      <c r="C144" s="537"/>
      <c r="D144" s="537"/>
      <c r="E144" s="395"/>
      <c r="F144" s="395"/>
      <c r="G144" s="395"/>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537"/>
      <c r="B145" s="537"/>
      <c r="C145" s="537"/>
      <c r="D145" s="537"/>
      <c r="E145" s="395"/>
      <c r="F145" s="395"/>
      <c r="G145" s="395"/>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537"/>
      <c r="B146" s="537"/>
      <c r="C146" s="537"/>
      <c r="D146" s="537"/>
      <c r="E146" s="395"/>
      <c r="F146" s="395"/>
      <c r="G146" s="395"/>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537"/>
      <c r="B147" s="537"/>
      <c r="C147" s="537"/>
      <c r="D147" s="537"/>
      <c r="E147" s="395"/>
      <c r="F147" s="395"/>
      <c r="G147" s="395"/>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537"/>
      <c r="B148" s="537"/>
      <c r="C148" s="537"/>
      <c r="D148" s="537"/>
      <c r="E148" s="395"/>
      <c r="F148" s="395"/>
      <c r="G148" s="395"/>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537"/>
      <c r="B149" s="537"/>
      <c r="C149" s="537"/>
      <c r="D149" s="537"/>
      <c r="E149" s="395"/>
      <c r="F149" s="395"/>
      <c r="G149" s="395"/>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537"/>
      <c r="B150" s="537"/>
      <c r="C150" s="537"/>
      <c r="D150" s="537"/>
      <c r="E150" s="395"/>
      <c r="F150" s="395"/>
      <c r="G150" s="395"/>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537"/>
      <c r="B151" s="537"/>
      <c r="C151" s="537"/>
      <c r="D151" s="537"/>
      <c r="E151" s="395"/>
      <c r="F151" s="395"/>
      <c r="G151" s="395"/>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537"/>
      <c r="B152" s="537"/>
      <c r="C152" s="537"/>
      <c r="D152" s="537"/>
      <c r="E152" s="395"/>
      <c r="F152" s="395"/>
      <c r="G152" s="395"/>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537"/>
      <c r="B153" s="537"/>
      <c r="C153" s="537"/>
      <c r="D153" s="537"/>
      <c r="E153" s="395"/>
      <c r="F153" s="395"/>
      <c r="G153" s="395"/>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537"/>
      <c r="B154" s="537"/>
      <c r="C154" s="537"/>
      <c r="D154" s="537"/>
      <c r="E154" s="395"/>
      <c r="F154" s="395"/>
      <c r="G154" s="395"/>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537"/>
      <c r="B155" s="537"/>
      <c r="C155" s="537"/>
      <c r="D155" s="537"/>
      <c r="E155" s="395"/>
      <c r="F155" s="395"/>
      <c r="G155" s="395"/>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537"/>
      <c r="B156" s="537"/>
      <c r="C156" s="537"/>
      <c r="D156" s="537"/>
      <c r="E156" s="395"/>
      <c r="F156" s="395"/>
      <c r="G156" s="395"/>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537"/>
      <c r="B157" s="537"/>
      <c r="C157" s="537"/>
      <c r="D157" s="537"/>
      <c r="E157" s="395"/>
      <c r="F157" s="395"/>
      <c r="G157" s="395"/>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537"/>
      <c r="B158" s="537"/>
      <c r="C158" s="537"/>
      <c r="D158" s="537"/>
      <c r="E158" s="395"/>
      <c r="F158" s="395"/>
      <c r="G158" s="395"/>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537"/>
      <c r="B159" s="537"/>
      <c r="C159" s="537"/>
      <c r="D159" s="537"/>
      <c r="E159" s="395"/>
      <c r="F159" s="395"/>
      <c r="G159" s="395"/>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537"/>
      <c r="B160" s="537"/>
      <c r="C160" s="537"/>
      <c r="D160" s="537"/>
      <c r="E160" s="395"/>
      <c r="F160" s="395"/>
      <c r="G160" s="395"/>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537"/>
      <c r="B161" s="537"/>
      <c r="C161" s="537"/>
      <c r="D161" s="537"/>
      <c r="E161" s="395"/>
      <c r="F161" s="395"/>
      <c r="G161" s="395"/>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537"/>
      <c r="B162" s="537"/>
      <c r="C162" s="537"/>
      <c r="D162" s="537"/>
      <c r="E162" s="395"/>
      <c r="F162" s="395"/>
      <c r="G162" s="395"/>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537"/>
      <c r="B163" s="537"/>
      <c r="C163" s="537"/>
      <c r="D163" s="537"/>
      <c r="E163" s="395"/>
      <c r="F163" s="395"/>
      <c r="G163" s="395"/>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537"/>
      <c r="B164" s="537"/>
      <c r="C164" s="537"/>
      <c r="D164" s="537"/>
      <c r="E164" s="395"/>
      <c r="F164" s="395"/>
      <c r="G164" s="395"/>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537"/>
      <c r="B165" s="537"/>
      <c r="C165" s="537"/>
      <c r="D165" s="537"/>
      <c r="E165" s="395"/>
      <c r="F165" s="395"/>
      <c r="G165" s="395"/>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537"/>
      <c r="B166" s="537"/>
      <c r="C166" s="537"/>
      <c r="D166" s="537"/>
      <c r="E166" s="395"/>
      <c r="F166" s="395"/>
      <c r="G166" s="395"/>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537"/>
      <c r="B167" s="537"/>
      <c r="C167" s="537"/>
      <c r="D167" s="537"/>
      <c r="E167" s="395"/>
      <c r="F167" s="395"/>
      <c r="G167" s="395"/>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537"/>
      <c r="B168" s="537"/>
      <c r="C168" s="537"/>
      <c r="D168" s="537"/>
      <c r="E168" s="395"/>
      <c r="F168" s="395"/>
      <c r="G168" s="395"/>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537"/>
      <c r="B169" s="537"/>
      <c r="C169" s="537"/>
      <c r="D169" s="537"/>
      <c r="E169" s="395"/>
      <c r="F169" s="395"/>
      <c r="G169" s="395"/>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537"/>
      <c r="B170" s="537"/>
      <c r="C170" s="537"/>
      <c r="D170" s="537"/>
      <c r="E170" s="395"/>
      <c r="F170" s="395"/>
      <c r="G170" s="395"/>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537"/>
      <c r="B171" s="537"/>
      <c r="C171" s="537"/>
      <c r="D171" s="537"/>
      <c r="E171" s="395"/>
      <c r="F171" s="395"/>
      <c r="G171" s="395"/>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537"/>
      <c r="B172" s="537"/>
      <c r="C172" s="537"/>
      <c r="D172" s="537"/>
      <c r="E172" s="395"/>
      <c r="F172" s="395"/>
      <c r="G172" s="395"/>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537"/>
      <c r="B173" s="537"/>
      <c r="C173" s="537"/>
      <c r="D173" s="537"/>
      <c r="E173" s="395"/>
      <c r="F173" s="395"/>
      <c r="G173" s="395"/>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537"/>
      <c r="B174" s="537"/>
      <c r="C174" s="537"/>
      <c r="D174" s="537"/>
      <c r="E174" s="395"/>
      <c r="F174" s="395"/>
      <c r="G174" s="395"/>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537"/>
      <c r="B175" s="537"/>
      <c r="C175" s="537"/>
      <c r="D175" s="537"/>
      <c r="E175" s="395"/>
      <c r="F175" s="395"/>
      <c r="G175" s="395"/>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537"/>
      <c r="B176" s="537"/>
      <c r="C176" s="537"/>
      <c r="D176" s="537"/>
      <c r="E176" s="395"/>
      <c r="F176" s="395"/>
      <c r="G176" s="395"/>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537"/>
      <c r="B177" s="537"/>
      <c r="C177" s="537"/>
      <c r="D177" s="537"/>
      <c r="E177" s="395"/>
      <c r="F177" s="395"/>
      <c r="G177" s="395"/>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537"/>
      <c r="B178" s="537"/>
      <c r="C178" s="537"/>
      <c r="D178" s="537"/>
      <c r="E178" s="395"/>
      <c r="F178" s="395"/>
      <c r="G178" s="395"/>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537"/>
      <c r="B179" s="537"/>
      <c r="C179" s="537"/>
      <c r="D179" s="537"/>
      <c r="E179" s="395"/>
      <c r="F179" s="395"/>
      <c r="G179" s="395"/>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537"/>
      <c r="B180" s="537"/>
      <c r="C180" s="537"/>
      <c r="D180" s="537"/>
      <c r="E180" s="395"/>
      <c r="F180" s="395"/>
      <c r="G180" s="395"/>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537"/>
      <c r="B181" s="537"/>
      <c r="C181" s="537"/>
      <c r="D181" s="537"/>
      <c r="E181" s="395"/>
      <c r="F181" s="395"/>
      <c r="G181" s="395"/>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537"/>
      <c r="B182" s="537"/>
      <c r="C182" s="537"/>
      <c r="D182" s="537"/>
      <c r="E182" s="395"/>
      <c r="F182" s="395"/>
      <c r="G182" s="395"/>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537"/>
      <c r="B183" s="537"/>
      <c r="C183" s="537"/>
      <c r="D183" s="537"/>
      <c r="E183" s="395"/>
      <c r="F183" s="395"/>
      <c r="G183" s="395"/>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537"/>
      <c r="B184" s="537"/>
      <c r="C184" s="537"/>
      <c r="D184" s="537"/>
      <c r="E184" s="395"/>
      <c r="F184" s="395"/>
      <c r="G184" s="395"/>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537"/>
      <c r="B185" s="537"/>
      <c r="C185" s="537"/>
      <c r="D185" s="537"/>
      <c r="E185" s="395"/>
      <c r="F185" s="395"/>
      <c r="G185" s="395"/>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537"/>
      <c r="B186" s="537"/>
      <c r="C186" s="537"/>
      <c r="D186" s="537"/>
      <c r="E186" s="395"/>
      <c r="F186" s="395"/>
      <c r="G186" s="395"/>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537"/>
      <c r="B187" s="537"/>
      <c r="C187" s="537"/>
      <c r="D187" s="537"/>
      <c r="E187" s="395"/>
      <c r="F187" s="395"/>
      <c r="G187" s="395"/>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537"/>
      <c r="B188" s="537"/>
      <c r="C188" s="537"/>
      <c r="D188" s="537"/>
      <c r="E188" s="395"/>
      <c r="F188" s="395"/>
      <c r="G188" s="395"/>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537"/>
      <c r="B189" s="537"/>
      <c r="C189" s="537"/>
      <c r="D189" s="537"/>
      <c r="E189" s="395"/>
      <c r="F189" s="395"/>
      <c r="G189" s="395"/>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537"/>
      <c r="B190" s="537"/>
      <c r="C190" s="537"/>
      <c r="D190" s="537"/>
      <c r="E190" s="395"/>
      <c r="F190" s="395"/>
      <c r="G190" s="395"/>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537"/>
      <c r="B191" s="537"/>
      <c r="C191" s="537"/>
      <c r="D191" s="537"/>
      <c r="E191" s="395"/>
      <c r="F191" s="395"/>
      <c r="G191" s="395"/>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537"/>
      <c r="B192" s="537"/>
      <c r="C192" s="537"/>
      <c r="D192" s="537"/>
      <c r="E192" s="395"/>
      <c r="F192" s="395"/>
      <c r="G192" s="395"/>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537"/>
      <c r="B193" s="537"/>
      <c r="C193" s="537"/>
      <c r="D193" s="537"/>
      <c r="E193" s="395"/>
      <c r="F193" s="395"/>
      <c r="G193" s="395"/>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537"/>
      <c r="B194" s="537"/>
      <c r="C194" s="537"/>
      <c r="D194" s="537"/>
      <c r="E194" s="395"/>
      <c r="F194" s="395"/>
      <c r="G194" s="395"/>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537"/>
      <c r="B195" s="537"/>
      <c r="C195" s="537"/>
      <c r="D195" s="537"/>
      <c r="E195" s="395"/>
      <c r="F195" s="395"/>
      <c r="G195" s="395"/>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537"/>
      <c r="B196" s="537"/>
      <c r="C196" s="537"/>
      <c r="D196" s="537"/>
      <c r="E196" s="395"/>
      <c r="F196" s="395"/>
      <c r="G196" s="395"/>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537"/>
      <c r="B197" s="537"/>
      <c r="C197" s="537"/>
      <c r="D197" s="537"/>
      <c r="E197" s="395"/>
      <c r="F197" s="395"/>
      <c r="G197" s="395"/>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537"/>
      <c r="B198" s="537"/>
      <c r="C198" s="537"/>
      <c r="D198" s="537"/>
      <c r="E198" s="395"/>
      <c r="F198" s="395"/>
      <c r="G198" s="395"/>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537"/>
      <c r="B199" s="537"/>
      <c r="C199" s="537"/>
      <c r="D199" s="537"/>
      <c r="E199" s="395"/>
      <c r="F199" s="395"/>
      <c r="G199" s="395"/>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537"/>
      <c r="B200" s="537"/>
      <c r="C200" s="537"/>
      <c r="D200" s="537"/>
      <c r="E200" s="395"/>
      <c r="F200" s="395"/>
      <c r="G200" s="395"/>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537"/>
      <c r="B201" s="537"/>
      <c r="C201" s="537"/>
      <c r="D201" s="537"/>
      <c r="E201" s="395"/>
      <c r="F201" s="395"/>
      <c r="G201" s="395"/>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537"/>
      <c r="B202" s="537"/>
      <c r="C202" s="537"/>
      <c r="D202" s="537"/>
      <c r="E202" s="395"/>
      <c r="F202" s="395"/>
      <c r="G202" s="395"/>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537"/>
      <c r="B203" s="537"/>
      <c r="C203" s="537"/>
      <c r="D203" s="537"/>
      <c r="E203" s="395"/>
      <c r="F203" s="395"/>
      <c r="G203" s="395"/>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537"/>
      <c r="B204" s="537"/>
      <c r="C204" s="537"/>
      <c r="D204" s="537"/>
      <c r="E204" s="395"/>
      <c r="F204" s="395"/>
      <c r="G204" s="395"/>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537"/>
      <c r="B205" s="537"/>
      <c r="C205" s="537"/>
      <c r="D205" s="537"/>
      <c r="E205" s="395"/>
      <c r="F205" s="395"/>
      <c r="G205" s="395"/>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537"/>
      <c r="B206" s="537"/>
      <c r="C206" s="537"/>
      <c r="D206" s="537"/>
      <c r="E206" s="395"/>
      <c r="F206" s="395"/>
      <c r="G206" s="395"/>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537"/>
      <c r="B207" s="537"/>
      <c r="C207" s="537"/>
      <c r="D207" s="537"/>
      <c r="E207" s="395"/>
      <c r="F207" s="395"/>
      <c r="G207" s="395"/>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537"/>
      <c r="B208" s="537"/>
      <c r="C208" s="537"/>
      <c r="D208" s="537"/>
      <c r="E208" s="395"/>
      <c r="F208" s="395"/>
      <c r="G208" s="395"/>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537"/>
      <c r="B209" s="537"/>
      <c r="C209" s="537"/>
      <c r="D209" s="537"/>
      <c r="E209" s="395"/>
      <c r="F209" s="395"/>
      <c r="G209" s="395"/>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537"/>
      <c r="B210" s="537"/>
      <c r="C210" s="537"/>
      <c r="D210" s="537"/>
      <c r="E210" s="395"/>
      <c r="F210" s="395"/>
      <c r="G210" s="395"/>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537"/>
      <c r="B211" s="537"/>
      <c r="C211" s="537"/>
      <c r="D211" s="537"/>
      <c r="E211" s="395"/>
      <c r="F211" s="395"/>
      <c r="G211" s="395"/>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537"/>
      <c r="B212" s="537"/>
      <c r="C212" s="537"/>
      <c r="D212" s="537"/>
      <c r="E212" s="395"/>
      <c r="F212" s="395"/>
      <c r="G212" s="395"/>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537"/>
      <c r="B213" s="537"/>
      <c r="C213" s="537"/>
      <c r="D213" s="537"/>
      <c r="E213" s="395"/>
      <c r="F213" s="395"/>
      <c r="G213" s="395"/>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537"/>
      <c r="B214" s="537"/>
      <c r="C214" s="537"/>
      <c r="D214" s="537"/>
      <c r="E214" s="395"/>
      <c r="F214" s="395"/>
      <c r="G214" s="395"/>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537"/>
      <c r="B215" s="537"/>
      <c r="C215" s="537"/>
      <c r="D215" s="537"/>
      <c r="E215" s="395"/>
      <c r="F215" s="395"/>
      <c r="G215" s="395"/>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537"/>
      <c r="B216" s="537"/>
      <c r="C216" s="537"/>
      <c r="D216" s="537"/>
      <c r="E216" s="395"/>
      <c r="F216" s="395"/>
      <c r="G216" s="395"/>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537"/>
      <c r="B217" s="537"/>
      <c r="C217" s="537"/>
      <c r="D217" s="537"/>
      <c r="E217" s="395"/>
      <c r="F217" s="395"/>
      <c r="G217" s="395"/>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537"/>
      <c r="B218" s="537"/>
      <c r="C218" s="537"/>
      <c r="D218" s="537"/>
      <c r="E218" s="395"/>
      <c r="F218" s="395"/>
      <c r="G218" s="395"/>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537"/>
      <c r="B219" s="537"/>
      <c r="C219" s="537"/>
      <c r="D219" s="537"/>
      <c r="E219" s="395"/>
      <c r="F219" s="395"/>
      <c r="G219" s="395"/>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537"/>
      <c r="B220" s="537"/>
      <c r="C220" s="537"/>
      <c r="D220" s="537"/>
      <c r="E220" s="395"/>
      <c r="F220" s="395"/>
      <c r="G220" s="395"/>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537"/>
      <c r="B221" s="537"/>
      <c r="C221" s="537"/>
      <c r="D221" s="537"/>
      <c r="E221" s="395"/>
      <c r="F221" s="395"/>
      <c r="G221" s="395"/>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537"/>
      <c r="B222" s="537"/>
      <c r="C222" s="537"/>
      <c r="D222" s="537"/>
      <c r="E222" s="395"/>
      <c r="F222" s="395"/>
      <c r="G222" s="395"/>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537"/>
      <c r="B223" s="537"/>
      <c r="C223" s="537"/>
      <c r="D223" s="537"/>
      <c r="E223" s="395"/>
      <c r="F223" s="395"/>
      <c r="G223" s="395"/>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537"/>
      <c r="B224" s="537"/>
      <c r="C224" s="537"/>
      <c r="D224" s="537"/>
      <c r="E224" s="395"/>
      <c r="F224" s="395"/>
      <c r="G224" s="395"/>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537"/>
      <c r="B225" s="537"/>
      <c r="C225" s="537"/>
      <c r="D225" s="537"/>
      <c r="E225" s="395"/>
      <c r="F225" s="395"/>
      <c r="G225" s="395"/>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537"/>
      <c r="B226" s="537"/>
      <c r="C226" s="537"/>
      <c r="D226" s="537"/>
      <c r="E226" s="395"/>
      <c r="F226" s="395"/>
      <c r="G226" s="395"/>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537"/>
      <c r="B227" s="537"/>
      <c r="C227" s="537"/>
      <c r="D227" s="537"/>
      <c r="E227" s="395"/>
      <c r="F227" s="395"/>
      <c r="G227" s="395"/>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537"/>
      <c r="B228" s="537"/>
      <c r="C228" s="537"/>
      <c r="D228" s="537"/>
      <c r="E228" s="395"/>
      <c r="F228" s="395"/>
      <c r="G228" s="395"/>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537"/>
      <c r="B229" s="537"/>
      <c r="C229" s="537"/>
      <c r="D229" s="537"/>
      <c r="E229" s="395"/>
      <c r="F229" s="395"/>
      <c r="G229" s="395"/>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537"/>
      <c r="B230" s="537"/>
      <c r="C230" s="537"/>
      <c r="D230" s="537"/>
      <c r="E230" s="395"/>
      <c r="F230" s="395"/>
      <c r="G230" s="395"/>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537"/>
      <c r="B231" s="537"/>
      <c r="C231" s="537"/>
      <c r="D231" s="537"/>
      <c r="E231" s="395"/>
      <c r="F231" s="395"/>
      <c r="G231" s="395"/>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537"/>
      <c r="B232" s="537"/>
      <c r="C232" s="537"/>
      <c r="D232" s="537"/>
      <c r="E232" s="395"/>
      <c r="F232" s="395"/>
      <c r="G232" s="395"/>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537"/>
      <c r="B233" s="537"/>
      <c r="C233" s="537"/>
      <c r="D233" s="537"/>
      <c r="E233" s="395"/>
      <c r="F233" s="395"/>
      <c r="G233" s="395"/>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537"/>
      <c r="B234" s="537"/>
      <c r="C234" s="537"/>
      <c r="D234" s="537"/>
      <c r="E234" s="395"/>
      <c r="F234" s="395"/>
      <c r="G234" s="395"/>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537"/>
      <c r="B235" s="537"/>
      <c r="C235" s="537"/>
      <c r="D235" s="537"/>
      <c r="E235" s="395"/>
      <c r="F235" s="395"/>
      <c r="G235" s="395"/>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537"/>
      <c r="B236" s="537"/>
      <c r="C236" s="537"/>
      <c r="D236" s="537"/>
      <c r="E236" s="395"/>
      <c r="F236" s="395"/>
      <c r="G236" s="395"/>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537"/>
      <c r="B237" s="537"/>
      <c r="C237" s="537"/>
      <c r="D237" s="537"/>
      <c r="E237" s="395"/>
      <c r="F237" s="395"/>
      <c r="G237" s="395"/>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537"/>
      <c r="B238" s="537"/>
      <c r="C238" s="537"/>
      <c r="D238" s="537"/>
      <c r="E238" s="395"/>
      <c r="F238" s="395"/>
      <c r="G238" s="395"/>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537"/>
      <c r="B239" s="537"/>
      <c r="C239" s="537"/>
      <c r="D239" s="537"/>
      <c r="E239" s="395"/>
      <c r="F239" s="395"/>
      <c r="G239" s="395"/>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537"/>
      <c r="B240" s="537"/>
      <c r="C240" s="537"/>
      <c r="D240" s="537"/>
      <c r="E240" s="395"/>
      <c r="F240" s="395"/>
      <c r="G240" s="395"/>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537"/>
      <c r="B241" s="537"/>
      <c r="C241" s="537"/>
      <c r="D241" s="537"/>
      <c r="E241" s="395"/>
      <c r="F241" s="395"/>
      <c r="G241" s="395"/>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537"/>
      <c r="B242" s="537"/>
      <c r="C242" s="537"/>
      <c r="D242" s="537"/>
      <c r="E242" s="395"/>
      <c r="F242" s="395"/>
      <c r="G242" s="395"/>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537"/>
      <c r="B243" s="537"/>
      <c r="C243" s="537"/>
      <c r="D243" s="537"/>
      <c r="E243" s="395"/>
      <c r="F243" s="395"/>
      <c r="G243" s="395"/>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537"/>
      <c r="B244" s="537"/>
      <c r="C244" s="537"/>
      <c r="D244" s="537"/>
      <c r="E244" s="395"/>
      <c r="F244" s="395"/>
      <c r="G244" s="395"/>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537"/>
      <c r="B245" s="537"/>
      <c r="C245" s="537"/>
      <c r="D245" s="537"/>
      <c r="E245" s="395"/>
      <c r="F245" s="395"/>
      <c r="G245" s="395"/>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537"/>
      <c r="B246" s="537"/>
      <c r="C246" s="537"/>
      <c r="D246" s="537"/>
      <c r="E246" s="395"/>
      <c r="F246" s="395"/>
      <c r="G246" s="395"/>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537"/>
      <c r="B247" s="537"/>
      <c r="C247" s="537"/>
      <c r="D247" s="537"/>
      <c r="E247" s="395"/>
      <c r="F247" s="395"/>
      <c r="G247" s="395"/>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537"/>
      <c r="B248" s="537"/>
      <c r="C248" s="537"/>
      <c r="D248" s="537"/>
      <c r="E248" s="395"/>
      <c r="F248" s="395"/>
      <c r="G248" s="395"/>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537"/>
      <c r="B249" s="537"/>
      <c r="C249" s="537"/>
      <c r="D249" s="537"/>
      <c r="E249" s="395"/>
      <c r="F249" s="395"/>
      <c r="G249" s="395"/>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537"/>
      <c r="B250" s="537"/>
      <c r="C250" s="537"/>
      <c r="D250" s="537"/>
      <c r="E250" s="395"/>
      <c r="F250" s="395"/>
      <c r="G250" s="395"/>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537"/>
      <c r="B251" s="537"/>
      <c r="C251" s="537"/>
      <c r="D251" s="537"/>
      <c r="E251" s="395"/>
      <c r="F251" s="395"/>
      <c r="G251" s="395"/>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537"/>
      <c r="B252" s="537"/>
      <c r="C252" s="537"/>
      <c r="D252" s="537"/>
      <c r="E252" s="395"/>
      <c r="F252" s="395"/>
      <c r="G252" s="395"/>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537"/>
      <c r="B253" s="537"/>
      <c r="C253" s="537"/>
      <c r="D253" s="537"/>
      <c r="E253" s="395"/>
      <c r="F253" s="395"/>
      <c r="G253" s="395"/>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537"/>
      <c r="B254" s="537"/>
      <c r="C254" s="537"/>
      <c r="D254" s="537"/>
      <c r="E254" s="395"/>
      <c r="F254" s="395"/>
      <c r="G254" s="395"/>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537"/>
      <c r="B255" s="537"/>
      <c r="C255" s="537"/>
      <c r="D255" s="537"/>
      <c r="E255" s="395"/>
      <c r="F255" s="395"/>
      <c r="G255" s="395"/>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537"/>
      <c r="B256" s="537"/>
      <c r="C256" s="537"/>
      <c r="D256" s="537"/>
      <c r="E256" s="395"/>
      <c r="F256" s="395"/>
      <c r="G256" s="395"/>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537"/>
      <c r="B257" s="537"/>
      <c r="C257" s="537"/>
      <c r="D257" s="537"/>
      <c r="E257" s="395"/>
      <c r="F257" s="395"/>
      <c r="G257" s="395"/>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537"/>
      <c r="B258" s="537"/>
      <c r="C258" s="537"/>
      <c r="D258" s="537"/>
      <c r="E258" s="395"/>
      <c r="F258" s="395"/>
      <c r="G258" s="395"/>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537"/>
      <c r="B259" s="537"/>
      <c r="C259" s="537"/>
      <c r="D259" s="537"/>
      <c r="E259" s="395"/>
      <c r="F259" s="395"/>
      <c r="G259" s="395"/>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537"/>
      <c r="B260" s="537"/>
      <c r="C260" s="537"/>
      <c r="D260" s="537"/>
      <c r="E260" s="395"/>
      <c r="F260" s="395"/>
      <c r="G260" s="395"/>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537"/>
      <c r="B261" s="537"/>
      <c r="C261" s="537"/>
      <c r="D261" s="537"/>
      <c r="E261" s="395"/>
      <c r="F261" s="395"/>
      <c r="G261" s="395"/>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537"/>
      <c r="B262" s="537"/>
      <c r="C262" s="537"/>
      <c r="D262" s="537"/>
      <c r="E262" s="395"/>
      <c r="F262" s="395"/>
      <c r="G262" s="395"/>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537"/>
      <c r="B263" s="537"/>
      <c r="C263" s="537"/>
      <c r="D263" s="537"/>
      <c r="E263" s="395"/>
      <c r="F263" s="395"/>
      <c r="G263" s="395"/>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537"/>
      <c r="B264" s="537"/>
      <c r="C264" s="537"/>
      <c r="D264" s="537"/>
      <c r="E264" s="395"/>
      <c r="F264" s="395"/>
      <c r="G264" s="395"/>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537"/>
      <c r="B265" s="537"/>
      <c r="C265" s="537"/>
      <c r="D265" s="537"/>
      <c r="E265" s="395"/>
      <c r="F265" s="395"/>
      <c r="G265" s="395"/>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537"/>
      <c r="B266" s="537"/>
      <c r="C266" s="537"/>
      <c r="D266" s="537"/>
      <c r="E266" s="395"/>
      <c r="F266" s="395"/>
      <c r="G266" s="395"/>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537"/>
      <c r="B267" s="537"/>
      <c r="C267" s="537"/>
      <c r="D267" s="537"/>
      <c r="E267" s="395"/>
      <c r="F267" s="395"/>
      <c r="G267" s="395"/>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537"/>
      <c r="B268" s="537"/>
      <c r="C268" s="537"/>
      <c r="D268" s="537"/>
      <c r="E268" s="395"/>
      <c r="F268" s="395"/>
      <c r="G268" s="395"/>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537"/>
      <c r="B269" s="537"/>
      <c r="C269" s="537"/>
      <c r="D269" s="537"/>
      <c r="E269" s="395"/>
      <c r="F269" s="395"/>
      <c r="G269" s="395"/>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537"/>
      <c r="B270" s="537"/>
      <c r="C270" s="537"/>
      <c r="D270" s="537"/>
      <c r="E270" s="395"/>
      <c r="F270" s="395"/>
      <c r="G270" s="395"/>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537"/>
      <c r="B271" s="537"/>
      <c r="C271" s="537"/>
      <c r="D271" s="537"/>
      <c r="E271" s="395"/>
      <c r="F271" s="395"/>
      <c r="G271" s="395"/>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537"/>
      <c r="B272" s="537"/>
      <c r="C272" s="537"/>
      <c r="D272" s="537"/>
      <c r="E272" s="395"/>
      <c r="F272" s="395"/>
      <c r="G272" s="395"/>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537"/>
      <c r="B273" s="537"/>
      <c r="C273" s="537"/>
      <c r="D273" s="537"/>
      <c r="E273" s="395"/>
      <c r="F273" s="395"/>
      <c r="G273" s="395"/>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537"/>
      <c r="B274" s="537"/>
      <c r="C274" s="537"/>
      <c r="D274" s="537"/>
      <c r="E274" s="395"/>
      <c r="F274" s="395"/>
      <c r="G274" s="395"/>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537"/>
      <c r="B275" s="537"/>
      <c r="C275" s="537"/>
      <c r="D275" s="537"/>
      <c r="E275" s="395"/>
      <c r="F275" s="395"/>
      <c r="G275" s="395"/>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537"/>
      <c r="B276" s="537"/>
      <c r="C276" s="537"/>
      <c r="D276" s="537"/>
      <c r="E276" s="395"/>
      <c r="F276" s="395"/>
      <c r="G276" s="395"/>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537"/>
      <c r="B277" s="537"/>
      <c r="C277" s="537"/>
      <c r="D277" s="537"/>
      <c r="E277" s="395"/>
      <c r="F277" s="395"/>
      <c r="G277" s="395"/>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537"/>
      <c r="B278" s="537"/>
      <c r="C278" s="537"/>
      <c r="D278" s="537"/>
      <c r="E278" s="395"/>
      <c r="F278" s="395"/>
      <c r="G278" s="395"/>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537"/>
      <c r="B279" s="537"/>
      <c r="C279" s="537"/>
      <c r="D279" s="537"/>
      <c r="E279" s="395"/>
      <c r="F279" s="395"/>
      <c r="G279" s="395"/>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537"/>
      <c r="B280" s="537"/>
      <c r="C280" s="537"/>
      <c r="D280" s="537"/>
      <c r="E280" s="395"/>
      <c r="F280" s="395"/>
      <c r="G280" s="395"/>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537"/>
      <c r="B281" s="537"/>
      <c r="C281" s="537"/>
      <c r="D281" s="537"/>
      <c r="E281" s="395"/>
      <c r="F281" s="395"/>
      <c r="G281" s="395"/>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537"/>
      <c r="B282" s="537"/>
      <c r="C282" s="537"/>
      <c r="D282" s="537"/>
      <c r="E282" s="395"/>
      <c r="F282" s="395"/>
      <c r="G282" s="395"/>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537"/>
      <c r="B283" s="537"/>
      <c r="C283" s="537"/>
      <c r="D283" s="537"/>
      <c r="E283" s="395"/>
      <c r="F283" s="395"/>
      <c r="G283" s="395"/>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537"/>
      <c r="B284" s="537"/>
      <c r="C284" s="537"/>
      <c r="D284" s="537"/>
      <c r="E284" s="395"/>
      <c r="F284" s="395"/>
      <c r="G284" s="395"/>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537"/>
      <c r="B285" s="537"/>
      <c r="C285" s="537"/>
      <c r="D285" s="537"/>
      <c r="E285" s="395"/>
      <c r="F285" s="395"/>
      <c r="G285" s="395"/>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537"/>
      <c r="B286" s="537"/>
      <c r="C286" s="537"/>
      <c r="D286" s="537"/>
      <c r="E286" s="395"/>
      <c r="F286" s="395"/>
      <c r="G286" s="395"/>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537"/>
      <c r="B287" s="537"/>
      <c r="C287" s="537"/>
      <c r="D287" s="537"/>
      <c r="E287" s="395"/>
      <c r="F287" s="395"/>
      <c r="G287" s="395"/>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537"/>
      <c r="B288" s="537"/>
      <c r="C288" s="537"/>
      <c r="D288" s="537"/>
      <c r="E288" s="395"/>
      <c r="F288" s="395"/>
      <c r="G288" s="395"/>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537"/>
      <c r="B289" s="537"/>
      <c r="C289" s="537"/>
      <c r="D289" s="537"/>
      <c r="E289" s="395"/>
      <c r="F289" s="395"/>
      <c r="G289" s="395"/>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537"/>
      <c r="B290" s="537"/>
      <c r="C290" s="537"/>
      <c r="D290" s="537"/>
      <c r="E290" s="395"/>
      <c r="F290" s="395"/>
      <c r="G290" s="395"/>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537"/>
      <c r="B291" s="537"/>
      <c r="C291" s="537"/>
      <c r="D291" s="537"/>
      <c r="E291" s="395"/>
      <c r="F291" s="395"/>
      <c r="G291" s="395"/>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537"/>
      <c r="B292" s="537"/>
      <c r="C292" s="537"/>
      <c r="D292" s="537"/>
      <c r="E292" s="395"/>
      <c r="F292" s="395"/>
      <c r="G292" s="395"/>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537"/>
      <c r="B293" s="537"/>
      <c r="C293" s="537"/>
      <c r="D293" s="537"/>
      <c r="E293" s="395"/>
      <c r="F293" s="395"/>
      <c r="G293" s="395"/>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537"/>
      <c r="B294" s="537"/>
      <c r="C294" s="537"/>
      <c r="D294" s="537"/>
      <c r="E294" s="395"/>
      <c r="F294" s="395"/>
      <c r="G294" s="395"/>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537"/>
      <c r="B295" s="537"/>
      <c r="C295" s="537"/>
      <c r="D295" s="537"/>
      <c r="E295" s="395"/>
      <c r="F295" s="395"/>
      <c r="G295" s="395"/>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537"/>
      <c r="B296" s="537"/>
      <c r="C296" s="537"/>
      <c r="D296" s="537"/>
      <c r="E296" s="395"/>
      <c r="F296" s="395"/>
      <c r="G296" s="395"/>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537"/>
      <c r="B297" s="537"/>
      <c r="C297" s="537"/>
      <c r="D297" s="537"/>
      <c r="E297" s="395"/>
      <c r="F297" s="395"/>
      <c r="G297" s="395"/>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537"/>
      <c r="B298" s="537"/>
      <c r="C298" s="537"/>
      <c r="D298" s="537"/>
      <c r="E298" s="395"/>
      <c r="F298" s="395"/>
      <c r="G298" s="395"/>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537"/>
      <c r="B299" s="537"/>
      <c r="C299" s="537"/>
      <c r="D299" s="537"/>
      <c r="E299" s="395"/>
      <c r="F299" s="395"/>
      <c r="G299" s="395"/>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537"/>
      <c r="B300" s="537"/>
      <c r="C300" s="537"/>
      <c r="D300" s="537"/>
      <c r="E300" s="395"/>
      <c r="F300" s="395"/>
      <c r="G300" s="395"/>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537"/>
      <c r="B301" s="537"/>
      <c r="C301" s="537"/>
      <c r="D301" s="537"/>
      <c r="E301" s="395"/>
      <c r="F301" s="395"/>
      <c r="G301" s="395"/>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537"/>
      <c r="B302" s="537"/>
      <c r="C302" s="537"/>
      <c r="D302" s="537"/>
      <c r="E302" s="395"/>
      <c r="F302" s="395"/>
      <c r="G302" s="395"/>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537"/>
      <c r="B303" s="537"/>
      <c r="C303" s="537"/>
      <c r="D303" s="537"/>
      <c r="E303" s="395"/>
      <c r="F303" s="395"/>
      <c r="G303" s="395"/>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537"/>
      <c r="B304" s="537"/>
      <c r="C304" s="537"/>
      <c r="D304" s="537"/>
      <c r="E304" s="395"/>
      <c r="F304" s="395"/>
      <c r="G304" s="395"/>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537"/>
      <c r="B305" s="537"/>
      <c r="C305" s="537"/>
      <c r="D305" s="537"/>
      <c r="E305" s="395"/>
      <c r="F305" s="395"/>
      <c r="G305" s="395"/>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537"/>
      <c r="B306" s="537"/>
      <c r="C306" s="537"/>
      <c r="D306" s="537"/>
      <c r="E306" s="395"/>
      <c r="F306" s="395"/>
      <c r="G306" s="395"/>
      <c r="H306" s="7"/>
      <c r="I306" s="7"/>
      <c r="J306" s="7"/>
      <c r="K306" s="7"/>
      <c r="L306" s="7"/>
      <c r="M306" s="7"/>
      <c r="N306" s="7"/>
      <c r="O306" s="7"/>
      <c r="P306" s="7"/>
      <c r="Q306" s="7"/>
      <c r="R306" s="7"/>
      <c r="S306" s="7"/>
      <c r="T306" s="7"/>
      <c r="U306" s="7"/>
      <c r="V306" s="7"/>
      <c r="W306" s="7"/>
      <c r="X306" s="7"/>
      <c r="Y306" s="7"/>
      <c r="Z306" s="7"/>
    </row>
    <row r="307" spans="1:26" ht="15.75" customHeight="1" x14ac:dyDescent="0.25">
      <c r="A307" s="537"/>
      <c r="B307" s="537"/>
      <c r="C307" s="537"/>
      <c r="D307" s="537"/>
      <c r="E307" s="395"/>
      <c r="F307" s="395"/>
      <c r="G307" s="395"/>
      <c r="H307" s="7"/>
      <c r="I307" s="7"/>
      <c r="J307" s="7"/>
      <c r="K307" s="7"/>
      <c r="L307" s="7"/>
      <c r="M307" s="7"/>
      <c r="N307" s="7"/>
      <c r="O307" s="7"/>
      <c r="P307" s="7"/>
      <c r="Q307" s="7"/>
      <c r="R307" s="7"/>
      <c r="S307" s="7"/>
      <c r="T307" s="7"/>
      <c r="U307" s="7"/>
      <c r="V307" s="7"/>
      <c r="W307" s="7"/>
      <c r="X307" s="7"/>
      <c r="Y307" s="7"/>
      <c r="Z307" s="7"/>
    </row>
    <row r="308" spans="1:26" ht="15.75" customHeight="1" x14ac:dyDescent="0.25">
      <c r="A308" s="537"/>
      <c r="B308" s="537"/>
      <c r="C308" s="537"/>
      <c r="D308" s="537"/>
      <c r="E308" s="395"/>
      <c r="F308" s="395"/>
      <c r="G308" s="395"/>
      <c r="H308" s="7"/>
      <c r="I308" s="7"/>
      <c r="J308" s="7"/>
      <c r="K308" s="7"/>
      <c r="L308" s="7"/>
      <c r="M308" s="7"/>
      <c r="N308" s="7"/>
      <c r="O308" s="7"/>
      <c r="P308" s="7"/>
      <c r="Q308" s="7"/>
      <c r="R308" s="7"/>
      <c r="S308" s="7"/>
      <c r="T308" s="7"/>
      <c r="U308" s="7"/>
      <c r="V308" s="7"/>
      <c r="W308" s="7"/>
      <c r="X308" s="7"/>
      <c r="Y308" s="7"/>
      <c r="Z308" s="7"/>
    </row>
    <row r="309" spans="1:26" ht="15.75" customHeight="1" x14ac:dyDescent="0.25">
      <c r="A309" s="537"/>
      <c r="B309" s="537"/>
      <c r="C309" s="537"/>
      <c r="D309" s="537"/>
      <c r="E309" s="395"/>
      <c r="F309" s="395"/>
      <c r="G309" s="395"/>
      <c r="H309" s="7"/>
      <c r="I309" s="7"/>
      <c r="J309" s="7"/>
      <c r="K309" s="7"/>
      <c r="L309" s="7"/>
      <c r="M309" s="7"/>
      <c r="N309" s="7"/>
      <c r="O309" s="7"/>
      <c r="P309" s="7"/>
      <c r="Q309" s="7"/>
      <c r="R309" s="7"/>
      <c r="S309" s="7"/>
      <c r="T309" s="7"/>
      <c r="U309" s="7"/>
      <c r="V309" s="7"/>
      <c r="W309" s="7"/>
      <c r="X309" s="7"/>
      <c r="Y309" s="7"/>
      <c r="Z309" s="7"/>
    </row>
    <row r="310" spans="1:26" ht="15.75" customHeight="1" x14ac:dyDescent="0.25">
      <c r="A310" s="537"/>
      <c r="B310" s="537"/>
      <c r="C310" s="537"/>
      <c r="D310" s="537"/>
      <c r="E310" s="395"/>
      <c r="F310" s="395"/>
      <c r="G310" s="395"/>
      <c r="H310" s="7"/>
      <c r="I310" s="7"/>
      <c r="J310" s="7"/>
      <c r="K310" s="7"/>
      <c r="L310" s="7"/>
      <c r="M310" s="7"/>
      <c r="N310" s="7"/>
      <c r="O310" s="7"/>
      <c r="P310" s="7"/>
      <c r="Q310" s="7"/>
      <c r="R310" s="7"/>
      <c r="S310" s="7"/>
      <c r="T310" s="7"/>
      <c r="U310" s="7"/>
      <c r="V310" s="7"/>
      <c r="W310" s="7"/>
      <c r="X310" s="7"/>
      <c r="Y310" s="7"/>
      <c r="Z310" s="7"/>
    </row>
    <row r="311" spans="1:26" ht="15.75" customHeight="1" x14ac:dyDescent="0.25">
      <c r="A311" s="537"/>
      <c r="B311" s="537"/>
      <c r="C311" s="537"/>
      <c r="D311" s="537"/>
      <c r="E311" s="395"/>
      <c r="F311" s="395"/>
      <c r="G311" s="395"/>
      <c r="H311" s="7"/>
      <c r="I311" s="7"/>
      <c r="J311" s="7"/>
      <c r="K311" s="7"/>
      <c r="L311" s="7"/>
      <c r="M311" s="7"/>
      <c r="N311" s="7"/>
      <c r="O311" s="7"/>
      <c r="P311" s="7"/>
      <c r="Q311" s="7"/>
      <c r="R311" s="7"/>
      <c r="S311" s="7"/>
      <c r="T311" s="7"/>
      <c r="U311" s="7"/>
      <c r="V311" s="7"/>
      <c r="W311" s="7"/>
      <c r="X311" s="7"/>
      <c r="Y311" s="7"/>
      <c r="Z311" s="7"/>
    </row>
    <row r="312" spans="1:26" ht="15.75" customHeight="1" x14ac:dyDescent="0.25">
      <c r="A312" s="537"/>
      <c r="B312" s="537"/>
      <c r="C312" s="537"/>
      <c r="D312" s="537"/>
      <c r="E312" s="395"/>
      <c r="F312" s="395"/>
      <c r="G312" s="395"/>
      <c r="H312" s="7"/>
      <c r="I312" s="7"/>
      <c r="J312" s="7"/>
      <c r="K312" s="7"/>
      <c r="L312" s="7"/>
      <c r="M312" s="7"/>
      <c r="N312" s="7"/>
      <c r="O312" s="7"/>
      <c r="P312" s="7"/>
      <c r="Q312" s="7"/>
      <c r="R312" s="7"/>
      <c r="S312" s="7"/>
      <c r="T312" s="7"/>
      <c r="U312" s="7"/>
      <c r="V312" s="7"/>
      <c r="W312" s="7"/>
      <c r="X312" s="7"/>
      <c r="Y312" s="7"/>
      <c r="Z312" s="7"/>
    </row>
    <row r="313" spans="1:26" ht="15.75" customHeight="1" x14ac:dyDescent="0.25">
      <c r="A313" s="537"/>
      <c r="B313" s="537"/>
      <c r="C313" s="537"/>
      <c r="D313" s="537"/>
      <c r="E313" s="395"/>
      <c r="F313" s="395"/>
      <c r="G313" s="395"/>
      <c r="H313" s="7"/>
      <c r="I313" s="7"/>
      <c r="J313" s="7"/>
      <c r="K313" s="7"/>
      <c r="L313" s="7"/>
      <c r="M313" s="7"/>
      <c r="N313" s="7"/>
      <c r="O313" s="7"/>
      <c r="P313" s="7"/>
      <c r="Q313" s="7"/>
      <c r="R313" s="7"/>
      <c r="S313" s="7"/>
      <c r="T313" s="7"/>
      <c r="U313" s="7"/>
      <c r="V313" s="7"/>
      <c r="W313" s="7"/>
      <c r="X313" s="7"/>
      <c r="Y313" s="7"/>
      <c r="Z313" s="7"/>
    </row>
    <row r="314" spans="1:26" ht="15.75" customHeight="1" x14ac:dyDescent="0.25">
      <c r="A314" s="537"/>
      <c r="B314" s="537"/>
      <c r="C314" s="537"/>
      <c r="D314" s="537"/>
      <c r="E314" s="395"/>
      <c r="F314" s="395"/>
      <c r="G314" s="395"/>
      <c r="H314" s="7"/>
      <c r="I314" s="7"/>
      <c r="J314" s="7"/>
      <c r="K314" s="7"/>
      <c r="L314" s="7"/>
      <c r="M314" s="7"/>
      <c r="N314" s="7"/>
      <c r="O314" s="7"/>
      <c r="P314" s="7"/>
      <c r="Q314" s="7"/>
      <c r="R314" s="7"/>
      <c r="S314" s="7"/>
      <c r="T314" s="7"/>
      <c r="U314" s="7"/>
      <c r="V314" s="7"/>
      <c r="W314" s="7"/>
      <c r="X314" s="7"/>
      <c r="Y314" s="7"/>
      <c r="Z314" s="7"/>
    </row>
    <row r="315" spans="1:26" ht="15.75" customHeight="1" x14ac:dyDescent="0.25">
      <c r="A315" s="537"/>
      <c r="B315" s="537"/>
      <c r="C315" s="537"/>
      <c r="D315" s="537"/>
      <c r="E315" s="395"/>
      <c r="F315" s="395"/>
      <c r="G315" s="395"/>
      <c r="H315" s="7"/>
      <c r="I315" s="7"/>
      <c r="J315" s="7"/>
      <c r="K315" s="7"/>
      <c r="L315" s="7"/>
      <c r="M315" s="7"/>
      <c r="N315" s="7"/>
      <c r="O315" s="7"/>
      <c r="P315" s="7"/>
      <c r="Q315" s="7"/>
      <c r="R315" s="7"/>
      <c r="S315" s="7"/>
      <c r="T315" s="7"/>
      <c r="U315" s="7"/>
      <c r="V315" s="7"/>
      <c r="W315" s="7"/>
      <c r="X315" s="7"/>
      <c r="Y315" s="7"/>
      <c r="Z315" s="7"/>
    </row>
    <row r="316" spans="1:26" ht="15.75" customHeight="1" x14ac:dyDescent="0.25">
      <c r="A316" s="537"/>
      <c r="B316" s="537"/>
      <c r="C316" s="537"/>
      <c r="D316" s="537"/>
      <c r="E316" s="395"/>
      <c r="F316" s="395"/>
      <c r="G316" s="395"/>
      <c r="H316" s="7"/>
      <c r="I316" s="7"/>
      <c r="J316" s="7"/>
      <c r="K316" s="7"/>
      <c r="L316" s="7"/>
      <c r="M316" s="7"/>
      <c r="N316" s="7"/>
      <c r="O316" s="7"/>
      <c r="P316" s="7"/>
      <c r="Q316" s="7"/>
      <c r="R316" s="7"/>
      <c r="S316" s="7"/>
      <c r="T316" s="7"/>
      <c r="U316" s="7"/>
      <c r="V316" s="7"/>
      <c r="W316" s="7"/>
      <c r="X316" s="7"/>
      <c r="Y316" s="7"/>
      <c r="Z316" s="7"/>
    </row>
    <row r="317" spans="1:26" ht="15.75" customHeight="1" x14ac:dyDescent="0.25">
      <c r="A317" s="537"/>
      <c r="B317" s="537"/>
      <c r="C317" s="537"/>
      <c r="D317" s="537"/>
      <c r="E317" s="395"/>
      <c r="F317" s="395"/>
      <c r="G317" s="395"/>
      <c r="H317" s="7"/>
      <c r="I317" s="7"/>
      <c r="J317" s="7"/>
      <c r="K317" s="7"/>
      <c r="L317" s="7"/>
      <c r="M317" s="7"/>
      <c r="N317" s="7"/>
      <c r="O317" s="7"/>
      <c r="P317" s="7"/>
      <c r="Q317" s="7"/>
      <c r="R317" s="7"/>
      <c r="S317" s="7"/>
      <c r="T317" s="7"/>
      <c r="U317" s="7"/>
      <c r="V317" s="7"/>
      <c r="W317" s="7"/>
      <c r="X317" s="7"/>
      <c r="Y317" s="7"/>
      <c r="Z317" s="7"/>
    </row>
    <row r="318" spans="1:26" ht="15.75" customHeight="1" x14ac:dyDescent="0.25">
      <c r="A318" s="537"/>
      <c r="B318" s="537"/>
      <c r="C318" s="537"/>
      <c r="D318" s="537"/>
      <c r="E318" s="395"/>
      <c r="F318" s="395"/>
      <c r="G318" s="395"/>
      <c r="H318" s="7"/>
      <c r="I318" s="7"/>
      <c r="J318" s="7"/>
      <c r="K318" s="7"/>
      <c r="L318" s="7"/>
      <c r="M318" s="7"/>
      <c r="N318" s="7"/>
      <c r="O318" s="7"/>
      <c r="P318" s="7"/>
      <c r="Q318" s="7"/>
      <c r="R318" s="7"/>
      <c r="S318" s="7"/>
      <c r="T318" s="7"/>
      <c r="U318" s="7"/>
      <c r="V318" s="7"/>
      <c r="W318" s="7"/>
      <c r="X318" s="7"/>
      <c r="Y318" s="7"/>
      <c r="Z318" s="7"/>
    </row>
    <row r="319" spans="1:26" ht="15.75" customHeight="1" x14ac:dyDescent="0.25">
      <c r="A319" s="537"/>
      <c r="B319" s="537"/>
      <c r="C319" s="537"/>
      <c r="D319" s="537"/>
      <c r="E319" s="395"/>
      <c r="F319" s="395"/>
      <c r="G319" s="395"/>
      <c r="H319" s="7"/>
      <c r="I319" s="7"/>
      <c r="J319" s="7"/>
      <c r="K319" s="7"/>
      <c r="L319" s="7"/>
      <c r="M319" s="7"/>
      <c r="N319" s="7"/>
      <c r="O319" s="7"/>
      <c r="P319" s="7"/>
      <c r="Q319" s="7"/>
      <c r="R319" s="7"/>
      <c r="S319" s="7"/>
      <c r="T319" s="7"/>
      <c r="U319" s="7"/>
      <c r="V319" s="7"/>
      <c r="W319" s="7"/>
      <c r="X319" s="7"/>
      <c r="Y319" s="7"/>
      <c r="Z319" s="7"/>
    </row>
    <row r="320" spans="1:26" ht="15.75" customHeight="1" x14ac:dyDescent="0.25">
      <c r="A320" s="537"/>
      <c r="B320" s="537"/>
      <c r="C320" s="537"/>
      <c r="D320" s="537"/>
      <c r="E320" s="395"/>
      <c r="F320" s="395"/>
      <c r="G320" s="395"/>
      <c r="H320" s="7"/>
      <c r="I320" s="7"/>
      <c r="J320" s="7"/>
      <c r="K320" s="7"/>
      <c r="L320" s="7"/>
      <c r="M320" s="7"/>
      <c r="N320" s="7"/>
      <c r="O320" s="7"/>
      <c r="P320" s="7"/>
      <c r="Q320" s="7"/>
      <c r="R320" s="7"/>
      <c r="S320" s="7"/>
      <c r="T320" s="7"/>
      <c r="U320" s="7"/>
      <c r="V320" s="7"/>
      <c r="W320" s="7"/>
      <c r="X320" s="7"/>
      <c r="Y320" s="7"/>
      <c r="Z320" s="7"/>
    </row>
    <row r="321" spans="1:26" ht="15.75" customHeight="1" x14ac:dyDescent="0.25">
      <c r="A321" s="537"/>
      <c r="B321" s="537"/>
      <c r="C321" s="537"/>
      <c r="D321" s="537"/>
      <c r="E321" s="395"/>
      <c r="F321" s="395"/>
      <c r="G321" s="395"/>
      <c r="H321" s="7"/>
      <c r="I321" s="7"/>
      <c r="J321" s="7"/>
      <c r="K321" s="7"/>
      <c r="L321" s="7"/>
      <c r="M321" s="7"/>
      <c r="N321" s="7"/>
      <c r="O321" s="7"/>
      <c r="P321" s="7"/>
      <c r="Q321" s="7"/>
      <c r="R321" s="7"/>
      <c r="S321" s="7"/>
      <c r="T321" s="7"/>
      <c r="U321" s="7"/>
      <c r="V321" s="7"/>
      <c r="W321" s="7"/>
      <c r="X321" s="7"/>
      <c r="Y321" s="7"/>
      <c r="Z321" s="7"/>
    </row>
    <row r="322" spans="1:26" ht="15.75" customHeight="1" x14ac:dyDescent="0.25">
      <c r="A322" s="537"/>
      <c r="B322" s="537"/>
      <c r="C322" s="537"/>
      <c r="D322" s="537"/>
      <c r="E322" s="395"/>
      <c r="F322" s="395"/>
      <c r="G322" s="395"/>
      <c r="H322" s="7"/>
      <c r="I322" s="7"/>
      <c r="J322" s="7"/>
      <c r="K322" s="7"/>
      <c r="L322" s="7"/>
      <c r="M322" s="7"/>
      <c r="N322" s="7"/>
      <c r="O322" s="7"/>
      <c r="P322" s="7"/>
      <c r="Q322" s="7"/>
      <c r="R322" s="7"/>
      <c r="S322" s="7"/>
      <c r="T322" s="7"/>
      <c r="U322" s="7"/>
      <c r="V322" s="7"/>
      <c r="W322" s="7"/>
      <c r="X322" s="7"/>
      <c r="Y322" s="7"/>
      <c r="Z322" s="7"/>
    </row>
    <row r="323" spans="1:26" ht="15.75" customHeight="1" x14ac:dyDescent="0.25">
      <c r="A323" s="537"/>
      <c r="B323" s="537"/>
      <c r="C323" s="537"/>
      <c r="D323" s="537"/>
      <c r="E323" s="395"/>
      <c r="F323" s="395"/>
      <c r="G323" s="395"/>
      <c r="H323" s="7"/>
      <c r="I323" s="7"/>
      <c r="J323" s="7"/>
      <c r="K323" s="7"/>
      <c r="L323" s="7"/>
      <c r="M323" s="7"/>
      <c r="N323" s="7"/>
      <c r="O323" s="7"/>
      <c r="P323" s="7"/>
      <c r="Q323" s="7"/>
      <c r="R323" s="7"/>
      <c r="S323" s="7"/>
      <c r="T323" s="7"/>
      <c r="U323" s="7"/>
      <c r="V323" s="7"/>
      <c r="W323" s="7"/>
      <c r="X323" s="7"/>
      <c r="Y323" s="7"/>
      <c r="Z323" s="7"/>
    </row>
    <row r="324" spans="1:26" ht="15.75" customHeight="1" x14ac:dyDescent="0.25">
      <c r="A324" s="537"/>
      <c r="B324" s="537"/>
      <c r="C324" s="537"/>
      <c r="D324" s="537"/>
      <c r="E324" s="395"/>
      <c r="F324" s="395"/>
      <c r="G324" s="395"/>
      <c r="H324" s="7"/>
      <c r="I324" s="7"/>
      <c r="J324" s="7"/>
      <c r="K324" s="7"/>
      <c r="L324" s="7"/>
      <c r="M324" s="7"/>
      <c r="N324" s="7"/>
      <c r="O324" s="7"/>
      <c r="P324" s="7"/>
      <c r="Q324" s="7"/>
      <c r="R324" s="7"/>
      <c r="S324" s="7"/>
      <c r="T324" s="7"/>
      <c r="U324" s="7"/>
      <c r="V324" s="7"/>
      <c r="W324" s="7"/>
      <c r="X324" s="7"/>
      <c r="Y324" s="7"/>
      <c r="Z324" s="7"/>
    </row>
    <row r="325" spans="1:26" ht="15.75" customHeight="1" x14ac:dyDescent="0.25">
      <c r="A325" s="537"/>
      <c r="B325" s="537"/>
      <c r="C325" s="537"/>
      <c r="D325" s="537"/>
      <c r="E325" s="395"/>
      <c r="F325" s="395"/>
      <c r="G325" s="395"/>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537"/>
      <c r="B326" s="537"/>
      <c r="C326" s="537"/>
      <c r="D326" s="537"/>
      <c r="E326" s="395"/>
      <c r="F326" s="395"/>
      <c r="G326" s="395"/>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537"/>
      <c r="B327" s="537"/>
      <c r="C327" s="537"/>
      <c r="D327" s="537"/>
      <c r="E327" s="395"/>
      <c r="F327" s="395"/>
      <c r="G327" s="395"/>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537"/>
      <c r="B328" s="537"/>
      <c r="C328" s="537"/>
      <c r="D328" s="537"/>
      <c r="E328" s="395"/>
      <c r="F328" s="395"/>
      <c r="G328" s="395"/>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537"/>
      <c r="B329" s="537"/>
      <c r="C329" s="537"/>
      <c r="D329" s="537"/>
      <c r="E329" s="395"/>
      <c r="F329" s="395"/>
      <c r="G329" s="395"/>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537"/>
      <c r="B330" s="537"/>
      <c r="C330" s="537"/>
      <c r="D330" s="537"/>
      <c r="E330" s="395"/>
      <c r="F330" s="395"/>
      <c r="G330" s="395"/>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537"/>
      <c r="B331" s="537"/>
      <c r="C331" s="537"/>
      <c r="D331" s="537"/>
      <c r="E331" s="395"/>
      <c r="F331" s="395"/>
      <c r="G331" s="395"/>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537"/>
      <c r="B332" s="537"/>
      <c r="C332" s="537"/>
      <c r="D332" s="537"/>
      <c r="E332" s="395"/>
      <c r="F332" s="395"/>
      <c r="G332" s="395"/>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537"/>
      <c r="B333" s="537"/>
      <c r="C333" s="537"/>
      <c r="D333" s="537"/>
      <c r="E333" s="395"/>
      <c r="F333" s="395"/>
      <c r="G333" s="395"/>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537"/>
      <c r="B334" s="537"/>
      <c r="C334" s="537"/>
      <c r="D334" s="537"/>
      <c r="E334" s="395"/>
      <c r="F334" s="395"/>
      <c r="G334" s="395"/>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537"/>
      <c r="B335" s="537"/>
      <c r="C335" s="537"/>
      <c r="D335" s="537"/>
      <c r="E335" s="395"/>
      <c r="F335" s="395"/>
      <c r="G335" s="395"/>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537"/>
      <c r="B336" s="537"/>
      <c r="C336" s="537"/>
      <c r="D336" s="537"/>
      <c r="E336" s="395"/>
      <c r="F336" s="395"/>
      <c r="G336" s="395"/>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537"/>
      <c r="B337" s="537"/>
      <c r="C337" s="537"/>
      <c r="D337" s="537"/>
      <c r="E337" s="395"/>
      <c r="F337" s="395"/>
      <c r="G337" s="395"/>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537"/>
      <c r="B338" s="537"/>
      <c r="C338" s="537"/>
      <c r="D338" s="537"/>
      <c r="E338" s="395"/>
      <c r="F338" s="395"/>
      <c r="G338" s="395"/>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537"/>
      <c r="B339" s="537"/>
      <c r="C339" s="537"/>
      <c r="D339" s="537"/>
      <c r="E339" s="395"/>
      <c r="F339" s="395"/>
      <c r="G339" s="395"/>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537"/>
      <c r="B340" s="537"/>
      <c r="C340" s="537"/>
      <c r="D340" s="537"/>
      <c r="E340" s="395"/>
      <c r="F340" s="395"/>
      <c r="G340" s="395"/>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537"/>
      <c r="B341" s="537"/>
      <c r="C341" s="537"/>
      <c r="D341" s="537"/>
      <c r="E341" s="395"/>
      <c r="F341" s="395"/>
      <c r="G341" s="395"/>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537"/>
      <c r="B342" s="537"/>
      <c r="C342" s="537"/>
      <c r="D342" s="537"/>
      <c r="E342" s="395"/>
      <c r="F342" s="395"/>
      <c r="G342" s="395"/>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537"/>
      <c r="B343" s="537"/>
      <c r="C343" s="537"/>
      <c r="D343" s="537"/>
      <c r="E343" s="395"/>
      <c r="F343" s="395"/>
      <c r="G343" s="395"/>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537"/>
      <c r="B344" s="537"/>
      <c r="C344" s="537"/>
      <c r="D344" s="537"/>
      <c r="E344" s="395"/>
      <c r="F344" s="395"/>
      <c r="G344" s="395"/>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537"/>
      <c r="B345" s="537"/>
      <c r="C345" s="537"/>
      <c r="D345" s="537"/>
      <c r="E345" s="395"/>
      <c r="F345" s="395"/>
      <c r="G345" s="395"/>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537"/>
      <c r="B346" s="537"/>
      <c r="C346" s="537"/>
      <c r="D346" s="537"/>
      <c r="E346" s="395"/>
      <c r="F346" s="395"/>
      <c r="G346" s="395"/>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537"/>
      <c r="B347" s="537"/>
      <c r="C347" s="537"/>
      <c r="D347" s="537"/>
      <c r="E347" s="395"/>
      <c r="F347" s="395"/>
      <c r="G347" s="395"/>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537"/>
      <c r="B348" s="537"/>
      <c r="C348" s="537"/>
      <c r="D348" s="537"/>
      <c r="E348" s="395"/>
      <c r="F348" s="395"/>
      <c r="G348" s="395"/>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537"/>
      <c r="B349" s="537"/>
      <c r="C349" s="537"/>
      <c r="D349" s="537"/>
      <c r="E349" s="395"/>
      <c r="F349" s="395"/>
      <c r="G349" s="395"/>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537"/>
      <c r="B350" s="537"/>
      <c r="C350" s="537"/>
      <c r="D350" s="537"/>
      <c r="E350" s="395"/>
      <c r="F350" s="395"/>
      <c r="G350" s="395"/>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537"/>
      <c r="B351" s="537"/>
      <c r="C351" s="537"/>
      <c r="D351" s="537"/>
      <c r="E351" s="395"/>
      <c r="F351" s="395"/>
      <c r="G351" s="395"/>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537"/>
      <c r="B352" s="537"/>
      <c r="C352" s="537"/>
      <c r="D352" s="537"/>
      <c r="E352" s="395"/>
      <c r="F352" s="395"/>
      <c r="G352" s="395"/>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537"/>
      <c r="B353" s="537"/>
      <c r="C353" s="537"/>
      <c r="D353" s="537"/>
      <c r="E353" s="395"/>
      <c r="F353" s="395"/>
      <c r="G353" s="395"/>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537"/>
      <c r="B354" s="537"/>
      <c r="C354" s="537"/>
      <c r="D354" s="537"/>
      <c r="E354" s="395"/>
      <c r="F354" s="395"/>
      <c r="G354" s="395"/>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537"/>
      <c r="B355" s="537"/>
      <c r="C355" s="537"/>
      <c r="D355" s="537"/>
      <c r="E355" s="395"/>
      <c r="F355" s="395"/>
      <c r="G355" s="395"/>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537"/>
      <c r="B356" s="537"/>
      <c r="C356" s="537"/>
      <c r="D356" s="537"/>
      <c r="E356" s="395"/>
      <c r="F356" s="395"/>
      <c r="G356" s="395"/>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537"/>
      <c r="B357" s="537"/>
      <c r="C357" s="537"/>
      <c r="D357" s="537"/>
      <c r="E357" s="395"/>
      <c r="F357" s="395"/>
      <c r="G357" s="395"/>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537"/>
      <c r="B358" s="537"/>
      <c r="C358" s="537"/>
      <c r="D358" s="537"/>
      <c r="E358" s="395"/>
      <c r="F358" s="395"/>
      <c r="G358" s="395"/>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537"/>
      <c r="B359" s="537"/>
      <c r="C359" s="537"/>
      <c r="D359" s="537"/>
      <c r="E359" s="395"/>
      <c r="F359" s="395"/>
      <c r="G359" s="395"/>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537"/>
      <c r="B360" s="537"/>
      <c r="C360" s="537"/>
      <c r="D360" s="537"/>
      <c r="E360" s="395"/>
      <c r="F360" s="395"/>
      <c r="G360" s="395"/>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537"/>
      <c r="B361" s="537"/>
      <c r="C361" s="537"/>
      <c r="D361" s="537"/>
      <c r="E361" s="395"/>
      <c r="F361" s="395"/>
      <c r="G361" s="395"/>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537"/>
      <c r="B362" s="537"/>
      <c r="C362" s="537"/>
      <c r="D362" s="537"/>
      <c r="E362" s="395"/>
      <c r="F362" s="395"/>
      <c r="G362" s="395"/>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537"/>
      <c r="B363" s="537"/>
      <c r="C363" s="537"/>
      <c r="D363" s="537"/>
      <c r="E363" s="395"/>
      <c r="F363" s="395"/>
      <c r="G363" s="395"/>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537"/>
      <c r="B364" s="537"/>
      <c r="C364" s="537"/>
      <c r="D364" s="537"/>
      <c r="E364" s="395"/>
      <c r="F364" s="395"/>
      <c r="G364" s="395"/>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537"/>
      <c r="B365" s="537"/>
      <c r="C365" s="537"/>
      <c r="D365" s="537"/>
      <c r="E365" s="395"/>
      <c r="F365" s="395"/>
      <c r="G365" s="395"/>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537"/>
      <c r="B366" s="537"/>
      <c r="C366" s="537"/>
      <c r="D366" s="537"/>
      <c r="E366" s="395"/>
      <c r="F366" s="395"/>
      <c r="G366" s="395"/>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537"/>
      <c r="B367" s="537"/>
      <c r="C367" s="537"/>
      <c r="D367" s="537"/>
      <c r="E367" s="395"/>
      <c r="F367" s="395"/>
      <c r="G367" s="395"/>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537"/>
      <c r="B368" s="537"/>
      <c r="C368" s="537"/>
      <c r="D368" s="537"/>
      <c r="E368" s="395"/>
      <c r="F368" s="395"/>
      <c r="G368" s="395"/>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537"/>
      <c r="B369" s="537"/>
      <c r="C369" s="537"/>
      <c r="D369" s="537"/>
      <c r="E369" s="395"/>
      <c r="F369" s="395"/>
      <c r="G369" s="395"/>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537"/>
      <c r="B370" s="537"/>
      <c r="C370" s="537"/>
      <c r="D370" s="537"/>
      <c r="E370" s="395"/>
      <c r="F370" s="395"/>
      <c r="G370" s="395"/>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537"/>
      <c r="B371" s="537"/>
      <c r="C371" s="537"/>
      <c r="D371" s="537"/>
      <c r="E371" s="395"/>
      <c r="F371" s="395"/>
      <c r="G371" s="395"/>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537"/>
      <c r="B372" s="537"/>
      <c r="C372" s="537"/>
      <c r="D372" s="537"/>
      <c r="E372" s="395"/>
      <c r="F372" s="395"/>
      <c r="G372" s="395"/>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537"/>
      <c r="B373" s="537"/>
      <c r="C373" s="537"/>
      <c r="D373" s="537"/>
      <c r="E373" s="395"/>
      <c r="F373" s="395"/>
      <c r="G373" s="395"/>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537"/>
      <c r="B374" s="537"/>
      <c r="C374" s="537"/>
      <c r="D374" s="537"/>
      <c r="E374" s="395"/>
      <c r="F374" s="395"/>
      <c r="G374" s="395"/>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537"/>
      <c r="B375" s="537"/>
      <c r="C375" s="537"/>
      <c r="D375" s="537"/>
      <c r="E375" s="395"/>
      <c r="F375" s="395"/>
      <c r="G375" s="395"/>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537"/>
      <c r="B376" s="537"/>
      <c r="C376" s="537"/>
      <c r="D376" s="537"/>
      <c r="E376" s="395"/>
      <c r="F376" s="395"/>
      <c r="G376" s="395"/>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537"/>
      <c r="B377" s="537"/>
      <c r="C377" s="537"/>
      <c r="D377" s="537"/>
      <c r="E377" s="395"/>
      <c r="F377" s="395"/>
      <c r="G377" s="395"/>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537"/>
      <c r="B378" s="537"/>
      <c r="C378" s="537"/>
      <c r="D378" s="537"/>
      <c r="E378" s="395"/>
      <c r="F378" s="395"/>
      <c r="G378" s="395"/>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537"/>
      <c r="B379" s="537"/>
      <c r="C379" s="537"/>
      <c r="D379" s="537"/>
      <c r="E379" s="395"/>
      <c r="F379" s="395"/>
      <c r="G379" s="395"/>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537"/>
      <c r="B380" s="537"/>
      <c r="C380" s="537"/>
      <c r="D380" s="537"/>
      <c r="E380" s="395"/>
      <c r="F380" s="395"/>
      <c r="G380" s="395"/>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537"/>
      <c r="B381" s="537"/>
      <c r="C381" s="537"/>
      <c r="D381" s="537"/>
      <c r="E381" s="395"/>
      <c r="F381" s="395"/>
      <c r="G381" s="395"/>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537"/>
      <c r="B382" s="537"/>
      <c r="C382" s="537"/>
      <c r="D382" s="537"/>
      <c r="E382" s="395"/>
      <c r="F382" s="395"/>
      <c r="G382" s="395"/>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537"/>
      <c r="B383" s="537"/>
      <c r="C383" s="537"/>
      <c r="D383" s="537"/>
      <c r="E383" s="395"/>
      <c r="F383" s="395"/>
      <c r="G383" s="395"/>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537"/>
      <c r="B384" s="537"/>
      <c r="C384" s="537"/>
      <c r="D384" s="537"/>
      <c r="E384" s="395"/>
      <c r="F384" s="395"/>
      <c r="G384" s="395"/>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537"/>
      <c r="B385" s="537"/>
      <c r="C385" s="537"/>
      <c r="D385" s="537"/>
      <c r="E385" s="395"/>
      <c r="F385" s="395"/>
      <c r="G385" s="395"/>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537"/>
      <c r="B386" s="537"/>
      <c r="C386" s="537"/>
      <c r="D386" s="537"/>
      <c r="E386" s="395"/>
      <c r="F386" s="395"/>
      <c r="G386" s="395"/>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537"/>
      <c r="B387" s="537"/>
      <c r="C387" s="537"/>
      <c r="D387" s="537"/>
      <c r="E387" s="395"/>
      <c r="F387" s="395"/>
      <c r="G387" s="395"/>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537"/>
      <c r="B388" s="537"/>
      <c r="C388" s="537"/>
      <c r="D388" s="537"/>
      <c r="E388" s="395"/>
      <c r="F388" s="395"/>
      <c r="G388" s="395"/>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537"/>
      <c r="B389" s="537"/>
      <c r="C389" s="537"/>
      <c r="D389" s="537"/>
      <c r="E389" s="395"/>
      <c r="F389" s="395"/>
      <c r="G389" s="395"/>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537"/>
      <c r="B390" s="537"/>
      <c r="C390" s="537"/>
      <c r="D390" s="537"/>
      <c r="E390" s="395"/>
      <c r="F390" s="395"/>
      <c r="G390" s="395"/>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537"/>
      <c r="B391" s="537"/>
      <c r="C391" s="537"/>
      <c r="D391" s="537"/>
      <c r="E391" s="395"/>
      <c r="F391" s="395"/>
      <c r="G391" s="395"/>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537"/>
      <c r="B392" s="537"/>
      <c r="C392" s="537"/>
      <c r="D392" s="537"/>
      <c r="E392" s="395"/>
      <c r="F392" s="395"/>
      <c r="G392" s="395"/>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537"/>
      <c r="B393" s="537"/>
      <c r="C393" s="537"/>
      <c r="D393" s="537"/>
      <c r="E393" s="395"/>
      <c r="F393" s="395"/>
      <c r="G393" s="395"/>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537"/>
      <c r="B394" s="537"/>
      <c r="C394" s="537"/>
      <c r="D394" s="537"/>
      <c r="E394" s="395"/>
      <c r="F394" s="395"/>
      <c r="G394" s="395"/>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537"/>
      <c r="B395" s="537"/>
      <c r="C395" s="537"/>
      <c r="D395" s="537"/>
      <c r="E395" s="395"/>
      <c r="F395" s="395"/>
      <c r="G395" s="395"/>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537"/>
      <c r="B396" s="537"/>
      <c r="C396" s="537"/>
      <c r="D396" s="537"/>
      <c r="E396" s="395"/>
      <c r="F396" s="395"/>
      <c r="G396" s="395"/>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537"/>
      <c r="B397" s="537"/>
      <c r="C397" s="537"/>
      <c r="D397" s="537"/>
      <c r="E397" s="395"/>
      <c r="F397" s="395"/>
      <c r="G397" s="395"/>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537"/>
      <c r="B398" s="537"/>
      <c r="C398" s="537"/>
      <c r="D398" s="537"/>
      <c r="E398" s="395"/>
      <c r="F398" s="395"/>
      <c r="G398" s="395"/>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537"/>
      <c r="B399" s="537"/>
      <c r="C399" s="537"/>
      <c r="D399" s="537"/>
      <c r="E399" s="395"/>
      <c r="F399" s="395"/>
      <c r="G399" s="395"/>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537"/>
      <c r="B400" s="537"/>
      <c r="C400" s="537"/>
      <c r="D400" s="537"/>
      <c r="E400" s="395"/>
      <c r="F400" s="395"/>
      <c r="G400" s="395"/>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537"/>
      <c r="B401" s="537"/>
      <c r="C401" s="537"/>
      <c r="D401" s="537"/>
      <c r="E401" s="395"/>
      <c r="F401" s="395"/>
      <c r="G401" s="395"/>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537"/>
      <c r="B402" s="537"/>
      <c r="C402" s="537"/>
      <c r="D402" s="537"/>
      <c r="E402" s="395"/>
      <c r="F402" s="395"/>
      <c r="G402" s="395"/>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537"/>
      <c r="B403" s="537"/>
      <c r="C403" s="537"/>
      <c r="D403" s="537"/>
      <c r="E403" s="395"/>
      <c r="F403" s="395"/>
      <c r="G403" s="395"/>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537"/>
      <c r="B404" s="537"/>
      <c r="C404" s="537"/>
      <c r="D404" s="537"/>
      <c r="E404" s="395"/>
      <c r="F404" s="395"/>
      <c r="G404" s="395"/>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537"/>
      <c r="B405" s="537"/>
      <c r="C405" s="537"/>
      <c r="D405" s="537"/>
      <c r="E405" s="395"/>
      <c r="F405" s="395"/>
      <c r="G405" s="395"/>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537"/>
      <c r="B406" s="537"/>
      <c r="C406" s="537"/>
      <c r="D406" s="537"/>
      <c r="E406" s="395"/>
      <c r="F406" s="395"/>
      <c r="G406" s="395"/>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537"/>
      <c r="B407" s="537"/>
      <c r="C407" s="537"/>
      <c r="D407" s="537"/>
      <c r="E407" s="395"/>
      <c r="F407" s="395"/>
      <c r="G407" s="395"/>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537"/>
      <c r="B408" s="537"/>
      <c r="C408" s="537"/>
      <c r="D408" s="537"/>
      <c r="E408" s="395"/>
      <c r="F408" s="395"/>
      <c r="G408" s="395"/>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537"/>
      <c r="B409" s="537"/>
      <c r="C409" s="537"/>
      <c r="D409" s="537"/>
      <c r="E409" s="395"/>
      <c r="F409" s="395"/>
      <c r="G409" s="395"/>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537"/>
      <c r="B410" s="537"/>
      <c r="C410" s="537"/>
      <c r="D410" s="537"/>
      <c r="E410" s="395"/>
      <c r="F410" s="395"/>
      <c r="G410" s="395"/>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537"/>
      <c r="B411" s="537"/>
      <c r="C411" s="537"/>
      <c r="D411" s="537"/>
      <c r="E411" s="395"/>
      <c r="F411" s="395"/>
      <c r="G411" s="395"/>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537"/>
      <c r="B412" s="537"/>
      <c r="C412" s="537"/>
      <c r="D412" s="537"/>
      <c r="E412" s="395"/>
      <c r="F412" s="395"/>
      <c r="G412" s="395"/>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537"/>
      <c r="B413" s="537"/>
      <c r="C413" s="537"/>
      <c r="D413" s="537"/>
      <c r="E413" s="395"/>
      <c r="F413" s="395"/>
      <c r="G413" s="395"/>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537"/>
      <c r="B414" s="537"/>
      <c r="C414" s="537"/>
      <c r="D414" s="537"/>
      <c r="E414" s="395"/>
      <c r="F414" s="395"/>
      <c r="G414" s="395"/>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537"/>
      <c r="B415" s="537"/>
      <c r="C415" s="537"/>
      <c r="D415" s="537"/>
      <c r="E415" s="395"/>
      <c r="F415" s="395"/>
      <c r="G415" s="395"/>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537"/>
      <c r="B416" s="537"/>
      <c r="C416" s="537"/>
      <c r="D416" s="537"/>
      <c r="E416" s="395"/>
      <c r="F416" s="395"/>
      <c r="G416" s="395"/>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537"/>
      <c r="B417" s="537"/>
      <c r="C417" s="537"/>
      <c r="D417" s="537"/>
      <c r="E417" s="395"/>
      <c r="F417" s="395"/>
      <c r="G417" s="395"/>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537"/>
      <c r="B418" s="537"/>
      <c r="C418" s="537"/>
      <c r="D418" s="537"/>
      <c r="E418" s="395"/>
      <c r="F418" s="395"/>
      <c r="G418" s="395"/>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537"/>
      <c r="B419" s="537"/>
      <c r="C419" s="537"/>
      <c r="D419" s="537"/>
      <c r="E419" s="395"/>
      <c r="F419" s="395"/>
      <c r="G419" s="395"/>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537"/>
      <c r="B420" s="537"/>
      <c r="C420" s="537"/>
      <c r="D420" s="537"/>
      <c r="E420" s="395"/>
      <c r="F420" s="395"/>
      <c r="G420" s="395"/>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537"/>
      <c r="B421" s="537"/>
      <c r="C421" s="537"/>
      <c r="D421" s="537"/>
      <c r="E421" s="395"/>
      <c r="F421" s="395"/>
      <c r="G421" s="395"/>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537"/>
      <c r="B422" s="537"/>
      <c r="C422" s="537"/>
      <c r="D422" s="537"/>
      <c r="E422" s="395"/>
      <c r="F422" s="395"/>
      <c r="G422" s="395"/>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537"/>
      <c r="B423" s="537"/>
      <c r="C423" s="537"/>
      <c r="D423" s="537"/>
      <c r="E423" s="395"/>
      <c r="F423" s="395"/>
      <c r="G423" s="395"/>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537"/>
      <c r="B424" s="537"/>
      <c r="C424" s="537"/>
      <c r="D424" s="537"/>
      <c r="E424" s="395"/>
      <c r="F424" s="395"/>
      <c r="G424" s="395"/>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537"/>
      <c r="B425" s="537"/>
      <c r="C425" s="537"/>
      <c r="D425" s="537"/>
      <c r="E425" s="395"/>
      <c r="F425" s="395"/>
      <c r="G425" s="395"/>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537"/>
      <c r="B426" s="537"/>
      <c r="C426" s="537"/>
      <c r="D426" s="537"/>
      <c r="E426" s="395"/>
      <c r="F426" s="395"/>
      <c r="G426" s="395"/>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537"/>
      <c r="B427" s="537"/>
      <c r="C427" s="537"/>
      <c r="D427" s="537"/>
      <c r="E427" s="395"/>
      <c r="F427" s="395"/>
      <c r="G427" s="395"/>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537"/>
      <c r="B428" s="537"/>
      <c r="C428" s="537"/>
      <c r="D428" s="537"/>
      <c r="E428" s="395"/>
      <c r="F428" s="395"/>
      <c r="G428" s="395"/>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537"/>
      <c r="B429" s="537"/>
      <c r="C429" s="537"/>
      <c r="D429" s="537"/>
      <c r="E429" s="395"/>
      <c r="F429" s="395"/>
      <c r="G429" s="395"/>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537"/>
      <c r="B430" s="537"/>
      <c r="C430" s="537"/>
      <c r="D430" s="537"/>
      <c r="E430" s="395"/>
      <c r="F430" s="395"/>
      <c r="G430" s="395"/>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537"/>
      <c r="B431" s="537"/>
      <c r="C431" s="537"/>
      <c r="D431" s="537"/>
      <c r="E431" s="395"/>
      <c r="F431" s="395"/>
      <c r="G431" s="395"/>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537"/>
      <c r="B432" s="537"/>
      <c r="C432" s="537"/>
      <c r="D432" s="537"/>
      <c r="E432" s="395"/>
      <c r="F432" s="395"/>
      <c r="G432" s="395"/>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537"/>
      <c r="B433" s="537"/>
      <c r="C433" s="537"/>
      <c r="D433" s="537"/>
      <c r="E433" s="395"/>
      <c r="F433" s="395"/>
      <c r="G433" s="395"/>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537"/>
      <c r="B434" s="537"/>
      <c r="C434" s="537"/>
      <c r="D434" s="537"/>
      <c r="E434" s="395"/>
      <c r="F434" s="395"/>
      <c r="G434" s="395"/>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537"/>
      <c r="B435" s="537"/>
      <c r="C435" s="537"/>
      <c r="D435" s="537"/>
      <c r="E435" s="395"/>
      <c r="F435" s="395"/>
      <c r="G435" s="395"/>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537"/>
      <c r="B436" s="537"/>
      <c r="C436" s="537"/>
      <c r="D436" s="537"/>
      <c r="E436" s="395"/>
      <c r="F436" s="395"/>
      <c r="G436" s="395"/>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537"/>
      <c r="B437" s="537"/>
      <c r="C437" s="537"/>
      <c r="D437" s="537"/>
      <c r="E437" s="395"/>
      <c r="F437" s="395"/>
      <c r="G437" s="395"/>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537"/>
      <c r="B438" s="537"/>
      <c r="C438" s="537"/>
      <c r="D438" s="537"/>
      <c r="E438" s="395"/>
      <c r="F438" s="395"/>
      <c r="G438" s="395"/>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537"/>
      <c r="B439" s="537"/>
      <c r="C439" s="537"/>
      <c r="D439" s="537"/>
      <c r="E439" s="395"/>
      <c r="F439" s="395"/>
      <c r="G439" s="395"/>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537"/>
      <c r="B440" s="537"/>
      <c r="C440" s="537"/>
      <c r="D440" s="537"/>
      <c r="E440" s="395"/>
      <c r="F440" s="395"/>
      <c r="G440" s="395"/>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537"/>
      <c r="B441" s="537"/>
      <c r="C441" s="537"/>
      <c r="D441" s="537"/>
      <c r="E441" s="395"/>
      <c r="F441" s="395"/>
      <c r="G441" s="395"/>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537"/>
      <c r="B442" s="537"/>
      <c r="C442" s="537"/>
      <c r="D442" s="537"/>
      <c r="E442" s="395"/>
      <c r="F442" s="395"/>
      <c r="G442" s="395"/>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537"/>
      <c r="B443" s="537"/>
      <c r="C443" s="537"/>
      <c r="D443" s="537"/>
      <c r="E443" s="395"/>
      <c r="F443" s="395"/>
      <c r="G443" s="395"/>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537"/>
      <c r="B444" s="537"/>
      <c r="C444" s="537"/>
      <c r="D444" s="537"/>
      <c r="E444" s="395"/>
      <c r="F444" s="395"/>
      <c r="G444" s="395"/>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537"/>
      <c r="B445" s="537"/>
      <c r="C445" s="537"/>
      <c r="D445" s="537"/>
      <c r="E445" s="395"/>
      <c r="F445" s="395"/>
      <c r="G445" s="395"/>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537"/>
      <c r="B446" s="537"/>
      <c r="C446" s="537"/>
      <c r="D446" s="537"/>
      <c r="E446" s="395"/>
      <c r="F446" s="395"/>
      <c r="G446" s="395"/>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537"/>
      <c r="B447" s="537"/>
      <c r="C447" s="537"/>
      <c r="D447" s="537"/>
      <c r="E447" s="395"/>
      <c r="F447" s="395"/>
      <c r="G447" s="395"/>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537"/>
      <c r="B448" s="537"/>
      <c r="C448" s="537"/>
      <c r="D448" s="537"/>
      <c r="E448" s="395"/>
      <c r="F448" s="395"/>
      <c r="G448" s="395"/>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537"/>
      <c r="B449" s="537"/>
      <c r="C449" s="537"/>
      <c r="D449" s="537"/>
      <c r="E449" s="395"/>
      <c r="F449" s="395"/>
      <c r="G449" s="395"/>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537"/>
      <c r="B450" s="537"/>
      <c r="C450" s="537"/>
      <c r="D450" s="537"/>
      <c r="E450" s="395"/>
      <c r="F450" s="395"/>
      <c r="G450" s="395"/>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537"/>
      <c r="B451" s="537"/>
      <c r="C451" s="537"/>
      <c r="D451" s="537"/>
      <c r="E451" s="395"/>
      <c r="F451" s="395"/>
      <c r="G451" s="395"/>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537"/>
      <c r="B452" s="537"/>
      <c r="C452" s="537"/>
      <c r="D452" s="537"/>
      <c r="E452" s="395"/>
      <c r="F452" s="395"/>
      <c r="G452" s="395"/>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537"/>
      <c r="B453" s="537"/>
      <c r="C453" s="537"/>
      <c r="D453" s="537"/>
      <c r="E453" s="395"/>
      <c r="F453" s="395"/>
      <c r="G453" s="395"/>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537"/>
      <c r="B454" s="537"/>
      <c r="C454" s="537"/>
      <c r="D454" s="537"/>
      <c r="E454" s="395"/>
      <c r="F454" s="395"/>
      <c r="G454" s="395"/>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537"/>
      <c r="B455" s="537"/>
      <c r="C455" s="537"/>
      <c r="D455" s="537"/>
      <c r="E455" s="395"/>
      <c r="F455" s="395"/>
      <c r="G455" s="395"/>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537"/>
      <c r="B456" s="537"/>
      <c r="C456" s="537"/>
      <c r="D456" s="537"/>
      <c r="E456" s="395"/>
      <c r="F456" s="395"/>
      <c r="G456" s="395"/>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537"/>
      <c r="B457" s="537"/>
      <c r="C457" s="537"/>
      <c r="D457" s="537"/>
      <c r="E457" s="395"/>
      <c r="F457" s="395"/>
      <c r="G457" s="395"/>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537"/>
      <c r="B458" s="537"/>
      <c r="C458" s="537"/>
      <c r="D458" s="537"/>
      <c r="E458" s="395"/>
      <c r="F458" s="395"/>
      <c r="G458" s="395"/>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537"/>
      <c r="B459" s="537"/>
      <c r="C459" s="537"/>
      <c r="D459" s="537"/>
      <c r="E459" s="395"/>
      <c r="F459" s="395"/>
      <c r="G459" s="395"/>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537"/>
      <c r="B460" s="537"/>
      <c r="C460" s="537"/>
      <c r="D460" s="537"/>
      <c r="E460" s="395"/>
      <c r="F460" s="395"/>
      <c r="G460" s="395"/>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537"/>
      <c r="B461" s="537"/>
      <c r="C461" s="537"/>
      <c r="D461" s="537"/>
      <c r="E461" s="395"/>
      <c r="F461" s="395"/>
      <c r="G461" s="395"/>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537"/>
      <c r="B462" s="537"/>
      <c r="C462" s="537"/>
      <c r="D462" s="537"/>
      <c r="E462" s="395"/>
      <c r="F462" s="395"/>
      <c r="G462" s="395"/>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537"/>
      <c r="B463" s="537"/>
      <c r="C463" s="537"/>
      <c r="D463" s="537"/>
      <c r="E463" s="395"/>
      <c r="F463" s="395"/>
      <c r="G463" s="395"/>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537"/>
      <c r="B464" s="537"/>
      <c r="C464" s="537"/>
      <c r="D464" s="537"/>
      <c r="E464" s="395"/>
      <c r="F464" s="395"/>
      <c r="G464" s="395"/>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537"/>
      <c r="B465" s="537"/>
      <c r="C465" s="537"/>
      <c r="D465" s="537"/>
      <c r="E465" s="395"/>
      <c r="F465" s="395"/>
      <c r="G465" s="395"/>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537"/>
      <c r="B466" s="537"/>
      <c r="C466" s="537"/>
      <c r="D466" s="537"/>
      <c r="E466" s="395"/>
      <c r="F466" s="395"/>
      <c r="G466" s="395"/>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537"/>
      <c r="B467" s="537"/>
      <c r="C467" s="537"/>
      <c r="D467" s="537"/>
      <c r="E467" s="395"/>
      <c r="F467" s="395"/>
      <c r="G467" s="395"/>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537"/>
      <c r="B468" s="537"/>
      <c r="C468" s="537"/>
      <c r="D468" s="537"/>
      <c r="E468" s="395"/>
      <c r="F468" s="395"/>
      <c r="G468" s="395"/>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537"/>
      <c r="B469" s="537"/>
      <c r="C469" s="537"/>
      <c r="D469" s="537"/>
      <c r="E469" s="395"/>
      <c r="F469" s="395"/>
      <c r="G469" s="395"/>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537"/>
      <c r="B470" s="537"/>
      <c r="C470" s="537"/>
      <c r="D470" s="537"/>
      <c r="E470" s="395"/>
      <c r="F470" s="395"/>
      <c r="G470" s="395"/>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537"/>
      <c r="B471" s="537"/>
      <c r="C471" s="537"/>
      <c r="D471" s="537"/>
      <c r="E471" s="395"/>
      <c r="F471" s="395"/>
      <c r="G471" s="395"/>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537"/>
      <c r="B472" s="537"/>
      <c r="C472" s="537"/>
      <c r="D472" s="537"/>
      <c r="E472" s="395"/>
      <c r="F472" s="395"/>
      <c r="G472" s="395"/>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537"/>
      <c r="B473" s="537"/>
      <c r="C473" s="537"/>
      <c r="D473" s="537"/>
      <c r="E473" s="395"/>
      <c r="F473" s="395"/>
      <c r="G473" s="395"/>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537"/>
      <c r="B474" s="537"/>
      <c r="C474" s="537"/>
      <c r="D474" s="537"/>
      <c r="E474" s="395"/>
      <c r="F474" s="395"/>
      <c r="G474" s="395"/>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537"/>
      <c r="B475" s="537"/>
      <c r="C475" s="537"/>
      <c r="D475" s="537"/>
      <c r="E475" s="395"/>
      <c r="F475" s="395"/>
      <c r="G475" s="395"/>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537"/>
      <c r="B476" s="537"/>
      <c r="C476" s="537"/>
      <c r="D476" s="537"/>
      <c r="E476" s="395"/>
      <c r="F476" s="395"/>
      <c r="G476" s="395"/>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537"/>
      <c r="B477" s="537"/>
      <c r="C477" s="537"/>
      <c r="D477" s="537"/>
      <c r="E477" s="395"/>
      <c r="F477" s="395"/>
      <c r="G477" s="395"/>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537"/>
      <c r="B478" s="537"/>
      <c r="C478" s="537"/>
      <c r="D478" s="537"/>
      <c r="E478" s="395"/>
      <c r="F478" s="395"/>
      <c r="G478" s="395"/>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537"/>
      <c r="B479" s="537"/>
      <c r="C479" s="537"/>
      <c r="D479" s="537"/>
      <c r="E479" s="395"/>
      <c r="F479" s="395"/>
      <c r="G479" s="395"/>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537"/>
      <c r="B480" s="537"/>
      <c r="C480" s="537"/>
      <c r="D480" s="537"/>
      <c r="E480" s="395"/>
      <c r="F480" s="395"/>
      <c r="G480" s="395"/>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537"/>
      <c r="B481" s="537"/>
      <c r="C481" s="537"/>
      <c r="D481" s="537"/>
      <c r="E481" s="395"/>
      <c r="F481" s="395"/>
      <c r="G481" s="395"/>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537"/>
      <c r="B482" s="537"/>
      <c r="C482" s="537"/>
      <c r="D482" s="537"/>
      <c r="E482" s="395"/>
      <c r="F482" s="395"/>
      <c r="G482" s="395"/>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537"/>
      <c r="B483" s="537"/>
      <c r="C483" s="537"/>
      <c r="D483" s="537"/>
      <c r="E483" s="395"/>
      <c r="F483" s="395"/>
      <c r="G483" s="395"/>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537"/>
      <c r="B484" s="537"/>
      <c r="C484" s="537"/>
      <c r="D484" s="537"/>
      <c r="E484" s="395"/>
      <c r="F484" s="395"/>
      <c r="G484" s="395"/>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537"/>
      <c r="B485" s="537"/>
      <c r="C485" s="537"/>
      <c r="D485" s="537"/>
      <c r="E485" s="395"/>
      <c r="F485" s="395"/>
      <c r="G485" s="395"/>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537"/>
      <c r="B486" s="537"/>
      <c r="C486" s="537"/>
      <c r="D486" s="537"/>
      <c r="E486" s="395"/>
      <c r="F486" s="395"/>
      <c r="G486" s="395"/>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537"/>
      <c r="B487" s="537"/>
      <c r="C487" s="537"/>
      <c r="D487" s="537"/>
      <c r="E487" s="395"/>
      <c r="F487" s="395"/>
      <c r="G487" s="395"/>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537"/>
      <c r="B488" s="537"/>
      <c r="C488" s="537"/>
      <c r="D488" s="537"/>
      <c r="E488" s="395"/>
      <c r="F488" s="395"/>
      <c r="G488" s="395"/>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537"/>
      <c r="B489" s="537"/>
      <c r="C489" s="537"/>
      <c r="D489" s="537"/>
      <c r="E489" s="395"/>
      <c r="F489" s="395"/>
      <c r="G489" s="395"/>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537"/>
      <c r="B490" s="537"/>
      <c r="C490" s="537"/>
      <c r="D490" s="537"/>
      <c r="E490" s="395"/>
      <c r="F490" s="395"/>
      <c r="G490" s="395"/>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537"/>
      <c r="B491" s="537"/>
      <c r="C491" s="537"/>
      <c r="D491" s="537"/>
      <c r="E491" s="395"/>
      <c r="F491" s="395"/>
      <c r="G491" s="395"/>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537"/>
      <c r="B492" s="537"/>
      <c r="C492" s="537"/>
      <c r="D492" s="537"/>
      <c r="E492" s="395"/>
      <c r="F492" s="395"/>
      <c r="G492" s="395"/>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537"/>
      <c r="B493" s="537"/>
      <c r="C493" s="537"/>
      <c r="D493" s="537"/>
      <c r="E493" s="395"/>
      <c r="F493" s="395"/>
      <c r="G493" s="395"/>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537"/>
      <c r="B494" s="537"/>
      <c r="C494" s="537"/>
      <c r="D494" s="537"/>
      <c r="E494" s="395"/>
      <c r="F494" s="395"/>
      <c r="G494" s="395"/>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537"/>
      <c r="B495" s="537"/>
      <c r="C495" s="537"/>
      <c r="D495" s="537"/>
      <c r="E495" s="395"/>
      <c r="F495" s="395"/>
      <c r="G495" s="395"/>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537"/>
      <c r="B496" s="537"/>
      <c r="C496" s="537"/>
      <c r="D496" s="537"/>
      <c r="E496" s="395"/>
      <c r="F496" s="395"/>
      <c r="G496" s="395"/>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537"/>
      <c r="B497" s="537"/>
      <c r="C497" s="537"/>
      <c r="D497" s="537"/>
      <c r="E497" s="395"/>
      <c r="F497" s="395"/>
      <c r="G497" s="395"/>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537"/>
      <c r="B498" s="537"/>
      <c r="C498" s="537"/>
      <c r="D498" s="537"/>
      <c r="E498" s="395"/>
      <c r="F498" s="395"/>
      <c r="G498" s="395"/>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537"/>
      <c r="B499" s="537"/>
      <c r="C499" s="537"/>
      <c r="D499" s="537"/>
      <c r="E499" s="395"/>
      <c r="F499" s="395"/>
      <c r="G499" s="395"/>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537"/>
      <c r="B500" s="537"/>
      <c r="C500" s="537"/>
      <c r="D500" s="537"/>
      <c r="E500" s="395"/>
      <c r="F500" s="395"/>
      <c r="G500" s="395"/>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537"/>
      <c r="B501" s="537"/>
      <c r="C501" s="537"/>
      <c r="D501" s="537"/>
      <c r="E501" s="395"/>
      <c r="F501" s="395"/>
      <c r="G501" s="395"/>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537"/>
      <c r="B502" s="537"/>
      <c r="C502" s="537"/>
      <c r="D502" s="537"/>
      <c r="E502" s="395"/>
      <c r="F502" s="395"/>
      <c r="G502" s="395"/>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537"/>
      <c r="B503" s="537"/>
      <c r="C503" s="537"/>
      <c r="D503" s="537"/>
      <c r="E503" s="395"/>
      <c r="F503" s="395"/>
      <c r="G503" s="395"/>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537"/>
      <c r="B504" s="537"/>
      <c r="C504" s="537"/>
      <c r="D504" s="537"/>
      <c r="E504" s="395"/>
      <c r="F504" s="395"/>
      <c r="G504" s="395"/>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537"/>
      <c r="B505" s="537"/>
      <c r="C505" s="537"/>
      <c r="D505" s="537"/>
      <c r="E505" s="395"/>
      <c r="F505" s="395"/>
      <c r="G505" s="395"/>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537"/>
      <c r="B506" s="537"/>
      <c r="C506" s="537"/>
      <c r="D506" s="537"/>
      <c r="E506" s="395"/>
      <c r="F506" s="395"/>
      <c r="G506" s="395"/>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537"/>
      <c r="B507" s="537"/>
      <c r="C507" s="537"/>
      <c r="D507" s="537"/>
      <c r="E507" s="395"/>
      <c r="F507" s="395"/>
      <c r="G507" s="395"/>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537"/>
      <c r="B508" s="537"/>
      <c r="C508" s="537"/>
      <c r="D508" s="537"/>
      <c r="E508" s="395"/>
      <c r="F508" s="395"/>
      <c r="G508" s="395"/>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537"/>
      <c r="B509" s="537"/>
      <c r="C509" s="537"/>
      <c r="D509" s="537"/>
      <c r="E509" s="395"/>
      <c r="F509" s="395"/>
      <c r="G509" s="395"/>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537"/>
      <c r="B510" s="537"/>
      <c r="C510" s="537"/>
      <c r="D510" s="537"/>
      <c r="E510" s="395"/>
      <c r="F510" s="395"/>
      <c r="G510" s="395"/>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537"/>
      <c r="B511" s="537"/>
      <c r="C511" s="537"/>
      <c r="D511" s="537"/>
      <c r="E511" s="395"/>
      <c r="F511" s="395"/>
      <c r="G511" s="395"/>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537"/>
      <c r="B512" s="537"/>
      <c r="C512" s="537"/>
      <c r="D512" s="537"/>
      <c r="E512" s="395"/>
      <c r="F512" s="395"/>
      <c r="G512" s="395"/>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537"/>
      <c r="B513" s="537"/>
      <c r="C513" s="537"/>
      <c r="D513" s="537"/>
      <c r="E513" s="395"/>
      <c r="F513" s="395"/>
      <c r="G513" s="395"/>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537"/>
      <c r="B514" s="537"/>
      <c r="C514" s="537"/>
      <c r="D514" s="537"/>
      <c r="E514" s="395"/>
      <c r="F514" s="395"/>
      <c r="G514" s="395"/>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537"/>
      <c r="B515" s="537"/>
      <c r="C515" s="537"/>
      <c r="D515" s="537"/>
      <c r="E515" s="395"/>
      <c r="F515" s="395"/>
      <c r="G515" s="395"/>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537"/>
      <c r="B516" s="537"/>
      <c r="C516" s="537"/>
      <c r="D516" s="537"/>
      <c r="E516" s="395"/>
      <c r="F516" s="395"/>
      <c r="G516" s="395"/>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537"/>
      <c r="B517" s="537"/>
      <c r="C517" s="537"/>
      <c r="D517" s="537"/>
      <c r="E517" s="395"/>
      <c r="F517" s="395"/>
      <c r="G517" s="395"/>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537"/>
      <c r="B518" s="537"/>
      <c r="C518" s="537"/>
      <c r="D518" s="537"/>
      <c r="E518" s="395"/>
      <c r="F518" s="395"/>
      <c r="G518" s="395"/>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537"/>
      <c r="B519" s="537"/>
      <c r="C519" s="537"/>
      <c r="D519" s="537"/>
      <c r="E519" s="395"/>
      <c r="F519" s="395"/>
      <c r="G519" s="395"/>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537"/>
      <c r="B520" s="537"/>
      <c r="C520" s="537"/>
      <c r="D520" s="537"/>
      <c r="E520" s="395"/>
      <c r="F520" s="395"/>
      <c r="G520" s="395"/>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537"/>
      <c r="B521" s="537"/>
      <c r="C521" s="537"/>
      <c r="D521" s="537"/>
      <c r="E521" s="395"/>
      <c r="F521" s="395"/>
      <c r="G521" s="395"/>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537"/>
      <c r="B522" s="537"/>
      <c r="C522" s="537"/>
      <c r="D522" s="537"/>
      <c r="E522" s="395"/>
      <c r="F522" s="395"/>
      <c r="G522" s="395"/>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537"/>
      <c r="B523" s="537"/>
      <c r="C523" s="537"/>
      <c r="D523" s="537"/>
      <c r="E523" s="395"/>
      <c r="F523" s="395"/>
      <c r="G523" s="395"/>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537"/>
      <c r="B524" s="537"/>
      <c r="C524" s="537"/>
      <c r="D524" s="537"/>
      <c r="E524" s="395"/>
      <c r="F524" s="395"/>
      <c r="G524" s="395"/>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537"/>
      <c r="B525" s="537"/>
      <c r="C525" s="537"/>
      <c r="D525" s="537"/>
      <c r="E525" s="395"/>
      <c r="F525" s="395"/>
      <c r="G525" s="395"/>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537"/>
      <c r="B526" s="537"/>
      <c r="C526" s="537"/>
      <c r="D526" s="537"/>
      <c r="E526" s="395"/>
      <c r="F526" s="395"/>
      <c r="G526" s="395"/>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537"/>
      <c r="B527" s="537"/>
      <c r="C527" s="537"/>
      <c r="D527" s="537"/>
      <c r="E527" s="395"/>
      <c r="F527" s="395"/>
      <c r="G527" s="395"/>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537"/>
      <c r="B528" s="537"/>
      <c r="C528" s="537"/>
      <c r="D528" s="537"/>
      <c r="E528" s="395"/>
      <c r="F528" s="395"/>
      <c r="G528" s="395"/>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537"/>
      <c r="B529" s="537"/>
      <c r="C529" s="537"/>
      <c r="D529" s="537"/>
      <c r="E529" s="395"/>
      <c r="F529" s="395"/>
      <c r="G529" s="395"/>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537"/>
      <c r="B530" s="537"/>
      <c r="C530" s="537"/>
      <c r="D530" s="537"/>
      <c r="E530" s="395"/>
      <c r="F530" s="395"/>
      <c r="G530" s="395"/>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537"/>
      <c r="B531" s="537"/>
      <c r="C531" s="537"/>
      <c r="D531" s="537"/>
      <c r="E531" s="395"/>
      <c r="F531" s="395"/>
      <c r="G531" s="395"/>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537"/>
      <c r="B532" s="537"/>
      <c r="C532" s="537"/>
      <c r="D532" s="537"/>
      <c r="E532" s="395"/>
      <c r="F532" s="395"/>
      <c r="G532" s="395"/>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537"/>
      <c r="B533" s="537"/>
      <c r="C533" s="537"/>
      <c r="D533" s="537"/>
      <c r="E533" s="395"/>
      <c r="F533" s="395"/>
      <c r="G533" s="395"/>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537"/>
      <c r="B534" s="537"/>
      <c r="C534" s="537"/>
      <c r="D534" s="537"/>
      <c r="E534" s="395"/>
      <c r="F534" s="395"/>
      <c r="G534" s="395"/>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537"/>
      <c r="B535" s="537"/>
      <c r="C535" s="537"/>
      <c r="D535" s="537"/>
      <c r="E535" s="395"/>
      <c r="F535" s="395"/>
      <c r="G535" s="395"/>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537"/>
      <c r="B536" s="537"/>
      <c r="C536" s="537"/>
      <c r="D536" s="537"/>
      <c r="E536" s="395"/>
      <c r="F536" s="395"/>
      <c r="G536" s="395"/>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537"/>
      <c r="B537" s="537"/>
      <c r="C537" s="537"/>
      <c r="D537" s="537"/>
      <c r="E537" s="395"/>
      <c r="F537" s="395"/>
      <c r="G537" s="395"/>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537"/>
      <c r="B538" s="537"/>
      <c r="C538" s="537"/>
      <c r="D538" s="537"/>
      <c r="E538" s="395"/>
      <c r="F538" s="395"/>
      <c r="G538" s="395"/>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537"/>
      <c r="B539" s="537"/>
      <c r="C539" s="537"/>
      <c r="D539" s="537"/>
      <c r="E539" s="395"/>
      <c r="F539" s="395"/>
      <c r="G539" s="395"/>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537"/>
      <c r="B540" s="537"/>
      <c r="C540" s="537"/>
      <c r="D540" s="537"/>
      <c r="E540" s="395"/>
      <c r="F540" s="395"/>
      <c r="G540" s="395"/>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537"/>
      <c r="B541" s="537"/>
      <c r="C541" s="537"/>
      <c r="D541" s="537"/>
      <c r="E541" s="395"/>
      <c r="F541" s="395"/>
      <c r="G541" s="395"/>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537"/>
      <c r="B542" s="537"/>
      <c r="C542" s="537"/>
      <c r="D542" s="537"/>
      <c r="E542" s="395"/>
      <c r="F542" s="395"/>
      <c r="G542" s="395"/>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537"/>
      <c r="B543" s="537"/>
      <c r="C543" s="537"/>
      <c r="D543" s="537"/>
      <c r="E543" s="395"/>
      <c r="F543" s="395"/>
      <c r="G543" s="395"/>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537"/>
      <c r="B544" s="537"/>
      <c r="C544" s="537"/>
      <c r="D544" s="537"/>
      <c r="E544" s="395"/>
      <c r="F544" s="395"/>
      <c r="G544" s="395"/>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537"/>
      <c r="B545" s="537"/>
      <c r="C545" s="537"/>
      <c r="D545" s="537"/>
      <c r="E545" s="395"/>
      <c r="F545" s="395"/>
      <c r="G545" s="395"/>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537"/>
      <c r="B546" s="537"/>
      <c r="C546" s="537"/>
      <c r="D546" s="537"/>
      <c r="E546" s="395"/>
      <c r="F546" s="395"/>
      <c r="G546" s="395"/>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537"/>
      <c r="B547" s="537"/>
      <c r="C547" s="537"/>
      <c r="D547" s="537"/>
      <c r="E547" s="395"/>
      <c r="F547" s="395"/>
      <c r="G547" s="395"/>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537"/>
      <c r="B548" s="537"/>
      <c r="C548" s="537"/>
      <c r="D548" s="537"/>
      <c r="E548" s="395"/>
      <c r="F548" s="395"/>
      <c r="G548" s="395"/>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537"/>
      <c r="B549" s="537"/>
      <c r="C549" s="537"/>
      <c r="D549" s="537"/>
      <c r="E549" s="395"/>
      <c r="F549" s="395"/>
      <c r="G549" s="395"/>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537"/>
      <c r="B550" s="537"/>
      <c r="C550" s="537"/>
      <c r="D550" s="537"/>
      <c r="E550" s="395"/>
      <c r="F550" s="395"/>
      <c r="G550" s="395"/>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537"/>
      <c r="B551" s="537"/>
      <c r="C551" s="537"/>
      <c r="D551" s="537"/>
      <c r="E551" s="395"/>
      <c r="F551" s="395"/>
      <c r="G551" s="395"/>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537"/>
      <c r="B552" s="537"/>
      <c r="C552" s="537"/>
      <c r="D552" s="537"/>
      <c r="E552" s="395"/>
      <c r="F552" s="395"/>
      <c r="G552" s="395"/>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537"/>
      <c r="B553" s="537"/>
      <c r="C553" s="537"/>
      <c r="D553" s="537"/>
      <c r="E553" s="395"/>
      <c r="F553" s="395"/>
      <c r="G553" s="395"/>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537"/>
      <c r="B554" s="537"/>
      <c r="C554" s="537"/>
      <c r="D554" s="537"/>
      <c r="E554" s="395"/>
      <c r="F554" s="395"/>
      <c r="G554" s="395"/>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537"/>
      <c r="B555" s="537"/>
      <c r="C555" s="537"/>
      <c r="D555" s="537"/>
      <c r="E555" s="395"/>
      <c r="F555" s="395"/>
      <c r="G555" s="395"/>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537"/>
      <c r="B556" s="537"/>
      <c r="C556" s="537"/>
      <c r="D556" s="537"/>
      <c r="E556" s="395"/>
      <c r="F556" s="395"/>
      <c r="G556" s="395"/>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537"/>
      <c r="B557" s="537"/>
      <c r="C557" s="537"/>
      <c r="D557" s="537"/>
      <c r="E557" s="395"/>
      <c r="F557" s="395"/>
      <c r="G557" s="395"/>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537"/>
      <c r="B558" s="537"/>
      <c r="C558" s="537"/>
      <c r="D558" s="537"/>
      <c r="E558" s="395"/>
      <c r="F558" s="395"/>
      <c r="G558" s="395"/>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537"/>
      <c r="B559" s="537"/>
      <c r="C559" s="537"/>
      <c r="D559" s="537"/>
      <c r="E559" s="395"/>
      <c r="F559" s="395"/>
      <c r="G559" s="395"/>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537"/>
      <c r="B560" s="537"/>
      <c r="C560" s="537"/>
      <c r="D560" s="537"/>
      <c r="E560" s="395"/>
      <c r="F560" s="395"/>
      <c r="G560" s="395"/>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537"/>
      <c r="B561" s="537"/>
      <c r="C561" s="537"/>
      <c r="D561" s="537"/>
      <c r="E561" s="395"/>
      <c r="F561" s="395"/>
      <c r="G561" s="395"/>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537"/>
      <c r="B562" s="537"/>
      <c r="C562" s="537"/>
      <c r="D562" s="537"/>
      <c r="E562" s="395"/>
      <c r="F562" s="395"/>
      <c r="G562" s="395"/>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537"/>
      <c r="B563" s="537"/>
      <c r="C563" s="537"/>
      <c r="D563" s="537"/>
      <c r="E563" s="395"/>
      <c r="F563" s="395"/>
      <c r="G563" s="395"/>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537"/>
      <c r="B564" s="537"/>
      <c r="C564" s="537"/>
      <c r="D564" s="537"/>
      <c r="E564" s="395"/>
      <c r="F564" s="395"/>
      <c r="G564" s="395"/>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537"/>
      <c r="B565" s="537"/>
      <c r="C565" s="537"/>
      <c r="D565" s="537"/>
      <c r="E565" s="395"/>
      <c r="F565" s="395"/>
      <c r="G565" s="395"/>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537"/>
      <c r="B566" s="537"/>
      <c r="C566" s="537"/>
      <c r="D566" s="537"/>
      <c r="E566" s="395"/>
      <c r="F566" s="395"/>
      <c r="G566" s="395"/>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537"/>
      <c r="B567" s="537"/>
      <c r="C567" s="537"/>
      <c r="D567" s="537"/>
      <c r="E567" s="395"/>
      <c r="F567" s="395"/>
      <c r="G567" s="395"/>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537"/>
      <c r="B568" s="537"/>
      <c r="C568" s="537"/>
      <c r="D568" s="537"/>
      <c r="E568" s="395"/>
      <c r="F568" s="395"/>
      <c r="G568" s="395"/>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537"/>
      <c r="B569" s="537"/>
      <c r="C569" s="537"/>
      <c r="D569" s="537"/>
      <c r="E569" s="395"/>
      <c r="F569" s="395"/>
      <c r="G569" s="395"/>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537"/>
      <c r="B570" s="537"/>
      <c r="C570" s="537"/>
      <c r="D570" s="537"/>
      <c r="E570" s="395"/>
      <c r="F570" s="395"/>
      <c r="G570" s="395"/>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537"/>
      <c r="B571" s="537"/>
      <c r="C571" s="537"/>
      <c r="D571" s="537"/>
      <c r="E571" s="395"/>
      <c r="F571" s="395"/>
      <c r="G571" s="395"/>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537"/>
      <c r="B572" s="537"/>
      <c r="C572" s="537"/>
      <c r="D572" s="537"/>
      <c r="E572" s="395"/>
      <c r="F572" s="395"/>
      <c r="G572" s="395"/>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537"/>
      <c r="B573" s="537"/>
      <c r="C573" s="537"/>
      <c r="D573" s="537"/>
      <c r="E573" s="395"/>
      <c r="F573" s="395"/>
      <c r="G573" s="395"/>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537"/>
      <c r="B574" s="537"/>
      <c r="C574" s="537"/>
      <c r="D574" s="537"/>
      <c r="E574" s="395"/>
      <c r="F574" s="395"/>
      <c r="G574" s="395"/>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537"/>
      <c r="B575" s="537"/>
      <c r="C575" s="537"/>
      <c r="D575" s="537"/>
      <c r="E575" s="395"/>
      <c r="F575" s="395"/>
      <c r="G575" s="395"/>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537"/>
      <c r="B576" s="537"/>
      <c r="C576" s="537"/>
      <c r="D576" s="537"/>
      <c r="E576" s="395"/>
      <c r="F576" s="395"/>
      <c r="G576" s="395"/>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537"/>
      <c r="B577" s="537"/>
      <c r="C577" s="537"/>
      <c r="D577" s="537"/>
      <c r="E577" s="395"/>
      <c r="F577" s="395"/>
      <c r="G577" s="395"/>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537"/>
      <c r="B578" s="537"/>
      <c r="C578" s="537"/>
      <c r="D578" s="537"/>
      <c r="E578" s="395"/>
      <c r="F578" s="395"/>
      <c r="G578" s="395"/>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537"/>
      <c r="B579" s="537"/>
      <c r="C579" s="537"/>
      <c r="D579" s="537"/>
      <c r="E579" s="395"/>
      <c r="F579" s="395"/>
      <c r="G579" s="395"/>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537"/>
      <c r="B580" s="537"/>
      <c r="C580" s="537"/>
      <c r="D580" s="537"/>
      <c r="E580" s="395"/>
      <c r="F580" s="395"/>
      <c r="G580" s="395"/>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537"/>
      <c r="B581" s="537"/>
      <c r="C581" s="537"/>
      <c r="D581" s="537"/>
      <c r="E581" s="395"/>
      <c r="F581" s="395"/>
      <c r="G581" s="395"/>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537"/>
      <c r="B582" s="537"/>
      <c r="C582" s="537"/>
      <c r="D582" s="537"/>
      <c r="E582" s="395"/>
      <c r="F582" s="395"/>
      <c r="G582" s="395"/>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537"/>
      <c r="B583" s="537"/>
      <c r="C583" s="537"/>
      <c r="D583" s="537"/>
      <c r="E583" s="395"/>
      <c r="F583" s="395"/>
      <c r="G583" s="395"/>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537"/>
      <c r="B584" s="537"/>
      <c r="C584" s="537"/>
      <c r="D584" s="537"/>
      <c r="E584" s="395"/>
      <c r="F584" s="395"/>
      <c r="G584" s="395"/>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537"/>
      <c r="B585" s="537"/>
      <c r="C585" s="537"/>
      <c r="D585" s="537"/>
      <c r="E585" s="395"/>
      <c r="F585" s="395"/>
      <c r="G585" s="395"/>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537"/>
      <c r="B586" s="537"/>
      <c r="C586" s="537"/>
      <c r="D586" s="537"/>
      <c r="E586" s="395"/>
      <c r="F586" s="395"/>
      <c r="G586" s="395"/>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537"/>
      <c r="B587" s="537"/>
      <c r="C587" s="537"/>
      <c r="D587" s="537"/>
      <c r="E587" s="395"/>
      <c r="F587" s="395"/>
      <c r="G587" s="395"/>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537"/>
      <c r="B588" s="537"/>
      <c r="C588" s="537"/>
      <c r="D588" s="537"/>
      <c r="E588" s="395"/>
      <c r="F588" s="395"/>
      <c r="G588" s="395"/>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537"/>
      <c r="B589" s="537"/>
      <c r="C589" s="537"/>
      <c r="D589" s="537"/>
      <c r="E589" s="395"/>
      <c r="F589" s="395"/>
      <c r="G589" s="395"/>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537"/>
      <c r="B590" s="537"/>
      <c r="C590" s="537"/>
      <c r="D590" s="537"/>
      <c r="E590" s="395"/>
      <c r="F590" s="395"/>
      <c r="G590" s="395"/>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537"/>
      <c r="B591" s="537"/>
      <c r="C591" s="537"/>
      <c r="D591" s="537"/>
      <c r="E591" s="395"/>
      <c r="F591" s="395"/>
      <c r="G591" s="395"/>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537"/>
      <c r="B592" s="537"/>
      <c r="C592" s="537"/>
      <c r="D592" s="537"/>
      <c r="E592" s="395"/>
      <c r="F592" s="395"/>
      <c r="G592" s="395"/>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537"/>
      <c r="B593" s="537"/>
      <c r="C593" s="537"/>
      <c r="D593" s="537"/>
      <c r="E593" s="395"/>
      <c r="F593" s="395"/>
      <c r="G593" s="395"/>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537"/>
      <c r="B594" s="537"/>
      <c r="C594" s="537"/>
      <c r="D594" s="537"/>
      <c r="E594" s="395"/>
      <c r="F594" s="395"/>
      <c r="G594" s="395"/>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537"/>
      <c r="B595" s="537"/>
      <c r="C595" s="537"/>
      <c r="D595" s="537"/>
      <c r="E595" s="395"/>
      <c r="F595" s="395"/>
      <c r="G595" s="395"/>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537"/>
      <c r="B596" s="537"/>
      <c r="C596" s="537"/>
      <c r="D596" s="537"/>
      <c r="E596" s="395"/>
      <c r="F596" s="395"/>
      <c r="G596" s="395"/>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537"/>
      <c r="B597" s="537"/>
      <c r="C597" s="537"/>
      <c r="D597" s="537"/>
      <c r="E597" s="395"/>
      <c r="F597" s="395"/>
      <c r="G597" s="395"/>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537"/>
      <c r="B598" s="537"/>
      <c r="C598" s="537"/>
      <c r="D598" s="537"/>
      <c r="E598" s="395"/>
      <c r="F598" s="395"/>
      <c r="G598" s="395"/>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537"/>
      <c r="B599" s="537"/>
      <c r="C599" s="537"/>
      <c r="D599" s="537"/>
      <c r="E599" s="395"/>
      <c r="F599" s="395"/>
      <c r="G599" s="395"/>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537"/>
      <c r="B600" s="537"/>
      <c r="C600" s="537"/>
      <c r="D600" s="537"/>
      <c r="E600" s="395"/>
      <c r="F600" s="395"/>
      <c r="G600" s="395"/>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537"/>
      <c r="B601" s="537"/>
      <c r="C601" s="537"/>
      <c r="D601" s="537"/>
      <c r="E601" s="395"/>
      <c r="F601" s="395"/>
      <c r="G601" s="395"/>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537"/>
      <c r="B602" s="537"/>
      <c r="C602" s="537"/>
      <c r="D602" s="537"/>
      <c r="E602" s="395"/>
      <c r="F602" s="395"/>
      <c r="G602" s="395"/>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537"/>
      <c r="B603" s="537"/>
      <c r="C603" s="537"/>
      <c r="D603" s="537"/>
      <c r="E603" s="395"/>
      <c r="F603" s="395"/>
      <c r="G603" s="395"/>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537"/>
      <c r="B604" s="537"/>
      <c r="C604" s="537"/>
      <c r="D604" s="537"/>
      <c r="E604" s="395"/>
      <c r="F604" s="395"/>
      <c r="G604" s="395"/>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537"/>
      <c r="B605" s="537"/>
      <c r="C605" s="537"/>
      <c r="D605" s="537"/>
      <c r="E605" s="395"/>
      <c r="F605" s="395"/>
      <c r="G605" s="395"/>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537"/>
      <c r="B606" s="537"/>
      <c r="C606" s="537"/>
      <c r="D606" s="537"/>
      <c r="E606" s="395"/>
      <c r="F606" s="395"/>
      <c r="G606" s="395"/>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537"/>
      <c r="B607" s="537"/>
      <c r="C607" s="537"/>
      <c r="D607" s="537"/>
      <c r="E607" s="395"/>
      <c r="F607" s="395"/>
      <c r="G607" s="395"/>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537"/>
      <c r="B608" s="537"/>
      <c r="C608" s="537"/>
      <c r="D608" s="537"/>
      <c r="E608" s="395"/>
      <c r="F608" s="395"/>
      <c r="G608" s="395"/>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537"/>
      <c r="B609" s="537"/>
      <c r="C609" s="537"/>
      <c r="D609" s="537"/>
      <c r="E609" s="395"/>
      <c r="F609" s="395"/>
      <c r="G609" s="395"/>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537"/>
      <c r="B610" s="537"/>
      <c r="C610" s="537"/>
      <c r="D610" s="537"/>
      <c r="E610" s="395"/>
      <c r="F610" s="395"/>
      <c r="G610" s="395"/>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537"/>
      <c r="B611" s="537"/>
      <c r="C611" s="537"/>
      <c r="D611" s="537"/>
      <c r="E611" s="395"/>
      <c r="F611" s="395"/>
      <c r="G611" s="395"/>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537"/>
      <c r="B612" s="537"/>
      <c r="C612" s="537"/>
      <c r="D612" s="537"/>
      <c r="E612" s="395"/>
      <c r="F612" s="395"/>
      <c r="G612" s="395"/>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537"/>
      <c r="B613" s="537"/>
      <c r="C613" s="537"/>
      <c r="D613" s="537"/>
      <c r="E613" s="395"/>
      <c r="F613" s="395"/>
      <c r="G613" s="395"/>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537"/>
      <c r="B614" s="537"/>
      <c r="C614" s="537"/>
      <c r="D614" s="537"/>
      <c r="E614" s="395"/>
      <c r="F614" s="395"/>
      <c r="G614" s="395"/>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537"/>
      <c r="B615" s="537"/>
      <c r="C615" s="537"/>
      <c r="D615" s="537"/>
      <c r="E615" s="395"/>
      <c r="F615" s="395"/>
      <c r="G615" s="395"/>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537"/>
      <c r="B616" s="537"/>
      <c r="C616" s="537"/>
      <c r="D616" s="537"/>
      <c r="E616" s="395"/>
      <c r="F616" s="395"/>
      <c r="G616" s="395"/>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537"/>
      <c r="B617" s="537"/>
      <c r="C617" s="537"/>
      <c r="D617" s="537"/>
      <c r="E617" s="395"/>
      <c r="F617" s="395"/>
      <c r="G617" s="395"/>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537"/>
      <c r="B618" s="537"/>
      <c r="C618" s="537"/>
      <c r="D618" s="537"/>
      <c r="E618" s="395"/>
      <c r="F618" s="395"/>
      <c r="G618" s="395"/>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537"/>
      <c r="B619" s="537"/>
      <c r="C619" s="537"/>
      <c r="D619" s="537"/>
      <c r="E619" s="395"/>
      <c r="F619" s="395"/>
      <c r="G619" s="395"/>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537"/>
      <c r="B620" s="537"/>
      <c r="C620" s="537"/>
      <c r="D620" s="537"/>
      <c r="E620" s="395"/>
      <c r="F620" s="395"/>
      <c r="G620" s="395"/>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537"/>
      <c r="B621" s="537"/>
      <c r="C621" s="537"/>
      <c r="D621" s="537"/>
      <c r="E621" s="395"/>
      <c r="F621" s="395"/>
      <c r="G621" s="395"/>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537"/>
      <c r="B622" s="537"/>
      <c r="C622" s="537"/>
      <c r="D622" s="537"/>
      <c r="E622" s="395"/>
      <c r="F622" s="395"/>
      <c r="G622" s="395"/>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537"/>
      <c r="B623" s="537"/>
      <c r="C623" s="537"/>
      <c r="D623" s="537"/>
      <c r="E623" s="395"/>
      <c r="F623" s="395"/>
      <c r="G623" s="395"/>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537"/>
      <c r="B624" s="537"/>
      <c r="C624" s="537"/>
      <c r="D624" s="537"/>
      <c r="E624" s="395"/>
      <c r="F624" s="395"/>
      <c r="G624" s="395"/>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537"/>
      <c r="B625" s="537"/>
      <c r="C625" s="537"/>
      <c r="D625" s="537"/>
      <c r="E625" s="395"/>
      <c r="F625" s="395"/>
      <c r="G625" s="395"/>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537"/>
      <c r="B626" s="537"/>
      <c r="C626" s="537"/>
      <c r="D626" s="537"/>
      <c r="E626" s="395"/>
      <c r="F626" s="395"/>
      <c r="G626" s="395"/>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537"/>
      <c r="B627" s="537"/>
      <c r="C627" s="537"/>
      <c r="D627" s="537"/>
      <c r="E627" s="395"/>
      <c r="F627" s="395"/>
      <c r="G627" s="395"/>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537"/>
      <c r="B628" s="537"/>
      <c r="C628" s="537"/>
      <c r="D628" s="537"/>
      <c r="E628" s="395"/>
      <c r="F628" s="395"/>
      <c r="G628" s="395"/>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537"/>
      <c r="B629" s="537"/>
      <c r="C629" s="537"/>
      <c r="D629" s="537"/>
      <c r="E629" s="395"/>
      <c r="F629" s="395"/>
      <c r="G629" s="395"/>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537"/>
      <c r="B630" s="537"/>
      <c r="C630" s="537"/>
      <c r="D630" s="537"/>
      <c r="E630" s="395"/>
      <c r="F630" s="395"/>
      <c r="G630" s="395"/>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537"/>
      <c r="B631" s="537"/>
      <c r="C631" s="537"/>
      <c r="D631" s="537"/>
      <c r="E631" s="395"/>
      <c r="F631" s="395"/>
      <c r="G631" s="395"/>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537"/>
      <c r="B632" s="537"/>
      <c r="C632" s="537"/>
      <c r="D632" s="537"/>
      <c r="E632" s="395"/>
      <c r="F632" s="395"/>
      <c r="G632" s="395"/>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537"/>
      <c r="B633" s="537"/>
      <c r="C633" s="537"/>
      <c r="D633" s="537"/>
      <c r="E633" s="395"/>
      <c r="F633" s="395"/>
      <c r="G633" s="395"/>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537"/>
      <c r="B634" s="537"/>
      <c r="C634" s="537"/>
      <c r="D634" s="537"/>
      <c r="E634" s="395"/>
      <c r="F634" s="395"/>
      <c r="G634" s="395"/>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537"/>
      <c r="B635" s="537"/>
      <c r="C635" s="537"/>
      <c r="D635" s="537"/>
      <c r="E635" s="395"/>
      <c r="F635" s="395"/>
      <c r="G635" s="395"/>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537"/>
      <c r="B636" s="537"/>
      <c r="C636" s="537"/>
      <c r="D636" s="537"/>
      <c r="E636" s="395"/>
      <c r="F636" s="395"/>
      <c r="G636" s="395"/>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537"/>
      <c r="B637" s="537"/>
      <c r="C637" s="537"/>
      <c r="D637" s="537"/>
      <c r="E637" s="395"/>
      <c r="F637" s="395"/>
      <c r="G637" s="395"/>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537"/>
      <c r="B638" s="537"/>
      <c r="C638" s="537"/>
      <c r="D638" s="537"/>
      <c r="E638" s="395"/>
      <c r="F638" s="395"/>
      <c r="G638" s="395"/>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537"/>
      <c r="B639" s="537"/>
      <c r="C639" s="537"/>
      <c r="D639" s="537"/>
      <c r="E639" s="395"/>
      <c r="F639" s="395"/>
      <c r="G639" s="395"/>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537"/>
      <c r="B640" s="537"/>
      <c r="C640" s="537"/>
      <c r="D640" s="537"/>
      <c r="E640" s="395"/>
      <c r="F640" s="395"/>
      <c r="G640" s="395"/>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537"/>
      <c r="B641" s="537"/>
      <c r="C641" s="537"/>
      <c r="D641" s="537"/>
      <c r="E641" s="395"/>
      <c r="F641" s="395"/>
      <c r="G641" s="395"/>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537"/>
      <c r="B642" s="537"/>
      <c r="C642" s="537"/>
      <c r="D642" s="537"/>
      <c r="E642" s="395"/>
      <c r="F642" s="395"/>
      <c r="G642" s="395"/>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537"/>
      <c r="B643" s="537"/>
      <c r="C643" s="537"/>
      <c r="D643" s="537"/>
      <c r="E643" s="395"/>
      <c r="F643" s="395"/>
      <c r="G643" s="395"/>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537"/>
      <c r="B644" s="537"/>
      <c r="C644" s="537"/>
      <c r="D644" s="537"/>
      <c r="E644" s="395"/>
      <c r="F644" s="395"/>
      <c r="G644" s="395"/>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537"/>
      <c r="B645" s="537"/>
      <c r="C645" s="537"/>
      <c r="D645" s="537"/>
      <c r="E645" s="395"/>
      <c r="F645" s="395"/>
      <c r="G645" s="395"/>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537"/>
      <c r="B646" s="537"/>
      <c r="C646" s="537"/>
      <c r="D646" s="537"/>
      <c r="E646" s="395"/>
      <c r="F646" s="395"/>
      <c r="G646" s="395"/>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537"/>
      <c r="B647" s="537"/>
      <c r="C647" s="537"/>
      <c r="D647" s="537"/>
      <c r="E647" s="395"/>
      <c r="F647" s="395"/>
      <c r="G647" s="395"/>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537"/>
      <c r="B648" s="537"/>
      <c r="C648" s="537"/>
      <c r="D648" s="537"/>
      <c r="E648" s="395"/>
      <c r="F648" s="395"/>
      <c r="G648" s="395"/>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537"/>
      <c r="B649" s="537"/>
      <c r="C649" s="537"/>
      <c r="D649" s="537"/>
      <c r="E649" s="395"/>
      <c r="F649" s="395"/>
      <c r="G649" s="395"/>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537"/>
      <c r="B650" s="537"/>
      <c r="C650" s="537"/>
      <c r="D650" s="537"/>
      <c r="E650" s="395"/>
      <c r="F650" s="395"/>
      <c r="G650" s="395"/>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537"/>
      <c r="B651" s="537"/>
      <c r="C651" s="537"/>
      <c r="D651" s="537"/>
      <c r="E651" s="395"/>
      <c r="F651" s="395"/>
      <c r="G651" s="395"/>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537"/>
      <c r="B652" s="537"/>
      <c r="C652" s="537"/>
      <c r="D652" s="537"/>
      <c r="E652" s="395"/>
      <c r="F652" s="395"/>
      <c r="G652" s="395"/>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537"/>
      <c r="B653" s="537"/>
      <c r="C653" s="537"/>
      <c r="D653" s="537"/>
      <c r="E653" s="395"/>
      <c r="F653" s="395"/>
      <c r="G653" s="395"/>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537"/>
      <c r="B654" s="537"/>
      <c r="C654" s="537"/>
      <c r="D654" s="537"/>
      <c r="E654" s="395"/>
      <c r="F654" s="395"/>
      <c r="G654" s="395"/>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537"/>
      <c r="B655" s="537"/>
      <c r="C655" s="537"/>
      <c r="D655" s="537"/>
      <c r="E655" s="395"/>
      <c r="F655" s="395"/>
      <c r="G655" s="395"/>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537"/>
      <c r="B656" s="537"/>
      <c r="C656" s="537"/>
      <c r="D656" s="537"/>
      <c r="E656" s="395"/>
      <c r="F656" s="395"/>
      <c r="G656" s="395"/>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537"/>
      <c r="B657" s="537"/>
      <c r="C657" s="537"/>
      <c r="D657" s="537"/>
      <c r="E657" s="395"/>
      <c r="F657" s="395"/>
      <c r="G657" s="395"/>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537"/>
      <c r="B658" s="537"/>
      <c r="C658" s="537"/>
      <c r="D658" s="537"/>
      <c r="E658" s="395"/>
      <c r="F658" s="395"/>
      <c r="G658" s="395"/>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537"/>
      <c r="B659" s="537"/>
      <c r="C659" s="537"/>
      <c r="D659" s="537"/>
      <c r="E659" s="395"/>
      <c r="F659" s="395"/>
      <c r="G659" s="395"/>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537"/>
      <c r="B660" s="537"/>
      <c r="C660" s="537"/>
      <c r="D660" s="537"/>
      <c r="E660" s="395"/>
      <c r="F660" s="395"/>
      <c r="G660" s="395"/>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537"/>
      <c r="B661" s="537"/>
      <c r="C661" s="537"/>
      <c r="D661" s="537"/>
      <c r="E661" s="395"/>
      <c r="F661" s="395"/>
      <c r="G661" s="395"/>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537"/>
      <c r="B662" s="537"/>
      <c r="C662" s="537"/>
      <c r="D662" s="537"/>
      <c r="E662" s="395"/>
      <c r="F662" s="395"/>
      <c r="G662" s="395"/>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537"/>
      <c r="B663" s="537"/>
      <c r="C663" s="537"/>
      <c r="D663" s="537"/>
      <c r="E663" s="395"/>
      <c r="F663" s="395"/>
      <c r="G663" s="395"/>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537"/>
      <c r="B664" s="537"/>
      <c r="C664" s="537"/>
      <c r="D664" s="537"/>
      <c r="E664" s="395"/>
      <c r="F664" s="395"/>
      <c r="G664" s="395"/>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537"/>
      <c r="B665" s="537"/>
      <c r="C665" s="537"/>
      <c r="D665" s="537"/>
      <c r="E665" s="395"/>
      <c r="F665" s="395"/>
      <c r="G665" s="395"/>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537"/>
      <c r="B666" s="537"/>
      <c r="C666" s="537"/>
      <c r="D666" s="537"/>
      <c r="E666" s="395"/>
      <c r="F666" s="395"/>
      <c r="G666" s="395"/>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537"/>
      <c r="B667" s="537"/>
      <c r="C667" s="537"/>
      <c r="D667" s="537"/>
      <c r="E667" s="395"/>
      <c r="F667" s="395"/>
      <c r="G667" s="395"/>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537"/>
      <c r="B668" s="537"/>
      <c r="C668" s="537"/>
      <c r="D668" s="537"/>
      <c r="E668" s="395"/>
      <c r="F668" s="395"/>
      <c r="G668" s="395"/>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537"/>
      <c r="B669" s="537"/>
      <c r="C669" s="537"/>
      <c r="D669" s="537"/>
      <c r="E669" s="395"/>
      <c r="F669" s="395"/>
      <c r="G669" s="395"/>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537"/>
      <c r="B670" s="537"/>
      <c r="C670" s="537"/>
      <c r="D670" s="537"/>
      <c r="E670" s="395"/>
      <c r="F670" s="395"/>
      <c r="G670" s="395"/>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537"/>
      <c r="B671" s="537"/>
      <c r="C671" s="537"/>
      <c r="D671" s="537"/>
      <c r="E671" s="395"/>
      <c r="F671" s="395"/>
      <c r="G671" s="395"/>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537"/>
      <c r="B672" s="537"/>
      <c r="C672" s="537"/>
      <c r="D672" s="537"/>
      <c r="E672" s="395"/>
      <c r="F672" s="395"/>
      <c r="G672" s="395"/>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537"/>
      <c r="B673" s="537"/>
      <c r="C673" s="537"/>
      <c r="D673" s="537"/>
      <c r="E673" s="395"/>
      <c r="F673" s="395"/>
      <c r="G673" s="395"/>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537"/>
      <c r="B674" s="537"/>
      <c r="C674" s="537"/>
      <c r="D674" s="537"/>
      <c r="E674" s="395"/>
      <c r="F674" s="395"/>
      <c r="G674" s="395"/>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537"/>
      <c r="B675" s="537"/>
      <c r="C675" s="537"/>
      <c r="D675" s="537"/>
      <c r="E675" s="395"/>
      <c r="F675" s="395"/>
      <c r="G675" s="395"/>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537"/>
      <c r="B676" s="537"/>
      <c r="C676" s="537"/>
      <c r="D676" s="537"/>
      <c r="E676" s="395"/>
      <c r="F676" s="395"/>
      <c r="G676" s="395"/>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537"/>
      <c r="B677" s="537"/>
      <c r="C677" s="537"/>
      <c r="D677" s="537"/>
      <c r="E677" s="395"/>
      <c r="F677" s="395"/>
      <c r="G677" s="395"/>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537"/>
      <c r="B678" s="537"/>
      <c r="C678" s="537"/>
      <c r="D678" s="537"/>
      <c r="E678" s="395"/>
      <c r="F678" s="395"/>
      <c r="G678" s="395"/>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537"/>
      <c r="B679" s="537"/>
      <c r="C679" s="537"/>
      <c r="D679" s="537"/>
      <c r="E679" s="395"/>
      <c r="F679" s="395"/>
      <c r="G679" s="395"/>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537"/>
      <c r="B680" s="537"/>
      <c r="C680" s="537"/>
      <c r="D680" s="537"/>
      <c r="E680" s="395"/>
      <c r="F680" s="395"/>
      <c r="G680" s="395"/>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537"/>
      <c r="B681" s="537"/>
      <c r="C681" s="537"/>
      <c r="D681" s="537"/>
      <c r="E681" s="395"/>
      <c r="F681" s="395"/>
      <c r="G681" s="395"/>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537"/>
      <c r="B682" s="537"/>
      <c r="C682" s="537"/>
      <c r="D682" s="537"/>
      <c r="E682" s="395"/>
      <c r="F682" s="395"/>
      <c r="G682" s="395"/>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537"/>
      <c r="B683" s="537"/>
      <c r="C683" s="537"/>
      <c r="D683" s="537"/>
      <c r="E683" s="395"/>
      <c r="F683" s="395"/>
      <c r="G683" s="395"/>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537"/>
      <c r="B684" s="537"/>
      <c r="C684" s="537"/>
      <c r="D684" s="537"/>
      <c r="E684" s="395"/>
      <c r="F684" s="395"/>
      <c r="G684" s="395"/>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537"/>
      <c r="B685" s="537"/>
      <c r="C685" s="537"/>
      <c r="D685" s="537"/>
      <c r="E685" s="395"/>
      <c r="F685" s="395"/>
      <c r="G685" s="395"/>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537"/>
      <c r="B686" s="537"/>
      <c r="C686" s="537"/>
      <c r="D686" s="537"/>
      <c r="E686" s="395"/>
      <c r="F686" s="395"/>
      <c r="G686" s="395"/>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537"/>
      <c r="B687" s="537"/>
      <c r="C687" s="537"/>
      <c r="D687" s="537"/>
      <c r="E687" s="395"/>
      <c r="F687" s="395"/>
      <c r="G687" s="395"/>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537"/>
      <c r="B688" s="537"/>
      <c r="C688" s="537"/>
      <c r="D688" s="537"/>
      <c r="E688" s="395"/>
      <c r="F688" s="395"/>
      <c r="G688" s="395"/>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537"/>
      <c r="B689" s="537"/>
      <c r="C689" s="537"/>
      <c r="D689" s="537"/>
      <c r="E689" s="395"/>
      <c r="F689" s="395"/>
      <c r="G689" s="395"/>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537"/>
      <c r="B690" s="537"/>
      <c r="C690" s="537"/>
      <c r="D690" s="537"/>
      <c r="E690" s="395"/>
      <c r="F690" s="395"/>
      <c r="G690" s="395"/>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537"/>
      <c r="B691" s="537"/>
      <c r="C691" s="537"/>
      <c r="D691" s="537"/>
      <c r="E691" s="395"/>
      <c r="F691" s="395"/>
      <c r="G691" s="395"/>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537"/>
      <c r="B692" s="537"/>
      <c r="C692" s="537"/>
      <c r="D692" s="537"/>
      <c r="E692" s="395"/>
      <c r="F692" s="395"/>
      <c r="G692" s="395"/>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537"/>
      <c r="B693" s="537"/>
      <c r="C693" s="537"/>
      <c r="D693" s="537"/>
      <c r="E693" s="395"/>
      <c r="F693" s="395"/>
      <c r="G693" s="395"/>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537"/>
      <c r="B694" s="537"/>
      <c r="C694" s="537"/>
      <c r="D694" s="537"/>
      <c r="E694" s="395"/>
      <c r="F694" s="395"/>
      <c r="G694" s="395"/>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537"/>
      <c r="B695" s="537"/>
      <c r="C695" s="537"/>
      <c r="D695" s="537"/>
      <c r="E695" s="395"/>
      <c r="F695" s="395"/>
      <c r="G695" s="395"/>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537"/>
      <c r="B696" s="537"/>
      <c r="C696" s="537"/>
      <c r="D696" s="537"/>
      <c r="E696" s="395"/>
      <c r="F696" s="395"/>
      <c r="G696" s="395"/>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537"/>
      <c r="B697" s="537"/>
      <c r="C697" s="537"/>
      <c r="D697" s="537"/>
      <c r="E697" s="395"/>
      <c r="F697" s="395"/>
      <c r="G697" s="395"/>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537"/>
      <c r="B698" s="537"/>
      <c r="C698" s="537"/>
      <c r="D698" s="537"/>
      <c r="E698" s="395"/>
      <c r="F698" s="395"/>
      <c r="G698" s="395"/>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537"/>
      <c r="B699" s="537"/>
      <c r="C699" s="537"/>
      <c r="D699" s="537"/>
      <c r="E699" s="395"/>
      <c r="F699" s="395"/>
      <c r="G699" s="395"/>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537"/>
      <c r="B700" s="537"/>
      <c r="C700" s="537"/>
      <c r="D700" s="537"/>
      <c r="E700" s="395"/>
      <c r="F700" s="395"/>
      <c r="G700" s="395"/>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537"/>
      <c r="B701" s="537"/>
      <c r="C701" s="537"/>
      <c r="D701" s="537"/>
      <c r="E701" s="395"/>
      <c r="F701" s="395"/>
      <c r="G701" s="395"/>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537"/>
      <c r="B702" s="537"/>
      <c r="C702" s="537"/>
      <c r="D702" s="537"/>
      <c r="E702" s="395"/>
      <c r="F702" s="395"/>
      <c r="G702" s="395"/>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537"/>
      <c r="B703" s="537"/>
      <c r="C703" s="537"/>
      <c r="D703" s="537"/>
      <c r="E703" s="395"/>
      <c r="F703" s="395"/>
      <c r="G703" s="395"/>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537"/>
      <c r="B704" s="537"/>
      <c r="C704" s="537"/>
      <c r="D704" s="537"/>
      <c r="E704" s="395"/>
      <c r="F704" s="395"/>
      <c r="G704" s="395"/>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537"/>
      <c r="B705" s="537"/>
      <c r="C705" s="537"/>
      <c r="D705" s="537"/>
      <c r="E705" s="395"/>
      <c r="F705" s="395"/>
      <c r="G705" s="395"/>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537"/>
      <c r="B706" s="537"/>
      <c r="C706" s="537"/>
      <c r="D706" s="537"/>
      <c r="E706" s="395"/>
      <c r="F706" s="395"/>
      <c r="G706" s="395"/>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537"/>
      <c r="B707" s="537"/>
      <c r="C707" s="537"/>
      <c r="D707" s="537"/>
      <c r="E707" s="395"/>
      <c r="F707" s="395"/>
      <c r="G707" s="395"/>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537"/>
      <c r="B708" s="537"/>
      <c r="C708" s="537"/>
      <c r="D708" s="537"/>
      <c r="E708" s="395"/>
      <c r="F708" s="395"/>
      <c r="G708" s="395"/>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537"/>
      <c r="B709" s="537"/>
      <c r="C709" s="537"/>
      <c r="D709" s="537"/>
      <c r="E709" s="395"/>
      <c r="F709" s="395"/>
      <c r="G709" s="395"/>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537"/>
      <c r="B710" s="537"/>
      <c r="C710" s="537"/>
      <c r="D710" s="537"/>
      <c r="E710" s="395"/>
      <c r="F710" s="395"/>
      <c r="G710" s="395"/>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537"/>
      <c r="B711" s="537"/>
      <c r="C711" s="537"/>
      <c r="D711" s="537"/>
      <c r="E711" s="395"/>
      <c r="F711" s="395"/>
      <c r="G711" s="395"/>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537"/>
      <c r="B712" s="537"/>
      <c r="C712" s="537"/>
      <c r="D712" s="537"/>
      <c r="E712" s="395"/>
      <c r="F712" s="395"/>
      <c r="G712" s="395"/>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537"/>
      <c r="B713" s="537"/>
      <c r="C713" s="537"/>
      <c r="D713" s="537"/>
      <c r="E713" s="395"/>
      <c r="F713" s="395"/>
      <c r="G713" s="395"/>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537"/>
      <c r="B714" s="537"/>
      <c r="C714" s="537"/>
      <c r="D714" s="537"/>
      <c r="E714" s="395"/>
      <c r="F714" s="395"/>
      <c r="G714" s="395"/>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537"/>
      <c r="B715" s="537"/>
      <c r="C715" s="537"/>
      <c r="D715" s="537"/>
      <c r="E715" s="395"/>
      <c r="F715" s="395"/>
      <c r="G715" s="395"/>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537"/>
      <c r="B716" s="537"/>
      <c r="C716" s="537"/>
      <c r="D716" s="537"/>
      <c r="E716" s="395"/>
      <c r="F716" s="395"/>
      <c r="G716" s="395"/>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537"/>
      <c r="B717" s="537"/>
      <c r="C717" s="537"/>
      <c r="D717" s="537"/>
      <c r="E717" s="395"/>
      <c r="F717" s="395"/>
      <c r="G717" s="395"/>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537"/>
      <c r="B718" s="537"/>
      <c r="C718" s="537"/>
      <c r="D718" s="537"/>
      <c r="E718" s="395"/>
      <c r="F718" s="395"/>
      <c r="G718" s="395"/>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537"/>
      <c r="B719" s="537"/>
      <c r="C719" s="537"/>
      <c r="D719" s="537"/>
      <c r="E719" s="395"/>
      <c r="F719" s="395"/>
      <c r="G719" s="395"/>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537"/>
      <c r="B720" s="537"/>
      <c r="C720" s="537"/>
      <c r="D720" s="537"/>
      <c r="E720" s="395"/>
      <c r="F720" s="395"/>
      <c r="G720" s="395"/>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537"/>
      <c r="B721" s="537"/>
      <c r="C721" s="537"/>
      <c r="D721" s="537"/>
      <c r="E721" s="395"/>
      <c r="F721" s="395"/>
      <c r="G721" s="395"/>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537"/>
      <c r="B722" s="537"/>
      <c r="C722" s="537"/>
      <c r="D722" s="537"/>
      <c r="E722" s="395"/>
      <c r="F722" s="395"/>
      <c r="G722" s="395"/>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537"/>
      <c r="B723" s="537"/>
      <c r="C723" s="537"/>
      <c r="D723" s="537"/>
      <c r="E723" s="395"/>
      <c r="F723" s="395"/>
      <c r="G723" s="395"/>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537"/>
      <c r="B724" s="537"/>
      <c r="C724" s="537"/>
      <c r="D724" s="537"/>
      <c r="E724" s="395"/>
      <c r="F724" s="395"/>
      <c r="G724" s="395"/>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537"/>
      <c r="B725" s="537"/>
      <c r="C725" s="537"/>
      <c r="D725" s="537"/>
      <c r="E725" s="395"/>
      <c r="F725" s="395"/>
      <c r="G725" s="395"/>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537"/>
      <c r="B726" s="537"/>
      <c r="C726" s="537"/>
      <c r="D726" s="537"/>
      <c r="E726" s="395"/>
      <c r="F726" s="395"/>
      <c r="G726" s="395"/>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537"/>
      <c r="B727" s="537"/>
      <c r="C727" s="537"/>
      <c r="D727" s="537"/>
      <c r="E727" s="395"/>
      <c r="F727" s="395"/>
      <c r="G727" s="395"/>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537"/>
      <c r="B728" s="537"/>
      <c r="C728" s="537"/>
      <c r="D728" s="537"/>
      <c r="E728" s="395"/>
      <c r="F728" s="395"/>
      <c r="G728" s="395"/>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537"/>
      <c r="B729" s="537"/>
      <c r="C729" s="537"/>
      <c r="D729" s="537"/>
      <c r="E729" s="395"/>
      <c r="F729" s="395"/>
      <c r="G729" s="395"/>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537"/>
      <c r="B730" s="537"/>
      <c r="C730" s="537"/>
      <c r="D730" s="537"/>
      <c r="E730" s="395"/>
      <c r="F730" s="395"/>
      <c r="G730" s="395"/>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537"/>
      <c r="B731" s="537"/>
      <c r="C731" s="537"/>
      <c r="D731" s="537"/>
      <c r="E731" s="395"/>
      <c r="F731" s="395"/>
      <c r="G731" s="395"/>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537"/>
      <c r="B732" s="537"/>
      <c r="C732" s="537"/>
      <c r="D732" s="537"/>
      <c r="E732" s="395"/>
      <c r="F732" s="395"/>
      <c r="G732" s="395"/>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537"/>
      <c r="B733" s="537"/>
      <c r="C733" s="537"/>
      <c r="D733" s="537"/>
      <c r="E733" s="395"/>
      <c r="F733" s="395"/>
      <c r="G733" s="395"/>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537"/>
      <c r="B734" s="537"/>
      <c r="C734" s="537"/>
      <c r="D734" s="537"/>
      <c r="E734" s="395"/>
      <c r="F734" s="395"/>
      <c r="G734" s="395"/>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537"/>
      <c r="B735" s="537"/>
      <c r="C735" s="537"/>
      <c r="D735" s="537"/>
      <c r="E735" s="395"/>
      <c r="F735" s="395"/>
      <c r="G735" s="395"/>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537"/>
      <c r="B736" s="537"/>
      <c r="C736" s="537"/>
      <c r="D736" s="537"/>
      <c r="E736" s="395"/>
      <c r="F736" s="395"/>
      <c r="G736" s="395"/>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537"/>
      <c r="B737" s="537"/>
      <c r="C737" s="537"/>
      <c r="D737" s="537"/>
      <c r="E737" s="395"/>
      <c r="F737" s="395"/>
      <c r="G737" s="395"/>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537"/>
      <c r="B738" s="537"/>
      <c r="C738" s="537"/>
      <c r="D738" s="537"/>
      <c r="E738" s="395"/>
      <c r="F738" s="395"/>
      <c r="G738" s="395"/>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537"/>
      <c r="B739" s="537"/>
      <c r="C739" s="537"/>
      <c r="D739" s="537"/>
      <c r="E739" s="395"/>
      <c r="F739" s="395"/>
      <c r="G739" s="395"/>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537"/>
      <c r="B740" s="537"/>
      <c r="C740" s="537"/>
      <c r="D740" s="537"/>
      <c r="E740" s="395"/>
      <c r="F740" s="395"/>
      <c r="G740" s="395"/>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537"/>
      <c r="B741" s="537"/>
      <c r="C741" s="537"/>
      <c r="D741" s="537"/>
      <c r="E741" s="395"/>
      <c r="F741" s="395"/>
      <c r="G741" s="395"/>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537"/>
      <c r="B742" s="537"/>
      <c r="C742" s="537"/>
      <c r="D742" s="537"/>
      <c r="E742" s="395"/>
      <c r="F742" s="395"/>
      <c r="G742" s="395"/>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537"/>
      <c r="B743" s="537"/>
      <c r="C743" s="537"/>
      <c r="D743" s="537"/>
      <c r="E743" s="395"/>
      <c r="F743" s="395"/>
      <c r="G743" s="395"/>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537"/>
      <c r="B744" s="537"/>
      <c r="C744" s="537"/>
      <c r="D744" s="537"/>
      <c r="E744" s="395"/>
      <c r="F744" s="395"/>
      <c r="G744" s="395"/>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537"/>
      <c r="B745" s="537"/>
      <c r="C745" s="537"/>
      <c r="D745" s="537"/>
      <c r="E745" s="395"/>
      <c r="F745" s="395"/>
      <c r="G745" s="395"/>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537"/>
      <c r="B746" s="537"/>
      <c r="C746" s="537"/>
      <c r="D746" s="537"/>
      <c r="E746" s="395"/>
      <c r="F746" s="395"/>
      <c r="G746" s="395"/>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537"/>
      <c r="B747" s="537"/>
      <c r="C747" s="537"/>
      <c r="D747" s="537"/>
      <c r="E747" s="395"/>
      <c r="F747" s="395"/>
      <c r="G747" s="395"/>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537"/>
      <c r="B748" s="537"/>
      <c r="C748" s="537"/>
      <c r="D748" s="537"/>
      <c r="E748" s="395"/>
      <c r="F748" s="395"/>
      <c r="G748" s="395"/>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537"/>
      <c r="B749" s="537"/>
      <c r="C749" s="537"/>
      <c r="D749" s="537"/>
      <c r="E749" s="395"/>
      <c r="F749" s="395"/>
      <c r="G749" s="395"/>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537"/>
      <c r="B750" s="537"/>
      <c r="C750" s="537"/>
      <c r="D750" s="537"/>
      <c r="E750" s="395"/>
      <c r="F750" s="395"/>
      <c r="G750" s="395"/>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537"/>
      <c r="B751" s="537"/>
      <c r="C751" s="537"/>
      <c r="D751" s="537"/>
      <c r="E751" s="395"/>
      <c r="F751" s="395"/>
      <c r="G751" s="395"/>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537"/>
      <c r="B752" s="537"/>
      <c r="C752" s="537"/>
      <c r="D752" s="537"/>
      <c r="E752" s="395"/>
      <c r="F752" s="395"/>
      <c r="G752" s="395"/>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537"/>
      <c r="B753" s="537"/>
      <c r="C753" s="537"/>
      <c r="D753" s="537"/>
      <c r="E753" s="395"/>
      <c r="F753" s="395"/>
      <c r="G753" s="395"/>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537"/>
      <c r="B754" s="537"/>
      <c r="C754" s="537"/>
      <c r="D754" s="537"/>
      <c r="E754" s="395"/>
      <c r="F754" s="395"/>
      <c r="G754" s="395"/>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537"/>
      <c r="B755" s="537"/>
      <c r="C755" s="537"/>
      <c r="D755" s="537"/>
      <c r="E755" s="395"/>
      <c r="F755" s="395"/>
      <c r="G755" s="395"/>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537"/>
      <c r="B756" s="537"/>
      <c r="C756" s="537"/>
      <c r="D756" s="537"/>
      <c r="E756" s="395"/>
      <c r="F756" s="395"/>
      <c r="G756" s="395"/>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537"/>
      <c r="B757" s="537"/>
      <c r="C757" s="537"/>
      <c r="D757" s="537"/>
      <c r="E757" s="395"/>
      <c r="F757" s="395"/>
      <c r="G757" s="395"/>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537"/>
      <c r="B758" s="537"/>
      <c r="C758" s="537"/>
      <c r="D758" s="537"/>
      <c r="E758" s="395"/>
      <c r="F758" s="395"/>
      <c r="G758" s="395"/>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537"/>
      <c r="B759" s="537"/>
      <c r="C759" s="537"/>
      <c r="D759" s="537"/>
      <c r="E759" s="395"/>
      <c r="F759" s="395"/>
      <c r="G759" s="395"/>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537"/>
      <c r="B760" s="537"/>
      <c r="C760" s="537"/>
      <c r="D760" s="537"/>
      <c r="E760" s="395"/>
      <c r="F760" s="395"/>
      <c r="G760" s="395"/>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537"/>
      <c r="B761" s="537"/>
      <c r="C761" s="537"/>
      <c r="D761" s="537"/>
      <c r="E761" s="395"/>
      <c r="F761" s="395"/>
      <c r="G761" s="395"/>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537"/>
      <c r="B762" s="537"/>
      <c r="C762" s="537"/>
      <c r="D762" s="537"/>
      <c r="E762" s="395"/>
      <c r="F762" s="395"/>
      <c r="G762" s="395"/>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537"/>
      <c r="B763" s="537"/>
      <c r="C763" s="537"/>
      <c r="D763" s="537"/>
      <c r="E763" s="395"/>
      <c r="F763" s="395"/>
      <c r="G763" s="395"/>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537"/>
      <c r="B764" s="537"/>
      <c r="C764" s="537"/>
      <c r="D764" s="537"/>
      <c r="E764" s="395"/>
      <c r="F764" s="395"/>
      <c r="G764" s="395"/>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537"/>
      <c r="B765" s="537"/>
      <c r="C765" s="537"/>
      <c r="D765" s="537"/>
      <c r="E765" s="395"/>
      <c r="F765" s="395"/>
      <c r="G765" s="395"/>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537"/>
      <c r="B766" s="537"/>
      <c r="C766" s="537"/>
      <c r="D766" s="537"/>
      <c r="E766" s="395"/>
      <c r="F766" s="395"/>
      <c r="G766" s="395"/>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537"/>
      <c r="B767" s="537"/>
      <c r="C767" s="537"/>
      <c r="D767" s="537"/>
      <c r="E767" s="395"/>
      <c r="F767" s="395"/>
      <c r="G767" s="395"/>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537"/>
      <c r="B768" s="537"/>
      <c r="C768" s="537"/>
      <c r="D768" s="537"/>
      <c r="E768" s="395"/>
      <c r="F768" s="395"/>
      <c r="G768" s="395"/>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537"/>
      <c r="B769" s="537"/>
      <c r="C769" s="537"/>
      <c r="D769" s="537"/>
      <c r="E769" s="395"/>
      <c r="F769" s="395"/>
      <c r="G769" s="395"/>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537"/>
      <c r="B770" s="537"/>
      <c r="C770" s="537"/>
      <c r="D770" s="537"/>
      <c r="E770" s="395"/>
      <c r="F770" s="395"/>
      <c r="G770" s="395"/>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537"/>
      <c r="B771" s="537"/>
      <c r="C771" s="537"/>
      <c r="D771" s="537"/>
      <c r="E771" s="395"/>
      <c r="F771" s="395"/>
      <c r="G771" s="395"/>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537"/>
      <c r="B772" s="537"/>
      <c r="C772" s="537"/>
      <c r="D772" s="537"/>
      <c r="E772" s="395"/>
      <c r="F772" s="395"/>
      <c r="G772" s="395"/>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537"/>
      <c r="B773" s="537"/>
      <c r="C773" s="537"/>
      <c r="D773" s="537"/>
      <c r="E773" s="395"/>
      <c r="F773" s="395"/>
      <c r="G773" s="395"/>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537"/>
      <c r="B774" s="537"/>
      <c r="C774" s="537"/>
      <c r="D774" s="537"/>
      <c r="E774" s="395"/>
      <c r="F774" s="395"/>
      <c r="G774" s="395"/>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537"/>
      <c r="B775" s="537"/>
      <c r="C775" s="537"/>
      <c r="D775" s="537"/>
      <c r="E775" s="395"/>
      <c r="F775" s="395"/>
      <c r="G775" s="395"/>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537"/>
      <c r="B776" s="537"/>
      <c r="C776" s="537"/>
      <c r="D776" s="537"/>
      <c r="E776" s="395"/>
      <c r="F776" s="395"/>
      <c r="G776" s="395"/>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537"/>
      <c r="B777" s="537"/>
      <c r="C777" s="537"/>
      <c r="D777" s="537"/>
      <c r="E777" s="395"/>
      <c r="F777" s="395"/>
      <c r="G777" s="395"/>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537"/>
      <c r="B778" s="537"/>
      <c r="C778" s="537"/>
      <c r="D778" s="537"/>
      <c r="E778" s="395"/>
      <c r="F778" s="395"/>
      <c r="G778" s="395"/>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537"/>
      <c r="B779" s="537"/>
      <c r="C779" s="537"/>
      <c r="D779" s="537"/>
      <c r="E779" s="395"/>
      <c r="F779" s="395"/>
      <c r="G779" s="395"/>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537"/>
      <c r="B780" s="537"/>
      <c r="C780" s="537"/>
      <c r="D780" s="537"/>
      <c r="E780" s="395"/>
      <c r="F780" s="395"/>
      <c r="G780" s="395"/>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537"/>
      <c r="B781" s="537"/>
      <c r="C781" s="537"/>
      <c r="D781" s="537"/>
      <c r="E781" s="395"/>
      <c r="F781" s="395"/>
      <c r="G781" s="395"/>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537"/>
      <c r="B782" s="537"/>
      <c r="C782" s="537"/>
      <c r="D782" s="537"/>
      <c r="E782" s="395"/>
      <c r="F782" s="395"/>
      <c r="G782" s="395"/>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537"/>
      <c r="B783" s="537"/>
      <c r="C783" s="537"/>
      <c r="D783" s="537"/>
      <c r="E783" s="395"/>
      <c r="F783" s="395"/>
      <c r="G783" s="395"/>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537"/>
      <c r="B784" s="537"/>
      <c r="C784" s="537"/>
      <c r="D784" s="537"/>
      <c r="E784" s="395"/>
      <c r="F784" s="395"/>
      <c r="G784" s="395"/>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537"/>
      <c r="B785" s="537"/>
      <c r="C785" s="537"/>
      <c r="D785" s="537"/>
      <c r="E785" s="395"/>
      <c r="F785" s="395"/>
      <c r="G785" s="395"/>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537"/>
      <c r="B786" s="537"/>
      <c r="C786" s="537"/>
      <c r="D786" s="537"/>
      <c r="E786" s="395"/>
      <c r="F786" s="395"/>
      <c r="G786" s="395"/>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537"/>
      <c r="B787" s="537"/>
      <c r="C787" s="537"/>
      <c r="D787" s="537"/>
      <c r="E787" s="395"/>
      <c r="F787" s="395"/>
      <c r="G787" s="395"/>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537"/>
      <c r="B788" s="537"/>
      <c r="C788" s="537"/>
      <c r="D788" s="537"/>
      <c r="E788" s="395"/>
      <c r="F788" s="395"/>
      <c r="G788" s="395"/>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537"/>
      <c r="B789" s="537"/>
      <c r="C789" s="537"/>
      <c r="D789" s="537"/>
      <c r="E789" s="395"/>
      <c r="F789" s="395"/>
      <c r="G789" s="395"/>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537"/>
      <c r="B790" s="537"/>
      <c r="C790" s="537"/>
      <c r="D790" s="537"/>
      <c r="E790" s="395"/>
      <c r="F790" s="395"/>
      <c r="G790" s="395"/>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537"/>
      <c r="B791" s="537"/>
      <c r="C791" s="537"/>
      <c r="D791" s="537"/>
      <c r="E791" s="395"/>
      <c r="F791" s="395"/>
      <c r="G791" s="395"/>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537"/>
      <c r="B792" s="537"/>
      <c r="C792" s="537"/>
      <c r="D792" s="537"/>
      <c r="E792" s="395"/>
      <c r="F792" s="395"/>
      <c r="G792" s="395"/>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537"/>
      <c r="B793" s="537"/>
      <c r="C793" s="537"/>
      <c r="D793" s="537"/>
      <c r="E793" s="395"/>
      <c r="F793" s="395"/>
      <c r="G793" s="395"/>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537"/>
      <c r="B794" s="537"/>
      <c r="C794" s="537"/>
      <c r="D794" s="537"/>
      <c r="E794" s="395"/>
      <c r="F794" s="395"/>
      <c r="G794" s="395"/>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537"/>
      <c r="B795" s="537"/>
      <c r="C795" s="537"/>
      <c r="D795" s="537"/>
      <c r="E795" s="395"/>
      <c r="F795" s="395"/>
      <c r="G795" s="395"/>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537"/>
      <c r="B796" s="537"/>
      <c r="C796" s="537"/>
      <c r="D796" s="537"/>
      <c r="E796" s="395"/>
      <c r="F796" s="395"/>
      <c r="G796" s="395"/>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537"/>
      <c r="B797" s="537"/>
      <c r="C797" s="537"/>
      <c r="D797" s="537"/>
      <c r="E797" s="395"/>
      <c r="F797" s="395"/>
      <c r="G797" s="395"/>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537"/>
      <c r="B798" s="537"/>
      <c r="C798" s="537"/>
      <c r="D798" s="537"/>
      <c r="E798" s="395"/>
      <c r="F798" s="395"/>
      <c r="G798" s="395"/>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537"/>
      <c r="B799" s="537"/>
      <c r="C799" s="537"/>
      <c r="D799" s="537"/>
      <c r="E799" s="395"/>
      <c r="F799" s="395"/>
      <c r="G799" s="395"/>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537"/>
      <c r="B800" s="537"/>
      <c r="C800" s="537"/>
      <c r="D800" s="537"/>
      <c r="E800" s="395"/>
      <c r="F800" s="395"/>
      <c r="G800" s="395"/>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537"/>
      <c r="B801" s="537"/>
      <c r="C801" s="537"/>
      <c r="D801" s="537"/>
      <c r="E801" s="395"/>
      <c r="F801" s="395"/>
      <c r="G801" s="395"/>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537"/>
      <c r="B802" s="537"/>
      <c r="C802" s="537"/>
      <c r="D802" s="537"/>
      <c r="E802" s="395"/>
      <c r="F802" s="395"/>
      <c r="G802" s="395"/>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537"/>
      <c r="B803" s="537"/>
      <c r="C803" s="537"/>
      <c r="D803" s="537"/>
      <c r="E803" s="395"/>
      <c r="F803" s="395"/>
      <c r="G803" s="395"/>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537"/>
      <c r="B804" s="537"/>
      <c r="C804" s="537"/>
      <c r="D804" s="537"/>
      <c r="E804" s="395"/>
      <c r="F804" s="395"/>
      <c r="G804" s="395"/>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537"/>
      <c r="B805" s="537"/>
      <c r="C805" s="537"/>
      <c r="D805" s="537"/>
      <c r="E805" s="395"/>
      <c r="F805" s="395"/>
      <c r="G805" s="395"/>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537"/>
      <c r="B806" s="537"/>
      <c r="C806" s="537"/>
      <c r="D806" s="537"/>
      <c r="E806" s="395"/>
      <c r="F806" s="395"/>
      <c r="G806" s="395"/>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537"/>
      <c r="B807" s="537"/>
      <c r="C807" s="537"/>
      <c r="D807" s="537"/>
      <c r="E807" s="395"/>
      <c r="F807" s="395"/>
      <c r="G807" s="395"/>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537"/>
      <c r="B808" s="537"/>
      <c r="C808" s="537"/>
      <c r="D808" s="537"/>
      <c r="E808" s="395"/>
      <c r="F808" s="395"/>
      <c r="G808" s="395"/>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537"/>
      <c r="B809" s="537"/>
      <c r="C809" s="537"/>
      <c r="D809" s="537"/>
      <c r="E809" s="395"/>
      <c r="F809" s="395"/>
      <c r="G809" s="395"/>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537"/>
      <c r="B810" s="537"/>
      <c r="C810" s="537"/>
      <c r="D810" s="537"/>
      <c r="E810" s="395"/>
      <c r="F810" s="395"/>
      <c r="G810" s="395"/>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537"/>
      <c r="B811" s="537"/>
      <c r="C811" s="537"/>
      <c r="D811" s="537"/>
      <c r="E811" s="395"/>
      <c r="F811" s="395"/>
      <c r="G811" s="395"/>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537"/>
      <c r="B812" s="537"/>
      <c r="C812" s="537"/>
      <c r="D812" s="537"/>
      <c r="E812" s="395"/>
      <c r="F812" s="395"/>
      <c r="G812" s="395"/>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537"/>
      <c r="B813" s="537"/>
      <c r="C813" s="537"/>
      <c r="D813" s="537"/>
      <c r="E813" s="395"/>
      <c r="F813" s="395"/>
      <c r="G813" s="395"/>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537"/>
      <c r="B814" s="537"/>
      <c r="C814" s="537"/>
      <c r="D814" s="537"/>
      <c r="E814" s="395"/>
      <c r="F814" s="395"/>
      <c r="G814" s="395"/>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537"/>
      <c r="B815" s="537"/>
      <c r="C815" s="537"/>
      <c r="D815" s="537"/>
      <c r="E815" s="395"/>
      <c r="F815" s="395"/>
      <c r="G815" s="395"/>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537"/>
      <c r="B816" s="537"/>
      <c r="C816" s="537"/>
      <c r="D816" s="537"/>
      <c r="E816" s="395"/>
      <c r="F816" s="395"/>
      <c r="G816" s="395"/>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537"/>
      <c r="B817" s="537"/>
      <c r="C817" s="537"/>
      <c r="D817" s="537"/>
      <c r="E817" s="395"/>
      <c r="F817" s="395"/>
      <c r="G817" s="395"/>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537"/>
      <c r="B818" s="537"/>
      <c r="C818" s="537"/>
      <c r="D818" s="537"/>
      <c r="E818" s="395"/>
      <c r="F818" s="395"/>
      <c r="G818" s="395"/>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537"/>
      <c r="B819" s="537"/>
      <c r="C819" s="537"/>
      <c r="D819" s="537"/>
      <c r="E819" s="395"/>
      <c r="F819" s="395"/>
      <c r="G819" s="395"/>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537"/>
      <c r="B820" s="537"/>
      <c r="C820" s="537"/>
      <c r="D820" s="537"/>
      <c r="E820" s="395"/>
      <c r="F820" s="395"/>
      <c r="G820" s="395"/>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537"/>
      <c r="B821" s="537"/>
      <c r="C821" s="537"/>
      <c r="D821" s="537"/>
      <c r="E821" s="395"/>
      <c r="F821" s="395"/>
      <c r="G821" s="395"/>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537"/>
      <c r="B822" s="537"/>
      <c r="C822" s="537"/>
      <c r="D822" s="537"/>
      <c r="E822" s="395"/>
      <c r="F822" s="395"/>
      <c r="G822" s="395"/>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537"/>
      <c r="B823" s="537"/>
      <c r="C823" s="537"/>
      <c r="D823" s="537"/>
      <c r="E823" s="395"/>
      <c r="F823" s="395"/>
      <c r="G823" s="395"/>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537"/>
      <c r="B824" s="537"/>
      <c r="C824" s="537"/>
      <c r="D824" s="537"/>
      <c r="E824" s="395"/>
      <c r="F824" s="395"/>
      <c r="G824" s="395"/>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537"/>
      <c r="B825" s="537"/>
      <c r="C825" s="537"/>
      <c r="D825" s="537"/>
      <c r="E825" s="395"/>
      <c r="F825" s="395"/>
      <c r="G825" s="395"/>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537"/>
      <c r="B826" s="537"/>
      <c r="C826" s="537"/>
      <c r="D826" s="537"/>
      <c r="E826" s="395"/>
      <c r="F826" s="395"/>
      <c r="G826" s="395"/>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537"/>
      <c r="B827" s="537"/>
      <c r="C827" s="537"/>
      <c r="D827" s="537"/>
      <c r="E827" s="395"/>
      <c r="F827" s="395"/>
      <c r="G827" s="395"/>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537"/>
      <c r="B828" s="537"/>
      <c r="C828" s="537"/>
      <c r="D828" s="537"/>
      <c r="E828" s="395"/>
      <c r="F828" s="395"/>
      <c r="G828" s="395"/>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537"/>
      <c r="B829" s="537"/>
      <c r="C829" s="537"/>
      <c r="D829" s="537"/>
      <c r="E829" s="395"/>
      <c r="F829" s="395"/>
      <c r="G829" s="395"/>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537"/>
      <c r="B830" s="537"/>
      <c r="C830" s="537"/>
      <c r="D830" s="537"/>
      <c r="E830" s="395"/>
      <c r="F830" s="395"/>
      <c r="G830" s="395"/>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537"/>
      <c r="B831" s="537"/>
      <c r="C831" s="537"/>
      <c r="D831" s="537"/>
      <c r="E831" s="395"/>
      <c r="F831" s="395"/>
      <c r="G831" s="395"/>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537"/>
      <c r="B832" s="537"/>
      <c r="C832" s="537"/>
      <c r="D832" s="537"/>
      <c r="E832" s="395"/>
      <c r="F832" s="395"/>
      <c r="G832" s="395"/>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537"/>
      <c r="B833" s="537"/>
      <c r="C833" s="537"/>
      <c r="D833" s="537"/>
      <c r="E833" s="395"/>
      <c r="F833" s="395"/>
      <c r="G833" s="395"/>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537"/>
      <c r="B834" s="537"/>
      <c r="C834" s="537"/>
      <c r="D834" s="537"/>
      <c r="E834" s="395"/>
      <c r="F834" s="395"/>
      <c r="G834" s="395"/>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537"/>
      <c r="B835" s="537"/>
      <c r="C835" s="537"/>
      <c r="D835" s="537"/>
      <c r="E835" s="395"/>
      <c r="F835" s="395"/>
      <c r="G835" s="395"/>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537"/>
      <c r="B836" s="537"/>
      <c r="C836" s="537"/>
      <c r="D836" s="537"/>
      <c r="E836" s="395"/>
      <c r="F836" s="395"/>
      <c r="G836" s="395"/>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537"/>
      <c r="B837" s="537"/>
      <c r="C837" s="537"/>
      <c r="D837" s="537"/>
      <c r="E837" s="395"/>
      <c r="F837" s="395"/>
      <c r="G837" s="395"/>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537"/>
      <c r="B838" s="537"/>
      <c r="C838" s="537"/>
      <c r="D838" s="537"/>
      <c r="E838" s="395"/>
      <c r="F838" s="395"/>
      <c r="G838" s="395"/>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537"/>
      <c r="B839" s="537"/>
      <c r="C839" s="537"/>
      <c r="D839" s="537"/>
      <c r="E839" s="395"/>
      <c r="F839" s="395"/>
      <c r="G839" s="395"/>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537"/>
      <c r="B840" s="537"/>
      <c r="C840" s="537"/>
      <c r="D840" s="537"/>
      <c r="E840" s="395"/>
      <c r="F840" s="395"/>
      <c r="G840" s="395"/>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537"/>
      <c r="B841" s="537"/>
      <c r="C841" s="537"/>
      <c r="D841" s="537"/>
      <c r="E841" s="395"/>
      <c r="F841" s="395"/>
      <c r="G841" s="395"/>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537"/>
      <c r="B842" s="537"/>
      <c r="C842" s="537"/>
      <c r="D842" s="537"/>
      <c r="E842" s="395"/>
      <c r="F842" s="395"/>
      <c r="G842" s="395"/>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537"/>
      <c r="B843" s="537"/>
      <c r="C843" s="537"/>
      <c r="D843" s="537"/>
      <c r="E843" s="395"/>
      <c r="F843" s="395"/>
      <c r="G843" s="395"/>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537"/>
      <c r="B844" s="537"/>
      <c r="C844" s="537"/>
      <c r="D844" s="537"/>
      <c r="E844" s="395"/>
      <c r="F844" s="395"/>
      <c r="G844" s="395"/>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537"/>
      <c r="B845" s="537"/>
      <c r="C845" s="537"/>
      <c r="D845" s="537"/>
      <c r="E845" s="395"/>
      <c r="F845" s="395"/>
      <c r="G845" s="395"/>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537"/>
      <c r="B846" s="537"/>
      <c r="C846" s="537"/>
      <c r="D846" s="537"/>
      <c r="E846" s="395"/>
      <c r="F846" s="395"/>
      <c r="G846" s="395"/>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537"/>
      <c r="B847" s="537"/>
      <c r="C847" s="537"/>
      <c r="D847" s="537"/>
      <c r="E847" s="395"/>
      <c r="F847" s="395"/>
      <c r="G847" s="395"/>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537"/>
      <c r="B848" s="537"/>
      <c r="C848" s="537"/>
      <c r="D848" s="537"/>
      <c r="E848" s="395"/>
      <c r="F848" s="395"/>
      <c r="G848" s="395"/>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537"/>
      <c r="B849" s="537"/>
      <c r="C849" s="537"/>
      <c r="D849" s="537"/>
      <c r="E849" s="395"/>
      <c r="F849" s="395"/>
      <c r="G849" s="395"/>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537"/>
      <c r="B850" s="537"/>
      <c r="C850" s="537"/>
      <c r="D850" s="537"/>
      <c r="E850" s="395"/>
      <c r="F850" s="395"/>
      <c r="G850" s="395"/>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537"/>
      <c r="B851" s="537"/>
      <c r="C851" s="537"/>
      <c r="D851" s="537"/>
      <c r="E851" s="395"/>
      <c r="F851" s="395"/>
      <c r="G851" s="395"/>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537"/>
      <c r="B852" s="537"/>
      <c r="C852" s="537"/>
      <c r="D852" s="537"/>
      <c r="E852" s="395"/>
      <c r="F852" s="395"/>
      <c r="G852" s="395"/>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537"/>
      <c r="B853" s="537"/>
      <c r="C853" s="537"/>
      <c r="D853" s="537"/>
      <c r="E853" s="395"/>
      <c r="F853" s="395"/>
      <c r="G853" s="395"/>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537"/>
      <c r="B854" s="537"/>
      <c r="C854" s="537"/>
      <c r="D854" s="537"/>
      <c r="E854" s="395"/>
      <c r="F854" s="395"/>
      <c r="G854" s="395"/>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537"/>
      <c r="B855" s="537"/>
      <c r="C855" s="537"/>
      <c r="D855" s="537"/>
      <c r="E855" s="395"/>
      <c r="F855" s="395"/>
      <c r="G855" s="395"/>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537"/>
      <c r="B856" s="537"/>
      <c r="C856" s="537"/>
      <c r="D856" s="537"/>
      <c r="E856" s="395"/>
      <c r="F856" s="395"/>
      <c r="G856" s="395"/>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537"/>
      <c r="B857" s="537"/>
      <c r="C857" s="537"/>
      <c r="D857" s="537"/>
      <c r="E857" s="395"/>
      <c r="F857" s="395"/>
      <c r="G857" s="395"/>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537"/>
      <c r="B858" s="537"/>
      <c r="C858" s="537"/>
      <c r="D858" s="537"/>
      <c r="E858" s="395"/>
      <c r="F858" s="395"/>
      <c r="G858" s="395"/>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537"/>
      <c r="B859" s="537"/>
      <c r="C859" s="537"/>
      <c r="D859" s="537"/>
      <c r="E859" s="395"/>
      <c r="F859" s="395"/>
      <c r="G859" s="395"/>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537"/>
      <c r="B860" s="537"/>
      <c r="C860" s="537"/>
      <c r="D860" s="537"/>
      <c r="E860" s="395"/>
      <c r="F860" s="395"/>
      <c r="G860" s="395"/>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537"/>
      <c r="B861" s="537"/>
      <c r="C861" s="537"/>
      <c r="D861" s="537"/>
      <c r="E861" s="395"/>
      <c r="F861" s="395"/>
      <c r="G861" s="395"/>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537"/>
      <c r="B862" s="537"/>
      <c r="C862" s="537"/>
      <c r="D862" s="537"/>
      <c r="E862" s="395"/>
      <c r="F862" s="395"/>
      <c r="G862" s="395"/>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537"/>
      <c r="B863" s="537"/>
      <c r="C863" s="537"/>
      <c r="D863" s="537"/>
      <c r="E863" s="395"/>
      <c r="F863" s="395"/>
      <c r="G863" s="395"/>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537"/>
      <c r="B864" s="537"/>
      <c r="C864" s="537"/>
      <c r="D864" s="537"/>
      <c r="E864" s="395"/>
      <c r="F864" s="395"/>
      <c r="G864" s="395"/>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537"/>
      <c r="B865" s="537"/>
      <c r="C865" s="537"/>
      <c r="D865" s="537"/>
      <c r="E865" s="395"/>
      <c r="F865" s="395"/>
      <c r="G865" s="395"/>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537"/>
      <c r="B866" s="537"/>
      <c r="C866" s="537"/>
      <c r="D866" s="537"/>
      <c r="E866" s="395"/>
      <c r="F866" s="395"/>
      <c r="G866" s="395"/>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537"/>
      <c r="B867" s="537"/>
      <c r="C867" s="537"/>
      <c r="D867" s="537"/>
      <c r="E867" s="395"/>
      <c r="F867" s="395"/>
      <c r="G867" s="395"/>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537"/>
      <c r="B868" s="537"/>
      <c r="C868" s="537"/>
      <c r="D868" s="537"/>
      <c r="E868" s="395"/>
      <c r="F868" s="395"/>
      <c r="G868" s="395"/>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537"/>
      <c r="B869" s="537"/>
      <c r="C869" s="537"/>
      <c r="D869" s="537"/>
      <c r="E869" s="395"/>
      <c r="F869" s="395"/>
      <c r="G869" s="395"/>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537"/>
      <c r="B870" s="537"/>
      <c r="C870" s="537"/>
      <c r="D870" s="537"/>
      <c r="E870" s="395"/>
      <c r="F870" s="395"/>
      <c r="G870" s="395"/>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537"/>
      <c r="B871" s="537"/>
      <c r="C871" s="537"/>
      <c r="D871" s="537"/>
      <c r="E871" s="395"/>
      <c r="F871" s="395"/>
      <c r="G871" s="395"/>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537"/>
      <c r="B872" s="537"/>
      <c r="C872" s="537"/>
      <c r="D872" s="537"/>
      <c r="E872" s="395"/>
      <c r="F872" s="395"/>
      <c r="G872" s="395"/>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537"/>
      <c r="B873" s="537"/>
      <c r="C873" s="537"/>
      <c r="D873" s="537"/>
      <c r="E873" s="395"/>
      <c r="F873" s="395"/>
      <c r="G873" s="395"/>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537"/>
      <c r="B874" s="537"/>
      <c r="C874" s="537"/>
      <c r="D874" s="537"/>
      <c r="E874" s="395"/>
      <c r="F874" s="395"/>
      <c r="G874" s="395"/>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537"/>
      <c r="B875" s="537"/>
      <c r="C875" s="537"/>
      <c r="D875" s="537"/>
      <c r="E875" s="395"/>
      <c r="F875" s="395"/>
      <c r="G875" s="395"/>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537"/>
      <c r="B876" s="537"/>
      <c r="C876" s="537"/>
      <c r="D876" s="537"/>
      <c r="E876" s="395"/>
      <c r="F876" s="395"/>
      <c r="G876" s="395"/>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537"/>
      <c r="B877" s="537"/>
      <c r="C877" s="537"/>
      <c r="D877" s="537"/>
      <c r="E877" s="395"/>
      <c r="F877" s="395"/>
      <c r="G877" s="395"/>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537"/>
      <c r="B878" s="537"/>
      <c r="C878" s="537"/>
      <c r="D878" s="537"/>
      <c r="E878" s="395"/>
      <c r="F878" s="395"/>
      <c r="G878" s="395"/>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537"/>
      <c r="B879" s="537"/>
      <c r="C879" s="537"/>
      <c r="D879" s="537"/>
      <c r="E879" s="395"/>
      <c r="F879" s="395"/>
      <c r="G879" s="395"/>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537"/>
      <c r="B880" s="537"/>
      <c r="C880" s="537"/>
      <c r="D880" s="537"/>
      <c r="E880" s="395"/>
      <c r="F880" s="395"/>
      <c r="G880" s="395"/>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537"/>
      <c r="B881" s="537"/>
      <c r="C881" s="537"/>
      <c r="D881" s="537"/>
      <c r="E881" s="395"/>
      <c r="F881" s="395"/>
      <c r="G881" s="395"/>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537"/>
      <c r="B882" s="537"/>
      <c r="C882" s="537"/>
      <c r="D882" s="537"/>
      <c r="E882" s="395"/>
      <c r="F882" s="395"/>
      <c r="G882" s="395"/>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537"/>
      <c r="B883" s="537"/>
      <c r="C883" s="537"/>
      <c r="D883" s="537"/>
      <c r="E883" s="395"/>
      <c r="F883" s="395"/>
      <c r="G883" s="395"/>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537"/>
      <c r="B884" s="537"/>
      <c r="C884" s="537"/>
      <c r="D884" s="537"/>
      <c r="E884" s="395"/>
      <c r="F884" s="395"/>
      <c r="G884" s="395"/>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537"/>
      <c r="B885" s="537"/>
      <c r="C885" s="537"/>
      <c r="D885" s="537"/>
      <c r="E885" s="395"/>
      <c r="F885" s="395"/>
      <c r="G885" s="395"/>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537"/>
      <c r="B886" s="537"/>
      <c r="C886" s="537"/>
      <c r="D886" s="537"/>
      <c r="E886" s="395"/>
      <c r="F886" s="395"/>
      <c r="G886" s="395"/>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537"/>
      <c r="B887" s="537"/>
      <c r="C887" s="537"/>
      <c r="D887" s="537"/>
      <c r="E887" s="395"/>
      <c r="F887" s="395"/>
      <c r="G887" s="395"/>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537"/>
      <c r="B888" s="537"/>
      <c r="C888" s="537"/>
      <c r="D888" s="537"/>
      <c r="E888" s="395"/>
      <c r="F888" s="395"/>
      <c r="G888" s="395"/>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537"/>
      <c r="B889" s="537"/>
      <c r="C889" s="537"/>
      <c r="D889" s="537"/>
      <c r="E889" s="395"/>
      <c r="F889" s="395"/>
      <c r="G889" s="395"/>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537"/>
      <c r="B890" s="537"/>
      <c r="C890" s="537"/>
      <c r="D890" s="537"/>
      <c r="E890" s="395"/>
      <c r="F890" s="395"/>
      <c r="G890" s="395"/>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537"/>
      <c r="B891" s="537"/>
      <c r="C891" s="537"/>
      <c r="D891" s="537"/>
      <c r="E891" s="395"/>
      <c r="F891" s="395"/>
      <c r="G891" s="395"/>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537"/>
      <c r="B892" s="537"/>
      <c r="C892" s="537"/>
      <c r="D892" s="537"/>
      <c r="E892" s="395"/>
      <c r="F892" s="395"/>
      <c r="G892" s="395"/>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537"/>
      <c r="B893" s="537"/>
      <c r="C893" s="537"/>
      <c r="D893" s="537"/>
      <c r="E893" s="395"/>
      <c r="F893" s="395"/>
      <c r="G893" s="395"/>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537"/>
      <c r="B894" s="537"/>
      <c r="C894" s="537"/>
      <c r="D894" s="537"/>
      <c r="E894" s="395"/>
      <c r="F894" s="395"/>
      <c r="G894" s="395"/>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537"/>
      <c r="B895" s="537"/>
      <c r="C895" s="537"/>
      <c r="D895" s="537"/>
      <c r="E895" s="395"/>
      <c r="F895" s="395"/>
      <c r="G895" s="395"/>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537"/>
      <c r="B896" s="537"/>
      <c r="C896" s="537"/>
      <c r="D896" s="537"/>
      <c r="E896" s="395"/>
      <c r="F896" s="395"/>
      <c r="G896" s="395"/>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537"/>
      <c r="B897" s="537"/>
      <c r="C897" s="537"/>
      <c r="D897" s="537"/>
      <c r="E897" s="395"/>
      <c r="F897" s="395"/>
      <c r="G897" s="395"/>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537"/>
      <c r="B898" s="537"/>
      <c r="C898" s="537"/>
      <c r="D898" s="537"/>
      <c r="E898" s="395"/>
      <c r="F898" s="395"/>
      <c r="G898" s="395"/>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537"/>
      <c r="B899" s="537"/>
      <c r="C899" s="537"/>
      <c r="D899" s="537"/>
      <c r="E899" s="395"/>
      <c r="F899" s="395"/>
      <c r="G899" s="395"/>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537"/>
      <c r="B900" s="537"/>
      <c r="C900" s="537"/>
      <c r="D900" s="537"/>
      <c r="E900" s="395"/>
      <c r="F900" s="395"/>
      <c r="G900" s="395"/>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537"/>
      <c r="B901" s="537"/>
      <c r="C901" s="537"/>
      <c r="D901" s="537"/>
      <c r="E901" s="395"/>
      <c r="F901" s="395"/>
      <c r="G901" s="395"/>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537"/>
      <c r="B902" s="537"/>
      <c r="C902" s="537"/>
      <c r="D902" s="537"/>
      <c r="E902" s="395"/>
      <c r="F902" s="395"/>
      <c r="G902" s="395"/>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537"/>
      <c r="B903" s="537"/>
      <c r="C903" s="537"/>
      <c r="D903" s="537"/>
      <c r="E903" s="395"/>
      <c r="F903" s="395"/>
      <c r="G903" s="395"/>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537"/>
      <c r="B904" s="537"/>
      <c r="C904" s="537"/>
      <c r="D904" s="537"/>
      <c r="E904" s="395"/>
      <c r="F904" s="395"/>
      <c r="G904" s="395"/>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537"/>
      <c r="B905" s="537"/>
      <c r="C905" s="537"/>
      <c r="D905" s="537"/>
      <c r="E905" s="395"/>
      <c r="F905" s="395"/>
      <c r="G905" s="395"/>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537"/>
      <c r="B906" s="537"/>
      <c r="C906" s="537"/>
      <c r="D906" s="537"/>
      <c r="E906" s="395"/>
      <c r="F906" s="395"/>
      <c r="G906" s="395"/>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537"/>
      <c r="B907" s="537"/>
      <c r="C907" s="537"/>
      <c r="D907" s="537"/>
      <c r="E907" s="395"/>
      <c r="F907" s="395"/>
      <c r="G907" s="395"/>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537"/>
      <c r="B908" s="537"/>
      <c r="C908" s="537"/>
      <c r="D908" s="537"/>
      <c r="E908" s="395"/>
      <c r="F908" s="395"/>
      <c r="G908" s="395"/>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537"/>
      <c r="B909" s="537"/>
      <c r="C909" s="537"/>
      <c r="D909" s="537"/>
      <c r="E909" s="395"/>
      <c r="F909" s="395"/>
      <c r="G909" s="395"/>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537"/>
      <c r="B910" s="537"/>
      <c r="C910" s="537"/>
      <c r="D910" s="537"/>
      <c r="E910" s="395"/>
      <c r="F910" s="395"/>
      <c r="G910" s="395"/>
      <c r="H910" s="7"/>
      <c r="I910" s="7"/>
      <c r="J910" s="7"/>
      <c r="K910" s="7"/>
      <c r="L910" s="7"/>
      <c r="M910" s="7"/>
      <c r="N910" s="7"/>
      <c r="O910" s="7"/>
      <c r="P910" s="7"/>
      <c r="Q910" s="7"/>
      <c r="R910" s="7"/>
      <c r="S910" s="7"/>
      <c r="T910" s="7"/>
      <c r="U910" s="7"/>
      <c r="V910" s="7"/>
      <c r="W910" s="7"/>
      <c r="X910" s="7"/>
      <c r="Y910" s="7"/>
      <c r="Z910" s="7"/>
    </row>
    <row r="911" spans="1:26" ht="15.75" customHeight="1" x14ac:dyDescent="0.25">
      <c r="A911" s="537"/>
      <c r="B911" s="537"/>
      <c r="C911" s="537"/>
      <c r="D911" s="537"/>
      <c r="E911" s="395"/>
      <c r="F911" s="395"/>
      <c r="G911" s="395"/>
      <c r="H911" s="7"/>
      <c r="I911" s="7"/>
      <c r="J911" s="7"/>
      <c r="K911" s="7"/>
      <c r="L911" s="7"/>
      <c r="M911" s="7"/>
      <c r="N911" s="7"/>
      <c r="O911" s="7"/>
      <c r="P911" s="7"/>
      <c r="Q911" s="7"/>
      <c r="R911" s="7"/>
      <c r="S911" s="7"/>
      <c r="T911" s="7"/>
      <c r="U911" s="7"/>
      <c r="V911" s="7"/>
      <c r="W911" s="7"/>
      <c r="X911" s="7"/>
      <c r="Y911" s="7"/>
      <c r="Z911" s="7"/>
    </row>
    <row r="912" spans="1:26" ht="15.75" customHeight="1" x14ac:dyDescent="0.25">
      <c r="A912" s="537"/>
      <c r="B912" s="537"/>
      <c r="C912" s="537"/>
      <c r="D912" s="537"/>
      <c r="E912" s="395"/>
      <c r="F912" s="395"/>
      <c r="G912" s="395"/>
      <c r="H912" s="7"/>
      <c r="I912" s="7"/>
      <c r="J912" s="7"/>
      <c r="K912" s="7"/>
      <c r="L912" s="7"/>
      <c r="M912" s="7"/>
      <c r="N912" s="7"/>
      <c r="O912" s="7"/>
      <c r="P912" s="7"/>
      <c r="Q912" s="7"/>
      <c r="R912" s="7"/>
      <c r="S912" s="7"/>
      <c r="T912" s="7"/>
      <c r="U912" s="7"/>
      <c r="V912" s="7"/>
      <c r="W912" s="7"/>
      <c r="X912" s="7"/>
      <c r="Y912" s="7"/>
      <c r="Z912" s="7"/>
    </row>
    <row r="913" spans="1:26" ht="15.75" customHeight="1" x14ac:dyDescent="0.25">
      <c r="A913" s="537"/>
      <c r="B913" s="537"/>
      <c r="C913" s="537"/>
      <c r="D913" s="537"/>
      <c r="E913" s="395"/>
      <c r="F913" s="395"/>
      <c r="G913" s="395"/>
      <c r="H913" s="7"/>
      <c r="I913" s="7"/>
      <c r="J913" s="7"/>
      <c r="K913" s="7"/>
      <c r="L913" s="7"/>
      <c r="M913" s="7"/>
      <c r="N913" s="7"/>
      <c r="O913" s="7"/>
      <c r="P913" s="7"/>
      <c r="Q913" s="7"/>
      <c r="R913" s="7"/>
      <c r="S913" s="7"/>
      <c r="T913" s="7"/>
      <c r="U913" s="7"/>
      <c r="V913" s="7"/>
      <c r="W913" s="7"/>
      <c r="X913" s="7"/>
      <c r="Y913" s="7"/>
      <c r="Z913" s="7"/>
    </row>
    <row r="914" spans="1:26" ht="15.75" customHeight="1" x14ac:dyDescent="0.25">
      <c r="A914" s="537"/>
      <c r="B914" s="537"/>
      <c r="C914" s="537"/>
      <c r="D914" s="537"/>
      <c r="E914" s="395"/>
      <c r="F914" s="395"/>
      <c r="G914" s="395"/>
      <c r="H914" s="7"/>
      <c r="I914" s="7"/>
      <c r="J914" s="7"/>
      <c r="K914" s="7"/>
      <c r="L914" s="7"/>
      <c r="M914" s="7"/>
      <c r="N914" s="7"/>
      <c r="O914" s="7"/>
      <c r="P914" s="7"/>
      <c r="Q914" s="7"/>
      <c r="R914" s="7"/>
      <c r="S914" s="7"/>
      <c r="T914" s="7"/>
      <c r="U914" s="7"/>
      <c r="V914" s="7"/>
      <c r="W914" s="7"/>
      <c r="X914" s="7"/>
      <c r="Y914" s="7"/>
      <c r="Z914" s="7"/>
    </row>
    <row r="915" spans="1:26" ht="15.75" customHeight="1" x14ac:dyDescent="0.25">
      <c r="A915" s="537"/>
      <c r="B915" s="537"/>
      <c r="C915" s="537"/>
      <c r="D915" s="537"/>
      <c r="E915" s="395"/>
      <c r="F915" s="395"/>
      <c r="G915" s="395"/>
      <c r="H915" s="7"/>
      <c r="I915" s="7"/>
      <c r="J915" s="7"/>
      <c r="K915" s="7"/>
      <c r="L915" s="7"/>
      <c r="M915" s="7"/>
      <c r="N915" s="7"/>
      <c r="O915" s="7"/>
      <c r="P915" s="7"/>
      <c r="Q915" s="7"/>
      <c r="R915" s="7"/>
      <c r="S915" s="7"/>
      <c r="T915" s="7"/>
      <c r="U915" s="7"/>
      <c r="V915" s="7"/>
      <c r="W915" s="7"/>
      <c r="X915" s="7"/>
      <c r="Y915" s="7"/>
      <c r="Z915" s="7"/>
    </row>
    <row r="916" spans="1:26" ht="15.75" customHeight="1" x14ac:dyDescent="0.25">
      <c r="A916" s="537"/>
      <c r="B916" s="537"/>
      <c r="C916" s="537"/>
      <c r="D916" s="537"/>
      <c r="E916" s="395"/>
      <c r="F916" s="395"/>
      <c r="G916" s="395"/>
      <c r="H916" s="7"/>
      <c r="I916" s="7"/>
      <c r="J916" s="7"/>
      <c r="K916" s="7"/>
      <c r="L916" s="7"/>
      <c r="M916" s="7"/>
      <c r="N916" s="7"/>
      <c r="O916" s="7"/>
      <c r="P916" s="7"/>
      <c r="Q916" s="7"/>
      <c r="R916" s="7"/>
      <c r="S916" s="7"/>
      <c r="T916" s="7"/>
      <c r="U916" s="7"/>
      <c r="V916" s="7"/>
      <c r="W916" s="7"/>
      <c r="X916" s="7"/>
      <c r="Y916" s="7"/>
      <c r="Z916" s="7"/>
    </row>
    <row r="917" spans="1:26" ht="15.75" customHeight="1" x14ac:dyDescent="0.25">
      <c r="A917" s="537"/>
      <c r="B917" s="537"/>
      <c r="C917" s="537"/>
      <c r="D917" s="537"/>
      <c r="E917" s="395"/>
      <c r="F917" s="395"/>
      <c r="G917" s="395"/>
      <c r="H917" s="7"/>
      <c r="I917" s="7"/>
      <c r="J917" s="7"/>
      <c r="K917" s="7"/>
      <c r="L917" s="7"/>
      <c r="M917" s="7"/>
      <c r="N917" s="7"/>
      <c r="O917" s="7"/>
      <c r="P917" s="7"/>
      <c r="Q917" s="7"/>
      <c r="R917" s="7"/>
      <c r="S917" s="7"/>
      <c r="T917" s="7"/>
      <c r="U917" s="7"/>
      <c r="V917" s="7"/>
      <c r="W917" s="7"/>
      <c r="X917" s="7"/>
      <c r="Y917" s="7"/>
      <c r="Z917" s="7"/>
    </row>
    <row r="918" spans="1:26" ht="15.75" customHeight="1" x14ac:dyDescent="0.25">
      <c r="A918" s="537"/>
      <c r="B918" s="537"/>
      <c r="C918" s="537"/>
      <c r="D918" s="537"/>
      <c r="E918" s="395"/>
      <c r="F918" s="395"/>
      <c r="G918" s="395"/>
      <c r="H918" s="7"/>
      <c r="I918" s="7"/>
      <c r="J918" s="7"/>
      <c r="K918" s="7"/>
      <c r="L918" s="7"/>
      <c r="M918" s="7"/>
      <c r="N918" s="7"/>
      <c r="O918" s="7"/>
      <c r="P918" s="7"/>
      <c r="Q918" s="7"/>
      <c r="R918" s="7"/>
      <c r="S918" s="7"/>
      <c r="T918" s="7"/>
      <c r="U918" s="7"/>
      <c r="V918" s="7"/>
      <c r="W918" s="7"/>
      <c r="X918" s="7"/>
      <c r="Y918" s="7"/>
      <c r="Z918" s="7"/>
    </row>
    <row r="919" spans="1:26" ht="15.75" customHeight="1" x14ac:dyDescent="0.25">
      <c r="A919" s="537"/>
      <c r="B919" s="537"/>
      <c r="C919" s="537"/>
      <c r="D919" s="537"/>
      <c r="E919" s="395"/>
      <c r="F919" s="395"/>
      <c r="G919" s="395"/>
      <c r="H919" s="7"/>
      <c r="I919" s="7"/>
      <c r="J919" s="7"/>
      <c r="K919" s="7"/>
      <c r="L919" s="7"/>
      <c r="M919" s="7"/>
      <c r="N919" s="7"/>
      <c r="O919" s="7"/>
      <c r="P919" s="7"/>
      <c r="Q919" s="7"/>
      <c r="R919" s="7"/>
      <c r="S919" s="7"/>
      <c r="T919" s="7"/>
      <c r="U919" s="7"/>
      <c r="V919" s="7"/>
      <c r="W919" s="7"/>
      <c r="X919" s="7"/>
      <c r="Y919" s="7"/>
      <c r="Z919" s="7"/>
    </row>
    <row r="920" spans="1:26" ht="15.75" customHeight="1" x14ac:dyDescent="0.25">
      <c r="A920" s="537"/>
      <c r="B920" s="537"/>
      <c r="C920" s="537"/>
      <c r="D920" s="537"/>
      <c r="E920" s="395"/>
      <c r="F920" s="395"/>
      <c r="G920" s="395"/>
      <c r="H920" s="7"/>
      <c r="I920" s="7"/>
      <c r="J920" s="7"/>
      <c r="K920" s="7"/>
      <c r="L920" s="7"/>
      <c r="M920" s="7"/>
      <c r="N920" s="7"/>
      <c r="O920" s="7"/>
      <c r="P920" s="7"/>
      <c r="Q920" s="7"/>
      <c r="R920" s="7"/>
      <c r="S920" s="7"/>
      <c r="T920" s="7"/>
      <c r="U920" s="7"/>
      <c r="V920" s="7"/>
      <c r="W920" s="7"/>
      <c r="X920" s="7"/>
      <c r="Y920" s="7"/>
      <c r="Z920" s="7"/>
    </row>
    <row r="921" spans="1:26" ht="15.75" customHeight="1" x14ac:dyDescent="0.25">
      <c r="A921" s="537"/>
      <c r="B921" s="537"/>
      <c r="C921" s="537"/>
      <c r="D921" s="537"/>
      <c r="E921" s="395"/>
      <c r="F921" s="395"/>
      <c r="G921" s="395"/>
      <c r="H921" s="7"/>
      <c r="I921" s="7"/>
      <c r="J921" s="7"/>
      <c r="K921" s="7"/>
      <c r="L921" s="7"/>
      <c r="M921" s="7"/>
      <c r="N921" s="7"/>
      <c r="O921" s="7"/>
      <c r="P921" s="7"/>
      <c r="Q921" s="7"/>
      <c r="R921" s="7"/>
      <c r="S921" s="7"/>
      <c r="T921" s="7"/>
      <c r="U921" s="7"/>
      <c r="V921" s="7"/>
      <c r="W921" s="7"/>
      <c r="X921" s="7"/>
      <c r="Y921" s="7"/>
      <c r="Z921" s="7"/>
    </row>
    <row r="922" spans="1:26" ht="15.75" customHeight="1" x14ac:dyDescent="0.25">
      <c r="A922" s="537"/>
      <c r="B922" s="537"/>
      <c r="C922" s="537"/>
      <c r="D922" s="537"/>
      <c r="E922" s="395"/>
      <c r="F922" s="395"/>
      <c r="G922" s="395"/>
      <c r="H922" s="7"/>
      <c r="I922" s="7"/>
      <c r="J922" s="7"/>
      <c r="K922" s="7"/>
      <c r="L922" s="7"/>
      <c r="M922" s="7"/>
      <c r="N922" s="7"/>
      <c r="O922" s="7"/>
      <c r="P922" s="7"/>
      <c r="Q922" s="7"/>
      <c r="R922" s="7"/>
      <c r="S922" s="7"/>
      <c r="T922" s="7"/>
      <c r="U922" s="7"/>
      <c r="V922" s="7"/>
      <c r="W922" s="7"/>
      <c r="X922" s="7"/>
      <c r="Y922" s="7"/>
      <c r="Z922" s="7"/>
    </row>
    <row r="923" spans="1:26" ht="15.75" customHeight="1" x14ac:dyDescent="0.25">
      <c r="A923" s="537"/>
      <c r="B923" s="537"/>
      <c r="C923" s="537"/>
      <c r="D923" s="537"/>
      <c r="E923" s="395"/>
      <c r="F923" s="395"/>
      <c r="G923" s="395"/>
      <c r="H923" s="7"/>
      <c r="I923" s="7"/>
      <c r="J923" s="7"/>
      <c r="K923" s="7"/>
      <c r="L923" s="7"/>
      <c r="M923" s="7"/>
      <c r="N923" s="7"/>
      <c r="O923" s="7"/>
      <c r="P923" s="7"/>
      <c r="Q923" s="7"/>
      <c r="R923" s="7"/>
      <c r="S923" s="7"/>
      <c r="T923" s="7"/>
      <c r="U923" s="7"/>
      <c r="V923" s="7"/>
      <c r="W923" s="7"/>
      <c r="X923" s="7"/>
      <c r="Y923" s="7"/>
      <c r="Z923" s="7"/>
    </row>
    <row r="924" spans="1:26" ht="15.75" customHeight="1" x14ac:dyDescent="0.25">
      <c r="A924" s="537"/>
      <c r="B924" s="537"/>
      <c r="C924" s="537"/>
      <c r="D924" s="537"/>
      <c r="E924" s="395"/>
      <c r="F924" s="395"/>
      <c r="G924" s="395"/>
      <c r="H924" s="7"/>
      <c r="I924" s="7"/>
      <c r="J924" s="7"/>
      <c r="K924" s="7"/>
      <c r="L924" s="7"/>
      <c r="M924" s="7"/>
      <c r="N924" s="7"/>
      <c r="O924" s="7"/>
      <c r="P924" s="7"/>
      <c r="Q924" s="7"/>
      <c r="R924" s="7"/>
      <c r="S924" s="7"/>
      <c r="T924" s="7"/>
      <c r="U924" s="7"/>
      <c r="V924" s="7"/>
      <c r="W924" s="7"/>
      <c r="X924" s="7"/>
      <c r="Y924" s="7"/>
      <c r="Z924" s="7"/>
    </row>
    <row r="925" spans="1:26" ht="15.75" customHeight="1" x14ac:dyDescent="0.25">
      <c r="A925" s="537"/>
      <c r="B925" s="537"/>
      <c r="C925" s="537"/>
      <c r="D925" s="537"/>
      <c r="E925" s="395"/>
      <c r="F925" s="395"/>
      <c r="G925" s="395"/>
      <c r="H925" s="7"/>
      <c r="I925" s="7"/>
      <c r="J925" s="7"/>
      <c r="K925" s="7"/>
      <c r="L925" s="7"/>
      <c r="M925" s="7"/>
      <c r="N925" s="7"/>
      <c r="O925" s="7"/>
      <c r="P925" s="7"/>
      <c r="Q925" s="7"/>
      <c r="R925" s="7"/>
      <c r="S925" s="7"/>
      <c r="T925" s="7"/>
      <c r="U925" s="7"/>
      <c r="V925" s="7"/>
      <c r="W925" s="7"/>
      <c r="X925" s="7"/>
      <c r="Y925" s="7"/>
      <c r="Z925" s="7"/>
    </row>
    <row r="926" spans="1:26" ht="15.75" customHeight="1" x14ac:dyDescent="0.25">
      <c r="A926" s="537"/>
      <c r="B926" s="537"/>
      <c r="C926" s="537"/>
      <c r="D926" s="537"/>
      <c r="E926" s="395"/>
      <c r="F926" s="395"/>
      <c r="G926" s="395"/>
      <c r="H926" s="7"/>
      <c r="I926" s="7"/>
      <c r="J926" s="7"/>
      <c r="K926" s="7"/>
      <c r="L926" s="7"/>
      <c r="M926" s="7"/>
      <c r="N926" s="7"/>
      <c r="O926" s="7"/>
      <c r="P926" s="7"/>
      <c r="Q926" s="7"/>
      <c r="R926" s="7"/>
      <c r="S926" s="7"/>
      <c r="T926" s="7"/>
      <c r="U926" s="7"/>
      <c r="V926" s="7"/>
      <c r="W926" s="7"/>
      <c r="X926" s="7"/>
      <c r="Y926" s="7"/>
      <c r="Z926" s="7"/>
    </row>
    <row r="927" spans="1:26" ht="15.75" customHeight="1" x14ac:dyDescent="0.25">
      <c r="A927" s="537"/>
      <c r="B927" s="537"/>
      <c r="C927" s="537"/>
      <c r="D927" s="537"/>
      <c r="E927" s="395"/>
      <c r="F927" s="395"/>
      <c r="G927" s="395"/>
      <c r="H927" s="7"/>
      <c r="I927" s="7"/>
      <c r="J927" s="7"/>
      <c r="K927" s="7"/>
      <c r="L927" s="7"/>
      <c r="M927" s="7"/>
      <c r="N927" s="7"/>
      <c r="O927" s="7"/>
      <c r="P927" s="7"/>
      <c r="Q927" s="7"/>
      <c r="R927" s="7"/>
      <c r="S927" s="7"/>
      <c r="T927" s="7"/>
      <c r="U927" s="7"/>
      <c r="V927" s="7"/>
      <c r="W927" s="7"/>
      <c r="X927" s="7"/>
      <c r="Y927" s="7"/>
      <c r="Z927" s="7"/>
    </row>
    <row r="928" spans="1:26" ht="15.75" customHeight="1" x14ac:dyDescent="0.25">
      <c r="A928" s="537"/>
      <c r="B928" s="537"/>
      <c r="C928" s="537"/>
      <c r="D928" s="537"/>
      <c r="E928" s="395"/>
      <c r="F928" s="395"/>
      <c r="G928" s="395"/>
      <c r="H928" s="7"/>
      <c r="I928" s="7"/>
      <c r="J928" s="7"/>
      <c r="K928" s="7"/>
      <c r="L928" s="7"/>
      <c r="M928" s="7"/>
      <c r="N928" s="7"/>
      <c r="O928" s="7"/>
      <c r="P928" s="7"/>
      <c r="Q928" s="7"/>
      <c r="R928" s="7"/>
      <c r="S928" s="7"/>
      <c r="T928" s="7"/>
      <c r="U928" s="7"/>
      <c r="V928" s="7"/>
      <c r="W928" s="7"/>
      <c r="X928" s="7"/>
      <c r="Y928" s="7"/>
      <c r="Z928" s="7"/>
    </row>
    <row r="929" spans="1:26" ht="15.75" customHeight="1" x14ac:dyDescent="0.25">
      <c r="A929" s="537"/>
      <c r="B929" s="537"/>
      <c r="C929" s="537"/>
      <c r="D929" s="537"/>
      <c r="E929" s="395"/>
      <c r="F929" s="395"/>
      <c r="G929" s="395"/>
      <c r="H929" s="7"/>
      <c r="I929" s="7"/>
      <c r="J929" s="7"/>
      <c r="K929" s="7"/>
      <c r="L929" s="7"/>
      <c r="M929" s="7"/>
      <c r="N929" s="7"/>
      <c r="O929" s="7"/>
      <c r="P929" s="7"/>
      <c r="Q929" s="7"/>
      <c r="R929" s="7"/>
      <c r="S929" s="7"/>
      <c r="T929" s="7"/>
      <c r="U929" s="7"/>
      <c r="V929" s="7"/>
      <c r="W929" s="7"/>
      <c r="X929" s="7"/>
      <c r="Y929" s="7"/>
      <c r="Z929" s="7"/>
    </row>
    <row r="930" spans="1:26" ht="15.75" customHeight="1" x14ac:dyDescent="0.25">
      <c r="A930" s="537"/>
      <c r="B930" s="537"/>
      <c r="C930" s="537"/>
      <c r="D930" s="537"/>
      <c r="E930" s="395"/>
      <c r="F930" s="395"/>
      <c r="G930" s="395"/>
      <c r="H930" s="7"/>
      <c r="I930" s="7"/>
      <c r="J930" s="7"/>
      <c r="K930" s="7"/>
      <c r="L930" s="7"/>
      <c r="M930" s="7"/>
      <c r="N930" s="7"/>
      <c r="O930" s="7"/>
      <c r="P930" s="7"/>
      <c r="Q930" s="7"/>
      <c r="R930" s="7"/>
      <c r="S930" s="7"/>
      <c r="T930" s="7"/>
      <c r="U930" s="7"/>
      <c r="V930" s="7"/>
      <c r="W930" s="7"/>
      <c r="X930" s="7"/>
      <c r="Y930" s="7"/>
      <c r="Z930" s="7"/>
    </row>
    <row r="931" spans="1:26" ht="15.75" customHeight="1" x14ac:dyDescent="0.25">
      <c r="A931" s="537"/>
      <c r="B931" s="537"/>
      <c r="C931" s="537"/>
      <c r="D931" s="537"/>
      <c r="E931" s="395"/>
      <c r="F931" s="395"/>
      <c r="G931" s="395"/>
      <c r="H931" s="7"/>
      <c r="I931" s="7"/>
      <c r="J931" s="7"/>
      <c r="K931" s="7"/>
      <c r="L931" s="7"/>
      <c r="M931" s="7"/>
      <c r="N931" s="7"/>
      <c r="O931" s="7"/>
      <c r="P931" s="7"/>
      <c r="Q931" s="7"/>
      <c r="R931" s="7"/>
      <c r="S931" s="7"/>
      <c r="T931" s="7"/>
      <c r="U931" s="7"/>
      <c r="V931" s="7"/>
      <c r="W931" s="7"/>
      <c r="X931" s="7"/>
      <c r="Y931" s="7"/>
      <c r="Z931" s="7"/>
    </row>
    <row r="932" spans="1:26" ht="15.75" customHeight="1" x14ac:dyDescent="0.25">
      <c r="A932" s="537"/>
      <c r="B932" s="537"/>
      <c r="C932" s="537"/>
      <c r="D932" s="537"/>
      <c r="E932" s="395"/>
      <c r="F932" s="395"/>
      <c r="G932" s="395"/>
      <c r="H932" s="7"/>
      <c r="I932" s="7"/>
      <c r="J932" s="7"/>
      <c r="K932" s="7"/>
      <c r="L932" s="7"/>
      <c r="M932" s="7"/>
      <c r="N932" s="7"/>
      <c r="O932" s="7"/>
      <c r="P932" s="7"/>
      <c r="Q932" s="7"/>
      <c r="R932" s="7"/>
      <c r="S932" s="7"/>
      <c r="T932" s="7"/>
      <c r="U932" s="7"/>
      <c r="V932" s="7"/>
      <c r="W932" s="7"/>
      <c r="X932" s="7"/>
      <c r="Y932" s="7"/>
      <c r="Z932" s="7"/>
    </row>
    <row r="933" spans="1:26" ht="15.75" customHeight="1" x14ac:dyDescent="0.25">
      <c r="A933" s="537"/>
      <c r="B933" s="537"/>
      <c r="C933" s="537"/>
      <c r="D933" s="537"/>
      <c r="E933" s="395"/>
      <c r="F933" s="395"/>
      <c r="G933" s="395"/>
      <c r="H933" s="7"/>
      <c r="I933" s="7"/>
      <c r="J933" s="7"/>
      <c r="K933" s="7"/>
      <c r="L933" s="7"/>
      <c r="M933" s="7"/>
      <c r="N933" s="7"/>
      <c r="O933" s="7"/>
      <c r="P933" s="7"/>
      <c r="Q933" s="7"/>
      <c r="R933" s="7"/>
      <c r="S933" s="7"/>
      <c r="T933" s="7"/>
      <c r="U933" s="7"/>
      <c r="V933" s="7"/>
      <c r="W933" s="7"/>
      <c r="X933" s="7"/>
      <c r="Y933" s="7"/>
      <c r="Z933" s="7"/>
    </row>
    <row r="934" spans="1:26" ht="15.75" customHeight="1" x14ac:dyDescent="0.25">
      <c r="A934" s="537"/>
      <c r="B934" s="537"/>
      <c r="C934" s="537"/>
      <c r="D934" s="537"/>
      <c r="E934" s="395"/>
      <c r="F934" s="395"/>
      <c r="G934" s="395"/>
      <c r="H934" s="7"/>
      <c r="I934" s="7"/>
      <c r="J934" s="7"/>
      <c r="K934" s="7"/>
      <c r="L934" s="7"/>
      <c r="M934" s="7"/>
      <c r="N934" s="7"/>
      <c r="O934" s="7"/>
      <c r="P934" s="7"/>
      <c r="Q934" s="7"/>
      <c r="R934" s="7"/>
      <c r="S934" s="7"/>
      <c r="T934" s="7"/>
      <c r="U934" s="7"/>
      <c r="V934" s="7"/>
      <c r="W934" s="7"/>
      <c r="X934" s="7"/>
      <c r="Y934" s="7"/>
      <c r="Z934" s="7"/>
    </row>
    <row r="935" spans="1:26" ht="15.75" customHeight="1" x14ac:dyDescent="0.25">
      <c r="A935" s="537"/>
      <c r="B935" s="537"/>
      <c r="C935" s="537"/>
      <c r="D935" s="537"/>
      <c r="E935" s="395"/>
      <c r="F935" s="395"/>
      <c r="G935" s="395"/>
      <c r="H935" s="7"/>
      <c r="I935" s="7"/>
      <c r="J935" s="7"/>
      <c r="K935" s="7"/>
      <c r="L935" s="7"/>
      <c r="M935" s="7"/>
      <c r="N935" s="7"/>
      <c r="O935" s="7"/>
      <c r="P935" s="7"/>
      <c r="Q935" s="7"/>
      <c r="R935" s="7"/>
      <c r="S935" s="7"/>
      <c r="T935" s="7"/>
      <c r="U935" s="7"/>
      <c r="V935" s="7"/>
      <c r="W935" s="7"/>
      <c r="X935" s="7"/>
      <c r="Y935" s="7"/>
      <c r="Z935" s="7"/>
    </row>
    <row r="936" spans="1:26" ht="15.75" customHeight="1" x14ac:dyDescent="0.25">
      <c r="A936" s="537"/>
      <c r="B936" s="537"/>
      <c r="C936" s="537"/>
      <c r="D936" s="537"/>
      <c r="E936" s="395"/>
      <c r="F936" s="395"/>
      <c r="G936" s="395"/>
      <c r="H936" s="7"/>
      <c r="I936" s="7"/>
      <c r="J936" s="7"/>
      <c r="K936" s="7"/>
      <c r="L936" s="7"/>
      <c r="M936" s="7"/>
      <c r="N936" s="7"/>
      <c r="O936" s="7"/>
      <c r="P936" s="7"/>
      <c r="Q936" s="7"/>
      <c r="R936" s="7"/>
      <c r="S936" s="7"/>
      <c r="T936" s="7"/>
      <c r="U936" s="7"/>
      <c r="V936" s="7"/>
      <c r="W936" s="7"/>
      <c r="X936" s="7"/>
      <c r="Y936" s="7"/>
      <c r="Z936" s="7"/>
    </row>
    <row r="937" spans="1:26" ht="15.75" customHeight="1" x14ac:dyDescent="0.25">
      <c r="A937" s="537"/>
      <c r="B937" s="537"/>
      <c r="C937" s="537"/>
      <c r="D937" s="537"/>
      <c r="E937" s="395"/>
      <c r="F937" s="395"/>
      <c r="G937" s="395"/>
      <c r="H937" s="7"/>
      <c r="I937" s="7"/>
      <c r="J937" s="7"/>
      <c r="K937" s="7"/>
      <c r="L937" s="7"/>
      <c r="M937" s="7"/>
      <c r="N937" s="7"/>
      <c r="O937" s="7"/>
      <c r="P937" s="7"/>
      <c r="Q937" s="7"/>
      <c r="R937" s="7"/>
      <c r="S937" s="7"/>
      <c r="T937" s="7"/>
      <c r="U937" s="7"/>
      <c r="V937" s="7"/>
      <c r="W937" s="7"/>
      <c r="X937" s="7"/>
      <c r="Y937" s="7"/>
      <c r="Z937" s="7"/>
    </row>
    <row r="938" spans="1:26" ht="15.75" customHeight="1" x14ac:dyDescent="0.25">
      <c r="A938" s="537"/>
      <c r="B938" s="537"/>
      <c r="C938" s="537"/>
      <c r="D938" s="537"/>
      <c r="E938" s="395"/>
      <c r="F938" s="395"/>
      <c r="G938" s="395"/>
      <c r="H938" s="7"/>
      <c r="I938" s="7"/>
      <c r="J938" s="7"/>
      <c r="K938" s="7"/>
      <c r="L938" s="7"/>
      <c r="M938" s="7"/>
      <c r="N938" s="7"/>
      <c r="O938" s="7"/>
      <c r="P938" s="7"/>
      <c r="Q938" s="7"/>
      <c r="R938" s="7"/>
      <c r="S938" s="7"/>
      <c r="T938" s="7"/>
      <c r="U938" s="7"/>
      <c r="V938" s="7"/>
      <c r="W938" s="7"/>
      <c r="X938" s="7"/>
      <c r="Y938" s="7"/>
      <c r="Z938" s="7"/>
    </row>
    <row r="939" spans="1:26" ht="15.75" customHeight="1" x14ac:dyDescent="0.25">
      <c r="A939" s="537"/>
      <c r="B939" s="537"/>
      <c r="C939" s="537"/>
      <c r="D939" s="537"/>
      <c r="E939" s="395"/>
      <c r="F939" s="395"/>
      <c r="G939" s="395"/>
      <c r="H939" s="7"/>
      <c r="I939" s="7"/>
      <c r="J939" s="7"/>
      <c r="K939" s="7"/>
      <c r="L939" s="7"/>
      <c r="M939" s="7"/>
      <c r="N939" s="7"/>
      <c r="O939" s="7"/>
      <c r="P939" s="7"/>
      <c r="Q939" s="7"/>
      <c r="R939" s="7"/>
      <c r="S939" s="7"/>
      <c r="T939" s="7"/>
      <c r="U939" s="7"/>
      <c r="V939" s="7"/>
      <c r="W939" s="7"/>
      <c r="X939" s="7"/>
      <c r="Y939" s="7"/>
      <c r="Z939" s="7"/>
    </row>
    <row r="940" spans="1:26" ht="15.75" customHeight="1" x14ac:dyDescent="0.25">
      <c r="A940" s="537"/>
      <c r="B940" s="537"/>
      <c r="C940" s="537"/>
      <c r="D940" s="537"/>
      <c r="E940" s="395"/>
      <c r="F940" s="395"/>
      <c r="G940" s="395"/>
      <c r="H940" s="7"/>
      <c r="I940" s="7"/>
      <c r="J940" s="7"/>
      <c r="K940" s="7"/>
      <c r="L940" s="7"/>
      <c r="M940" s="7"/>
      <c r="N940" s="7"/>
      <c r="O940" s="7"/>
      <c r="P940" s="7"/>
      <c r="Q940" s="7"/>
      <c r="R940" s="7"/>
      <c r="S940" s="7"/>
      <c r="T940" s="7"/>
      <c r="U940" s="7"/>
      <c r="V940" s="7"/>
      <c r="W940" s="7"/>
      <c r="X940" s="7"/>
      <c r="Y940" s="7"/>
      <c r="Z940" s="7"/>
    </row>
    <row r="941" spans="1:26" ht="15.75" customHeight="1" x14ac:dyDescent="0.25">
      <c r="A941" s="537"/>
      <c r="B941" s="537"/>
      <c r="C941" s="537"/>
      <c r="D941" s="537"/>
      <c r="E941" s="395"/>
      <c r="F941" s="395"/>
      <c r="G941" s="395"/>
      <c r="H941" s="7"/>
      <c r="I941" s="7"/>
      <c r="J941" s="7"/>
      <c r="K941" s="7"/>
      <c r="L941" s="7"/>
      <c r="M941" s="7"/>
      <c r="N941" s="7"/>
      <c r="O941" s="7"/>
      <c r="P941" s="7"/>
      <c r="Q941" s="7"/>
      <c r="R941" s="7"/>
      <c r="S941" s="7"/>
      <c r="T941" s="7"/>
      <c r="U941" s="7"/>
      <c r="V941" s="7"/>
      <c r="W941" s="7"/>
      <c r="X941" s="7"/>
      <c r="Y941" s="7"/>
      <c r="Z941" s="7"/>
    </row>
    <row r="942" spans="1:26" ht="15.75" customHeight="1" x14ac:dyDescent="0.25">
      <c r="A942" s="537"/>
      <c r="B942" s="537"/>
      <c r="C942" s="537"/>
      <c r="D942" s="537"/>
      <c r="E942" s="395"/>
      <c r="F942" s="395"/>
      <c r="G942" s="395"/>
      <c r="H942" s="7"/>
      <c r="I942" s="7"/>
      <c r="J942" s="7"/>
      <c r="K942" s="7"/>
      <c r="L942" s="7"/>
      <c r="M942" s="7"/>
      <c r="N942" s="7"/>
      <c r="O942" s="7"/>
      <c r="P942" s="7"/>
      <c r="Q942" s="7"/>
      <c r="R942" s="7"/>
      <c r="S942" s="7"/>
      <c r="T942" s="7"/>
      <c r="U942" s="7"/>
      <c r="V942" s="7"/>
      <c r="W942" s="7"/>
      <c r="X942" s="7"/>
      <c r="Y942" s="7"/>
      <c r="Z942" s="7"/>
    </row>
    <row r="943" spans="1:26" ht="15.75" customHeight="1" x14ac:dyDescent="0.25">
      <c r="A943" s="537"/>
      <c r="B943" s="537"/>
      <c r="C943" s="537"/>
      <c r="D943" s="537"/>
      <c r="E943" s="395"/>
      <c r="F943" s="395"/>
      <c r="G943" s="395"/>
      <c r="H943" s="7"/>
      <c r="I943" s="7"/>
      <c r="J943" s="7"/>
      <c r="K943" s="7"/>
      <c r="L943" s="7"/>
      <c r="M943" s="7"/>
      <c r="N943" s="7"/>
      <c r="O943" s="7"/>
      <c r="P943" s="7"/>
      <c r="Q943" s="7"/>
      <c r="R943" s="7"/>
      <c r="S943" s="7"/>
      <c r="T943" s="7"/>
      <c r="U943" s="7"/>
      <c r="V943" s="7"/>
      <c r="W943" s="7"/>
      <c r="X943" s="7"/>
      <c r="Y943" s="7"/>
      <c r="Z943" s="7"/>
    </row>
    <row r="944" spans="1:26" ht="15.75" customHeight="1" x14ac:dyDescent="0.25">
      <c r="A944" s="537"/>
      <c r="B944" s="537"/>
      <c r="C944" s="537"/>
      <c r="D944" s="537"/>
      <c r="E944" s="395"/>
      <c r="F944" s="395"/>
      <c r="G944" s="395"/>
      <c r="H944" s="7"/>
      <c r="I944" s="7"/>
      <c r="J944" s="7"/>
      <c r="K944" s="7"/>
      <c r="L944" s="7"/>
      <c r="M944" s="7"/>
      <c r="N944" s="7"/>
      <c r="O944" s="7"/>
      <c r="P944" s="7"/>
      <c r="Q944" s="7"/>
      <c r="R944" s="7"/>
      <c r="S944" s="7"/>
      <c r="T944" s="7"/>
      <c r="U944" s="7"/>
      <c r="V944" s="7"/>
      <c r="W944" s="7"/>
      <c r="X944" s="7"/>
      <c r="Y944" s="7"/>
      <c r="Z944" s="7"/>
    </row>
    <row r="945" spans="1:26" ht="15.75" customHeight="1" x14ac:dyDescent="0.25">
      <c r="A945" s="537"/>
      <c r="B945" s="537"/>
      <c r="C945" s="537"/>
      <c r="D945" s="537"/>
      <c r="E945" s="395"/>
      <c r="F945" s="395"/>
      <c r="G945" s="395"/>
      <c r="H945" s="7"/>
      <c r="I945" s="7"/>
      <c r="J945" s="7"/>
      <c r="K945" s="7"/>
      <c r="L945" s="7"/>
      <c r="M945" s="7"/>
      <c r="N945" s="7"/>
      <c r="O945" s="7"/>
      <c r="P945" s="7"/>
      <c r="Q945" s="7"/>
      <c r="R945" s="7"/>
      <c r="S945" s="7"/>
      <c r="T945" s="7"/>
      <c r="U945" s="7"/>
      <c r="V945" s="7"/>
      <c r="W945" s="7"/>
      <c r="X945" s="7"/>
      <c r="Y945" s="7"/>
      <c r="Z945" s="7"/>
    </row>
    <row r="946" spans="1:26" ht="15.75" customHeight="1" x14ac:dyDescent="0.25">
      <c r="A946" s="537"/>
      <c r="B946" s="537"/>
      <c r="C946" s="537"/>
      <c r="D946" s="537"/>
      <c r="E946" s="395"/>
      <c r="F946" s="395"/>
      <c r="G946" s="395"/>
      <c r="H946" s="7"/>
      <c r="I946" s="7"/>
      <c r="J946" s="7"/>
      <c r="K946" s="7"/>
      <c r="L946" s="7"/>
      <c r="M946" s="7"/>
      <c r="N946" s="7"/>
      <c r="O946" s="7"/>
      <c r="P946" s="7"/>
      <c r="Q946" s="7"/>
      <c r="R946" s="7"/>
      <c r="S946" s="7"/>
      <c r="T946" s="7"/>
      <c r="U946" s="7"/>
      <c r="V946" s="7"/>
      <c r="W946" s="7"/>
      <c r="X946" s="7"/>
      <c r="Y946" s="7"/>
      <c r="Z946" s="7"/>
    </row>
    <row r="947" spans="1:26" ht="15.75" customHeight="1" x14ac:dyDescent="0.25">
      <c r="A947" s="537"/>
      <c r="B947" s="537"/>
      <c r="C947" s="537"/>
      <c r="D947" s="537"/>
      <c r="E947" s="395"/>
      <c r="F947" s="395"/>
      <c r="G947" s="395"/>
      <c r="H947" s="7"/>
      <c r="I947" s="7"/>
      <c r="J947" s="7"/>
      <c r="K947" s="7"/>
      <c r="L947" s="7"/>
      <c r="M947" s="7"/>
      <c r="N947" s="7"/>
      <c r="O947" s="7"/>
      <c r="P947" s="7"/>
      <c r="Q947" s="7"/>
      <c r="R947" s="7"/>
      <c r="S947" s="7"/>
      <c r="T947" s="7"/>
      <c r="U947" s="7"/>
      <c r="V947" s="7"/>
      <c r="W947" s="7"/>
      <c r="X947" s="7"/>
      <c r="Y947" s="7"/>
      <c r="Z947" s="7"/>
    </row>
    <row r="948" spans="1:26" ht="15.75" customHeight="1" x14ac:dyDescent="0.25">
      <c r="A948" s="537"/>
      <c r="B948" s="537"/>
      <c r="C948" s="537"/>
      <c r="D948" s="537"/>
      <c r="E948" s="395"/>
      <c r="F948" s="395"/>
      <c r="G948" s="395"/>
      <c r="H948" s="7"/>
      <c r="I948" s="7"/>
      <c r="J948" s="7"/>
      <c r="K948" s="7"/>
      <c r="L948" s="7"/>
      <c r="M948" s="7"/>
      <c r="N948" s="7"/>
      <c r="O948" s="7"/>
      <c r="P948" s="7"/>
      <c r="Q948" s="7"/>
      <c r="R948" s="7"/>
      <c r="S948" s="7"/>
      <c r="T948" s="7"/>
      <c r="U948" s="7"/>
      <c r="V948" s="7"/>
      <c r="W948" s="7"/>
      <c r="X948" s="7"/>
      <c r="Y948" s="7"/>
      <c r="Z948" s="7"/>
    </row>
    <row r="949" spans="1:26" ht="15.75" customHeight="1" x14ac:dyDescent="0.25">
      <c r="A949" s="537"/>
      <c r="B949" s="537"/>
      <c r="C949" s="537"/>
      <c r="D949" s="537"/>
      <c r="E949" s="395"/>
      <c r="F949" s="395"/>
      <c r="G949" s="395"/>
      <c r="H949" s="7"/>
      <c r="I949" s="7"/>
      <c r="J949" s="7"/>
      <c r="K949" s="7"/>
      <c r="L949" s="7"/>
      <c r="M949" s="7"/>
      <c r="N949" s="7"/>
      <c r="O949" s="7"/>
      <c r="P949" s="7"/>
      <c r="Q949" s="7"/>
      <c r="R949" s="7"/>
      <c r="S949" s="7"/>
      <c r="T949" s="7"/>
      <c r="U949" s="7"/>
      <c r="V949" s="7"/>
      <c r="W949" s="7"/>
      <c r="X949" s="7"/>
      <c r="Y949" s="7"/>
      <c r="Z949" s="7"/>
    </row>
    <row r="950" spans="1:26" ht="15.75" customHeight="1" x14ac:dyDescent="0.25">
      <c r="A950" s="537"/>
      <c r="B950" s="537"/>
      <c r="C950" s="537"/>
      <c r="D950" s="537"/>
      <c r="E950" s="395"/>
      <c r="F950" s="395"/>
      <c r="G950" s="395"/>
      <c r="H950" s="7"/>
      <c r="I950" s="7"/>
      <c r="J950" s="7"/>
      <c r="K950" s="7"/>
      <c r="L950" s="7"/>
      <c r="M950" s="7"/>
      <c r="N950" s="7"/>
      <c r="O950" s="7"/>
      <c r="P950" s="7"/>
      <c r="Q950" s="7"/>
      <c r="R950" s="7"/>
      <c r="S950" s="7"/>
      <c r="T950" s="7"/>
      <c r="U950" s="7"/>
      <c r="V950" s="7"/>
      <c r="W950" s="7"/>
      <c r="X950" s="7"/>
      <c r="Y950" s="7"/>
      <c r="Z950" s="7"/>
    </row>
    <row r="951" spans="1:26" ht="15.75" customHeight="1" x14ac:dyDescent="0.25">
      <c r="A951" s="537"/>
      <c r="B951" s="537"/>
      <c r="C951" s="537"/>
      <c r="D951" s="537"/>
      <c r="E951" s="395"/>
      <c r="F951" s="395"/>
      <c r="G951" s="395"/>
      <c r="H951" s="7"/>
      <c r="I951" s="7"/>
      <c r="J951" s="7"/>
      <c r="K951" s="7"/>
      <c r="L951" s="7"/>
      <c r="M951" s="7"/>
      <c r="N951" s="7"/>
      <c r="O951" s="7"/>
      <c r="P951" s="7"/>
      <c r="Q951" s="7"/>
      <c r="R951" s="7"/>
      <c r="S951" s="7"/>
      <c r="T951" s="7"/>
      <c r="U951" s="7"/>
      <c r="V951" s="7"/>
      <c r="W951" s="7"/>
      <c r="X951" s="7"/>
      <c r="Y951" s="7"/>
      <c r="Z951" s="7"/>
    </row>
    <row r="952" spans="1:26" ht="15.75" customHeight="1" x14ac:dyDescent="0.25">
      <c r="A952" s="537"/>
      <c r="B952" s="537"/>
      <c r="C952" s="537"/>
      <c r="D952" s="537"/>
      <c r="E952" s="395"/>
      <c r="F952" s="395"/>
      <c r="G952" s="395"/>
      <c r="H952" s="7"/>
      <c r="I952" s="7"/>
      <c r="J952" s="7"/>
      <c r="K952" s="7"/>
      <c r="L952" s="7"/>
      <c r="M952" s="7"/>
      <c r="N952" s="7"/>
      <c r="O952" s="7"/>
      <c r="P952" s="7"/>
      <c r="Q952" s="7"/>
      <c r="R952" s="7"/>
      <c r="S952" s="7"/>
      <c r="T952" s="7"/>
      <c r="U952" s="7"/>
      <c r="V952" s="7"/>
      <c r="W952" s="7"/>
      <c r="X952" s="7"/>
      <c r="Y952" s="7"/>
      <c r="Z952" s="7"/>
    </row>
    <row r="953" spans="1:26" ht="15.75" customHeight="1" x14ac:dyDescent="0.25">
      <c r="A953" s="537"/>
      <c r="B953" s="537"/>
      <c r="C953" s="537"/>
      <c r="D953" s="537"/>
      <c r="E953" s="395"/>
      <c r="F953" s="395"/>
      <c r="G953" s="395"/>
      <c r="H953" s="7"/>
      <c r="I953" s="7"/>
      <c r="J953" s="7"/>
      <c r="K953" s="7"/>
      <c r="L953" s="7"/>
      <c r="M953" s="7"/>
      <c r="N953" s="7"/>
      <c r="O953" s="7"/>
      <c r="P953" s="7"/>
      <c r="Q953" s="7"/>
      <c r="R953" s="7"/>
      <c r="S953" s="7"/>
      <c r="T953" s="7"/>
      <c r="U953" s="7"/>
      <c r="V953" s="7"/>
      <c r="W953" s="7"/>
      <c r="X953" s="7"/>
      <c r="Y953" s="7"/>
      <c r="Z953" s="7"/>
    </row>
    <row r="954" spans="1:26" ht="15.75" customHeight="1" x14ac:dyDescent="0.25">
      <c r="A954" s="537"/>
      <c r="B954" s="537"/>
      <c r="C954" s="537"/>
      <c r="D954" s="537"/>
      <c r="E954" s="395"/>
      <c r="F954" s="395"/>
      <c r="G954" s="395"/>
      <c r="H954" s="7"/>
      <c r="I954" s="7"/>
      <c r="J954" s="7"/>
      <c r="K954" s="7"/>
      <c r="L954" s="7"/>
      <c r="M954" s="7"/>
      <c r="N954" s="7"/>
      <c r="O954" s="7"/>
      <c r="P954" s="7"/>
      <c r="Q954" s="7"/>
      <c r="R954" s="7"/>
      <c r="S954" s="7"/>
      <c r="T954" s="7"/>
      <c r="U954" s="7"/>
      <c r="V954" s="7"/>
      <c r="W954" s="7"/>
      <c r="X954" s="7"/>
      <c r="Y954" s="7"/>
      <c r="Z954" s="7"/>
    </row>
    <row r="955" spans="1:26" ht="15.75" customHeight="1" x14ac:dyDescent="0.25">
      <c r="A955" s="537"/>
      <c r="B955" s="537"/>
      <c r="C955" s="537"/>
      <c r="D955" s="537"/>
      <c r="E955" s="395"/>
      <c r="F955" s="395"/>
      <c r="G955" s="395"/>
      <c r="H955" s="7"/>
      <c r="I955" s="7"/>
      <c r="J955" s="7"/>
      <c r="K955" s="7"/>
      <c r="L955" s="7"/>
      <c r="M955" s="7"/>
      <c r="N955" s="7"/>
      <c r="O955" s="7"/>
      <c r="P955" s="7"/>
      <c r="Q955" s="7"/>
      <c r="R955" s="7"/>
      <c r="S955" s="7"/>
      <c r="T955" s="7"/>
      <c r="U955" s="7"/>
      <c r="V955" s="7"/>
      <c r="W955" s="7"/>
      <c r="X955" s="7"/>
      <c r="Y955" s="7"/>
      <c r="Z955" s="7"/>
    </row>
    <row r="956" spans="1:26" ht="15.75" customHeight="1" x14ac:dyDescent="0.25">
      <c r="A956" s="537"/>
      <c r="B956" s="537"/>
      <c r="C956" s="537"/>
      <c r="D956" s="537"/>
      <c r="E956" s="395"/>
      <c r="F956" s="395"/>
      <c r="G956" s="395"/>
      <c r="H956" s="7"/>
      <c r="I956" s="7"/>
      <c r="J956" s="7"/>
      <c r="K956" s="7"/>
      <c r="L956" s="7"/>
      <c r="M956" s="7"/>
      <c r="N956" s="7"/>
      <c r="O956" s="7"/>
      <c r="P956" s="7"/>
      <c r="Q956" s="7"/>
      <c r="R956" s="7"/>
      <c r="S956" s="7"/>
      <c r="T956" s="7"/>
      <c r="U956" s="7"/>
      <c r="V956" s="7"/>
      <c r="W956" s="7"/>
      <c r="X956" s="7"/>
      <c r="Y956" s="7"/>
      <c r="Z956" s="7"/>
    </row>
    <row r="957" spans="1:26" ht="15.75" customHeight="1" x14ac:dyDescent="0.25">
      <c r="A957" s="537"/>
      <c r="B957" s="537"/>
      <c r="C957" s="537"/>
      <c r="D957" s="537"/>
      <c r="E957" s="395"/>
      <c r="F957" s="395"/>
      <c r="G957" s="395"/>
      <c r="H957" s="7"/>
      <c r="I957" s="7"/>
      <c r="J957" s="7"/>
      <c r="K957" s="7"/>
      <c r="L957" s="7"/>
      <c r="M957" s="7"/>
      <c r="N957" s="7"/>
      <c r="O957" s="7"/>
      <c r="P957" s="7"/>
      <c r="Q957" s="7"/>
      <c r="R957" s="7"/>
      <c r="S957" s="7"/>
      <c r="T957" s="7"/>
      <c r="U957" s="7"/>
      <c r="V957" s="7"/>
      <c r="W957" s="7"/>
      <c r="X957" s="7"/>
      <c r="Y957" s="7"/>
      <c r="Z957" s="7"/>
    </row>
    <row r="958" spans="1:26" ht="15.75" customHeight="1" x14ac:dyDescent="0.25">
      <c r="A958" s="537"/>
      <c r="B958" s="537"/>
      <c r="C958" s="537"/>
      <c r="D958" s="537"/>
      <c r="E958" s="395"/>
      <c r="F958" s="395"/>
      <c r="G958" s="395"/>
      <c r="H958" s="7"/>
      <c r="I958" s="7"/>
      <c r="J958" s="7"/>
      <c r="K958" s="7"/>
      <c r="L958" s="7"/>
      <c r="M958" s="7"/>
      <c r="N958" s="7"/>
      <c r="O958" s="7"/>
      <c r="P958" s="7"/>
      <c r="Q958" s="7"/>
      <c r="R958" s="7"/>
      <c r="S958" s="7"/>
      <c r="T958" s="7"/>
      <c r="U958" s="7"/>
      <c r="V958" s="7"/>
      <c r="W958" s="7"/>
      <c r="X958" s="7"/>
      <c r="Y958" s="7"/>
      <c r="Z958" s="7"/>
    </row>
    <row r="959" spans="1:26" ht="15.75" customHeight="1" x14ac:dyDescent="0.25">
      <c r="A959" s="537"/>
      <c r="B959" s="537"/>
      <c r="C959" s="537"/>
      <c r="D959" s="537"/>
      <c r="E959" s="395"/>
      <c r="F959" s="395"/>
      <c r="G959" s="395"/>
      <c r="H959" s="7"/>
      <c r="I959" s="7"/>
      <c r="J959" s="7"/>
      <c r="K959" s="7"/>
      <c r="L959" s="7"/>
      <c r="M959" s="7"/>
      <c r="N959" s="7"/>
      <c r="O959" s="7"/>
      <c r="P959" s="7"/>
      <c r="Q959" s="7"/>
      <c r="R959" s="7"/>
      <c r="S959" s="7"/>
      <c r="T959" s="7"/>
      <c r="U959" s="7"/>
      <c r="V959" s="7"/>
      <c r="W959" s="7"/>
      <c r="X959" s="7"/>
      <c r="Y959" s="7"/>
      <c r="Z959" s="7"/>
    </row>
    <row r="960" spans="1:26" ht="15.75" customHeight="1" x14ac:dyDescent="0.25">
      <c r="A960" s="537"/>
      <c r="B960" s="537"/>
      <c r="C960" s="537"/>
      <c r="D960" s="537"/>
      <c r="E960" s="395"/>
      <c r="F960" s="395"/>
      <c r="G960" s="395"/>
      <c r="H960" s="7"/>
      <c r="I960" s="7"/>
      <c r="J960" s="7"/>
      <c r="K960" s="7"/>
      <c r="L960" s="7"/>
      <c r="M960" s="7"/>
      <c r="N960" s="7"/>
      <c r="O960" s="7"/>
      <c r="P960" s="7"/>
      <c r="Q960" s="7"/>
      <c r="R960" s="7"/>
      <c r="S960" s="7"/>
      <c r="T960" s="7"/>
      <c r="U960" s="7"/>
      <c r="V960" s="7"/>
      <c r="W960" s="7"/>
      <c r="X960" s="7"/>
      <c r="Y960" s="7"/>
      <c r="Z960" s="7"/>
    </row>
    <row r="961" spans="1:26" ht="15.75" customHeight="1" x14ac:dyDescent="0.25">
      <c r="A961" s="537"/>
      <c r="B961" s="537"/>
      <c r="C961" s="537"/>
      <c r="D961" s="537"/>
      <c r="E961" s="395"/>
      <c r="F961" s="395"/>
      <c r="G961" s="395"/>
      <c r="H961" s="7"/>
      <c r="I961" s="7"/>
      <c r="J961" s="7"/>
      <c r="K961" s="7"/>
      <c r="L961" s="7"/>
      <c r="M961" s="7"/>
      <c r="N961" s="7"/>
      <c r="O961" s="7"/>
      <c r="P961" s="7"/>
      <c r="Q961" s="7"/>
      <c r="R961" s="7"/>
      <c r="S961" s="7"/>
      <c r="T961" s="7"/>
      <c r="U961" s="7"/>
      <c r="V961" s="7"/>
      <c r="W961" s="7"/>
      <c r="X961" s="7"/>
      <c r="Y961" s="7"/>
      <c r="Z961" s="7"/>
    </row>
    <row r="962" spans="1:26" ht="15.75" customHeight="1" x14ac:dyDescent="0.25">
      <c r="A962" s="537"/>
      <c r="B962" s="537"/>
      <c r="C962" s="537"/>
      <c r="D962" s="537"/>
      <c r="E962" s="395"/>
      <c r="F962" s="395"/>
      <c r="G962" s="395"/>
      <c r="H962" s="7"/>
      <c r="I962" s="7"/>
      <c r="J962" s="7"/>
      <c r="K962" s="7"/>
      <c r="L962" s="7"/>
      <c r="M962" s="7"/>
      <c r="N962" s="7"/>
      <c r="O962" s="7"/>
      <c r="P962" s="7"/>
      <c r="Q962" s="7"/>
      <c r="R962" s="7"/>
      <c r="S962" s="7"/>
      <c r="T962" s="7"/>
      <c r="U962" s="7"/>
      <c r="V962" s="7"/>
      <c r="W962" s="7"/>
      <c r="X962" s="7"/>
      <c r="Y962" s="7"/>
      <c r="Z962" s="7"/>
    </row>
    <row r="963" spans="1:26" ht="15.75" customHeight="1" x14ac:dyDescent="0.25">
      <c r="A963" s="537"/>
      <c r="B963" s="537"/>
      <c r="C963" s="537"/>
      <c r="D963" s="537"/>
      <c r="E963" s="395"/>
      <c r="F963" s="395"/>
      <c r="G963" s="395"/>
      <c r="H963" s="7"/>
      <c r="I963" s="7"/>
      <c r="J963" s="7"/>
      <c r="K963" s="7"/>
      <c r="L963" s="7"/>
      <c r="M963" s="7"/>
      <c r="N963" s="7"/>
      <c r="O963" s="7"/>
      <c r="P963" s="7"/>
      <c r="Q963" s="7"/>
      <c r="R963" s="7"/>
      <c r="S963" s="7"/>
      <c r="T963" s="7"/>
      <c r="U963" s="7"/>
      <c r="V963" s="7"/>
      <c r="W963" s="7"/>
      <c r="X963" s="7"/>
      <c r="Y963" s="7"/>
      <c r="Z963" s="7"/>
    </row>
    <row r="964" spans="1:26" ht="15.75" customHeight="1" x14ac:dyDescent="0.25">
      <c r="A964" s="537"/>
      <c r="B964" s="537"/>
      <c r="C964" s="537"/>
      <c r="D964" s="537"/>
      <c r="E964" s="395"/>
      <c r="F964" s="395"/>
      <c r="G964" s="395"/>
      <c r="H964" s="7"/>
      <c r="I964" s="7"/>
      <c r="J964" s="7"/>
      <c r="K964" s="7"/>
      <c r="L964" s="7"/>
      <c r="M964" s="7"/>
      <c r="N964" s="7"/>
      <c r="O964" s="7"/>
      <c r="P964" s="7"/>
      <c r="Q964" s="7"/>
      <c r="R964" s="7"/>
      <c r="S964" s="7"/>
      <c r="T964" s="7"/>
      <c r="U964" s="7"/>
      <c r="V964" s="7"/>
      <c r="W964" s="7"/>
      <c r="X964" s="7"/>
      <c r="Y964" s="7"/>
      <c r="Z964" s="7"/>
    </row>
    <row r="965" spans="1:26" ht="15.75" customHeight="1" x14ac:dyDescent="0.25">
      <c r="A965" s="537"/>
      <c r="B965" s="537"/>
      <c r="C965" s="537"/>
      <c r="D965" s="537"/>
      <c r="E965" s="395"/>
      <c r="F965" s="395"/>
      <c r="G965" s="395"/>
      <c r="H965" s="7"/>
      <c r="I965" s="7"/>
      <c r="J965" s="7"/>
      <c r="K965" s="7"/>
      <c r="L965" s="7"/>
      <c r="M965" s="7"/>
      <c r="N965" s="7"/>
      <c r="O965" s="7"/>
      <c r="P965" s="7"/>
      <c r="Q965" s="7"/>
      <c r="R965" s="7"/>
      <c r="S965" s="7"/>
      <c r="T965" s="7"/>
      <c r="U965" s="7"/>
      <c r="V965" s="7"/>
      <c r="W965" s="7"/>
      <c r="X965" s="7"/>
      <c r="Y965" s="7"/>
      <c r="Z965" s="7"/>
    </row>
    <row r="966" spans="1:26" ht="15.75" customHeight="1" x14ac:dyDescent="0.25">
      <c r="A966" s="537"/>
      <c r="B966" s="537"/>
      <c r="C966" s="537"/>
      <c r="D966" s="537"/>
      <c r="E966" s="395"/>
      <c r="F966" s="395"/>
      <c r="G966" s="395"/>
      <c r="H966" s="7"/>
      <c r="I966" s="7"/>
      <c r="J966" s="7"/>
      <c r="K966" s="7"/>
      <c r="L966" s="7"/>
      <c r="M966" s="7"/>
      <c r="N966" s="7"/>
      <c r="O966" s="7"/>
      <c r="P966" s="7"/>
      <c r="Q966" s="7"/>
      <c r="R966" s="7"/>
      <c r="S966" s="7"/>
      <c r="T966" s="7"/>
      <c r="U966" s="7"/>
      <c r="V966" s="7"/>
      <c r="W966" s="7"/>
      <c r="X966" s="7"/>
      <c r="Y966" s="7"/>
      <c r="Z966" s="7"/>
    </row>
    <row r="967" spans="1:26" ht="15.75" customHeight="1" x14ac:dyDescent="0.25">
      <c r="A967" s="537"/>
      <c r="B967" s="537"/>
      <c r="C967" s="537"/>
      <c r="D967" s="537"/>
      <c r="E967" s="395"/>
      <c r="F967" s="395"/>
      <c r="G967" s="395"/>
      <c r="H967" s="7"/>
      <c r="I967" s="7"/>
      <c r="J967" s="7"/>
      <c r="K967" s="7"/>
      <c r="L967" s="7"/>
      <c r="M967" s="7"/>
      <c r="N967" s="7"/>
      <c r="O967" s="7"/>
      <c r="P967" s="7"/>
      <c r="Q967" s="7"/>
      <c r="R967" s="7"/>
      <c r="S967" s="7"/>
      <c r="T967" s="7"/>
      <c r="U967" s="7"/>
      <c r="V967" s="7"/>
      <c r="W967" s="7"/>
      <c r="X967" s="7"/>
      <c r="Y967" s="7"/>
      <c r="Z967" s="7"/>
    </row>
    <row r="968" spans="1:26" ht="15.75" customHeight="1" x14ac:dyDescent="0.25">
      <c r="A968" s="537"/>
      <c r="B968" s="537"/>
      <c r="C968" s="537"/>
      <c r="D968" s="537"/>
      <c r="E968" s="395"/>
      <c r="F968" s="395"/>
      <c r="G968" s="395"/>
      <c r="H968" s="7"/>
      <c r="I968" s="7"/>
      <c r="J968" s="7"/>
      <c r="K968" s="7"/>
      <c r="L968" s="7"/>
      <c r="M968" s="7"/>
      <c r="N968" s="7"/>
      <c r="O968" s="7"/>
      <c r="P968" s="7"/>
      <c r="Q968" s="7"/>
      <c r="R968" s="7"/>
      <c r="S968" s="7"/>
      <c r="T968" s="7"/>
      <c r="U968" s="7"/>
      <c r="V968" s="7"/>
      <c r="W968" s="7"/>
      <c r="X968" s="7"/>
      <c r="Y968" s="7"/>
      <c r="Z968" s="7"/>
    </row>
    <row r="969" spans="1:26" ht="15.75" customHeight="1" x14ac:dyDescent="0.25">
      <c r="A969" s="537"/>
      <c r="B969" s="537"/>
      <c r="C969" s="537"/>
      <c r="D969" s="537"/>
      <c r="E969" s="395"/>
      <c r="F969" s="395"/>
      <c r="G969" s="395"/>
      <c r="H969" s="7"/>
      <c r="I969" s="7"/>
      <c r="J969" s="7"/>
      <c r="K969" s="7"/>
      <c r="L969" s="7"/>
      <c r="M969" s="7"/>
      <c r="N969" s="7"/>
      <c r="O969" s="7"/>
      <c r="P969" s="7"/>
      <c r="Q969" s="7"/>
      <c r="R969" s="7"/>
      <c r="S969" s="7"/>
      <c r="T969" s="7"/>
      <c r="U969" s="7"/>
      <c r="V969" s="7"/>
      <c r="W969" s="7"/>
      <c r="X969" s="7"/>
      <c r="Y969" s="7"/>
      <c r="Z969" s="7"/>
    </row>
    <row r="970" spans="1:26" ht="15.75" customHeight="1" x14ac:dyDescent="0.25">
      <c r="A970" s="537"/>
      <c r="B970" s="537"/>
      <c r="C970" s="537"/>
      <c r="D970" s="537"/>
      <c r="E970" s="395"/>
      <c r="F970" s="395"/>
      <c r="G970" s="395"/>
      <c r="H970" s="7"/>
      <c r="I970" s="7"/>
      <c r="J970" s="7"/>
      <c r="K970" s="7"/>
      <c r="L970" s="7"/>
      <c r="M970" s="7"/>
      <c r="N970" s="7"/>
      <c r="O970" s="7"/>
      <c r="P970" s="7"/>
      <c r="Q970" s="7"/>
      <c r="R970" s="7"/>
      <c r="S970" s="7"/>
      <c r="T970" s="7"/>
      <c r="U970" s="7"/>
      <c r="V970" s="7"/>
      <c r="W970" s="7"/>
      <c r="X970" s="7"/>
      <c r="Y970" s="7"/>
      <c r="Z970" s="7"/>
    </row>
    <row r="971" spans="1:26" ht="15.75" customHeight="1" x14ac:dyDescent="0.25">
      <c r="A971" s="537"/>
      <c r="B971" s="537"/>
      <c r="C971" s="537"/>
      <c r="D971" s="537"/>
      <c r="E971" s="395"/>
      <c r="F971" s="395"/>
      <c r="G971" s="395"/>
      <c r="H971" s="7"/>
      <c r="I971" s="7"/>
      <c r="J971" s="7"/>
      <c r="K971" s="7"/>
      <c r="L971" s="7"/>
      <c r="M971" s="7"/>
      <c r="N971" s="7"/>
      <c r="O971" s="7"/>
      <c r="P971" s="7"/>
      <c r="Q971" s="7"/>
      <c r="R971" s="7"/>
      <c r="S971" s="7"/>
      <c r="T971" s="7"/>
      <c r="U971" s="7"/>
      <c r="V971" s="7"/>
      <c r="W971" s="7"/>
      <c r="X971" s="7"/>
      <c r="Y971" s="7"/>
      <c r="Z971" s="7"/>
    </row>
    <row r="972" spans="1:26" ht="15.75" customHeight="1" x14ac:dyDescent="0.25">
      <c r="A972" s="537"/>
      <c r="B972" s="537"/>
      <c r="C972" s="537"/>
      <c r="D972" s="537"/>
      <c r="E972" s="395"/>
      <c r="F972" s="395"/>
      <c r="G972" s="395"/>
      <c r="H972" s="7"/>
      <c r="I972" s="7"/>
      <c r="J972" s="7"/>
      <c r="K972" s="7"/>
      <c r="L972" s="7"/>
      <c r="M972" s="7"/>
      <c r="N972" s="7"/>
      <c r="O972" s="7"/>
      <c r="P972" s="7"/>
      <c r="Q972" s="7"/>
      <c r="R972" s="7"/>
      <c r="S972" s="7"/>
      <c r="T972" s="7"/>
      <c r="U972" s="7"/>
      <c r="V972" s="7"/>
      <c r="W972" s="7"/>
      <c r="X972" s="7"/>
      <c r="Y972" s="7"/>
      <c r="Z972" s="7"/>
    </row>
    <row r="973" spans="1:26" ht="15.75" customHeight="1" x14ac:dyDescent="0.25">
      <c r="A973" s="537"/>
      <c r="B973" s="537"/>
      <c r="C973" s="537"/>
      <c r="D973" s="537"/>
      <c r="E973" s="395"/>
      <c r="F973" s="395"/>
      <c r="G973" s="395"/>
      <c r="H973" s="7"/>
      <c r="I973" s="7"/>
      <c r="J973" s="7"/>
      <c r="K973" s="7"/>
      <c r="L973" s="7"/>
      <c r="M973" s="7"/>
      <c r="N973" s="7"/>
      <c r="O973" s="7"/>
      <c r="P973" s="7"/>
      <c r="Q973" s="7"/>
      <c r="R973" s="7"/>
      <c r="S973" s="7"/>
      <c r="T973" s="7"/>
      <c r="U973" s="7"/>
      <c r="V973" s="7"/>
      <c r="W973" s="7"/>
      <c r="X973" s="7"/>
      <c r="Y973" s="7"/>
      <c r="Z973" s="7"/>
    </row>
    <row r="974" spans="1:26" ht="15.75" customHeight="1" x14ac:dyDescent="0.25">
      <c r="A974" s="537"/>
      <c r="B974" s="537"/>
      <c r="C974" s="537"/>
      <c r="D974" s="537"/>
      <c r="E974" s="395"/>
      <c r="F974" s="395"/>
      <c r="G974" s="395"/>
      <c r="H974" s="7"/>
      <c r="I974" s="7"/>
      <c r="J974" s="7"/>
      <c r="K974" s="7"/>
      <c r="L974" s="7"/>
      <c r="M974" s="7"/>
      <c r="N974" s="7"/>
      <c r="O974" s="7"/>
      <c r="P974" s="7"/>
      <c r="Q974" s="7"/>
      <c r="R974" s="7"/>
      <c r="S974" s="7"/>
      <c r="T974" s="7"/>
      <c r="U974" s="7"/>
      <c r="V974" s="7"/>
      <c r="W974" s="7"/>
      <c r="X974" s="7"/>
      <c r="Y974" s="7"/>
      <c r="Z974" s="7"/>
    </row>
    <row r="975" spans="1:26" ht="15.75" customHeight="1" x14ac:dyDescent="0.25">
      <c r="A975" s="537"/>
      <c r="B975" s="537"/>
      <c r="C975" s="537"/>
      <c r="D975" s="537"/>
      <c r="E975" s="395"/>
      <c r="F975" s="395"/>
      <c r="G975" s="395"/>
      <c r="H975" s="7"/>
      <c r="I975" s="7"/>
      <c r="J975" s="7"/>
      <c r="K975" s="7"/>
      <c r="L975" s="7"/>
      <c r="M975" s="7"/>
      <c r="N975" s="7"/>
      <c r="O975" s="7"/>
      <c r="P975" s="7"/>
      <c r="Q975" s="7"/>
      <c r="R975" s="7"/>
      <c r="S975" s="7"/>
      <c r="T975" s="7"/>
      <c r="U975" s="7"/>
      <c r="V975" s="7"/>
      <c r="W975" s="7"/>
      <c r="X975" s="7"/>
      <c r="Y975" s="7"/>
      <c r="Z975" s="7"/>
    </row>
    <row r="976" spans="1:26" ht="15.75" customHeight="1" x14ac:dyDescent="0.25">
      <c r="A976" s="537"/>
      <c r="B976" s="537"/>
      <c r="C976" s="537"/>
      <c r="D976" s="537"/>
      <c r="E976" s="395"/>
      <c r="F976" s="395"/>
      <c r="G976" s="395"/>
      <c r="H976" s="7"/>
      <c r="I976" s="7"/>
      <c r="J976" s="7"/>
      <c r="K976" s="7"/>
      <c r="L976" s="7"/>
      <c r="M976" s="7"/>
      <c r="N976" s="7"/>
      <c r="O976" s="7"/>
      <c r="P976" s="7"/>
      <c r="Q976" s="7"/>
      <c r="R976" s="7"/>
      <c r="S976" s="7"/>
      <c r="T976" s="7"/>
      <c r="U976" s="7"/>
      <c r="V976" s="7"/>
      <c r="W976" s="7"/>
      <c r="X976" s="7"/>
      <c r="Y976" s="7"/>
      <c r="Z976" s="7"/>
    </row>
    <row r="977" spans="1:26" ht="15.75" customHeight="1" x14ac:dyDescent="0.25">
      <c r="A977" s="537"/>
      <c r="B977" s="537"/>
      <c r="C977" s="537"/>
      <c r="D977" s="537"/>
      <c r="E977" s="395"/>
      <c r="F977" s="395"/>
      <c r="G977" s="395"/>
      <c r="H977" s="7"/>
      <c r="I977" s="7"/>
      <c r="J977" s="7"/>
      <c r="K977" s="7"/>
      <c r="L977" s="7"/>
      <c r="M977" s="7"/>
      <c r="N977" s="7"/>
      <c r="O977" s="7"/>
      <c r="P977" s="7"/>
      <c r="Q977" s="7"/>
      <c r="R977" s="7"/>
      <c r="S977" s="7"/>
      <c r="T977" s="7"/>
      <c r="U977" s="7"/>
      <c r="V977" s="7"/>
      <c r="W977" s="7"/>
      <c r="X977" s="7"/>
      <c r="Y977" s="7"/>
      <c r="Z977" s="7"/>
    </row>
    <row r="978" spans="1:26" ht="15.75" customHeight="1" x14ac:dyDescent="0.25">
      <c r="A978" s="537"/>
      <c r="B978" s="537"/>
      <c r="C978" s="537"/>
      <c r="D978" s="537"/>
      <c r="E978" s="395"/>
      <c r="F978" s="395"/>
      <c r="G978" s="395"/>
      <c r="H978" s="7"/>
      <c r="I978" s="7"/>
      <c r="J978" s="7"/>
      <c r="K978" s="7"/>
      <c r="L978" s="7"/>
      <c r="M978" s="7"/>
      <c r="N978" s="7"/>
      <c r="O978" s="7"/>
      <c r="P978" s="7"/>
      <c r="Q978" s="7"/>
      <c r="R978" s="7"/>
      <c r="S978" s="7"/>
      <c r="T978" s="7"/>
      <c r="U978" s="7"/>
      <c r="V978" s="7"/>
      <c r="W978" s="7"/>
      <c r="X978" s="7"/>
      <c r="Y978" s="7"/>
      <c r="Z978" s="7"/>
    </row>
    <row r="979" spans="1:26" ht="15.75" customHeight="1" x14ac:dyDescent="0.25">
      <c r="A979" s="537"/>
      <c r="B979" s="537"/>
      <c r="C979" s="537"/>
      <c r="D979" s="537"/>
      <c r="E979" s="395"/>
      <c r="F979" s="395"/>
      <c r="G979" s="395"/>
      <c r="H979" s="7"/>
      <c r="I979" s="7"/>
      <c r="J979" s="7"/>
      <c r="K979" s="7"/>
      <c r="L979" s="7"/>
      <c r="M979" s="7"/>
      <c r="N979" s="7"/>
      <c r="O979" s="7"/>
      <c r="P979" s="7"/>
      <c r="Q979" s="7"/>
      <c r="R979" s="7"/>
      <c r="S979" s="7"/>
      <c r="T979" s="7"/>
      <c r="U979" s="7"/>
      <c r="V979" s="7"/>
      <c r="W979" s="7"/>
      <c r="X979" s="7"/>
      <c r="Y979" s="7"/>
      <c r="Z979" s="7"/>
    </row>
    <row r="980" spans="1:26" ht="15.75" customHeight="1" x14ac:dyDescent="0.25">
      <c r="A980" s="537"/>
      <c r="B980" s="537"/>
      <c r="C980" s="537"/>
      <c r="D980" s="537"/>
      <c r="E980" s="395"/>
      <c r="F980" s="395"/>
      <c r="G980" s="395"/>
      <c r="H980" s="7"/>
      <c r="I980" s="7"/>
      <c r="J980" s="7"/>
      <c r="K980" s="7"/>
      <c r="L980" s="7"/>
      <c r="M980" s="7"/>
      <c r="N980" s="7"/>
      <c r="O980" s="7"/>
      <c r="P980" s="7"/>
      <c r="Q980" s="7"/>
      <c r="R980" s="7"/>
      <c r="S980" s="7"/>
      <c r="T980" s="7"/>
      <c r="U980" s="7"/>
      <c r="V980" s="7"/>
      <c r="W980" s="7"/>
      <c r="X980" s="7"/>
      <c r="Y980" s="7"/>
      <c r="Z980" s="7"/>
    </row>
    <row r="981" spans="1:26" ht="15.75" customHeight="1" x14ac:dyDescent="0.25">
      <c r="A981" s="537"/>
      <c r="B981" s="537"/>
      <c r="C981" s="537"/>
      <c r="D981" s="537"/>
      <c r="E981" s="395"/>
      <c r="F981" s="395"/>
      <c r="G981" s="395"/>
      <c r="H981" s="7"/>
      <c r="I981" s="7"/>
      <c r="J981" s="7"/>
      <c r="K981" s="7"/>
      <c r="L981" s="7"/>
      <c r="M981" s="7"/>
      <c r="N981" s="7"/>
      <c r="O981" s="7"/>
      <c r="P981" s="7"/>
      <c r="Q981" s="7"/>
      <c r="R981" s="7"/>
      <c r="S981" s="7"/>
      <c r="T981" s="7"/>
      <c r="U981" s="7"/>
      <c r="V981" s="7"/>
      <c r="W981" s="7"/>
      <c r="X981" s="7"/>
      <c r="Y981" s="7"/>
      <c r="Z981" s="7"/>
    </row>
    <row r="982" spans="1:26" ht="15.75" customHeight="1" x14ac:dyDescent="0.25">
      <c r="A982" s="537"/>
      <c r="B982" s="537"/>
      <c r="C982" s="537"/>
      <c r="D982" s="537"/>
      <c r="E982" s="395"/>
      <c r="F982" s="395"/>
      <c r="G982" s="395"/>
      <c r="H982" s="7"/>
      <c r="I982" s="7"/>
      <c r="J982" s="7"/>
      <c r="K982" s="7"/>
      <c r="L982" s="7"/>
      <c r="M982" s="7"/>
      <c r="N982" s="7"/>
      <c r="O982" s="7"/>
      <c r="P982" s="7"/>
      <c r="Q982" s="7"/>
      <c r="R982" s="7"/>
      <c r="S982" s="7"/>
      <c r="T982" s="7"/>
      <c r="U982" s="7"/>
      <c r="V982" s="7"/>
      <c r="W982" s="7"/>
      <c r="X982" s="7"/>
      <c r="Y982" s="7"/>
      <c r="Z982" s="7"/>
    </row>
    <row r="983" spans="1:26" ht="15.75" customHeight="1" x14ac:dyDescent="0.25">
      <c r="A983" s="537"/>
      <c r="B983" s="537"/>
      <c r="C983" s="537"/>
      <c r="D983" s="537"/>
      <c r="E983" s="395"/>
      <c r="F983" s="395"/>
      <c r="G983" s="395"/>
      <c r="H983" s="7"/>
      <c r="I983" s="7"/>
      <c r="J983" s="7"/>
      <c r="K983" s="7"/>
      <c r="L983" s="7"/>
      <c r="M983" s="7"/>
      <c r="N983" s="7"/>
      <c r="O983" s="7"/>
      <c r="P983" s="7"/>
      <c r="Q983" s="7"/>
      <c r="R983" s="7"/>
      <c r="S983" s="7"/>
      <c r="T983" s="7"/>
      <c r="U983" s="7"/>
      <c r="V983" s="7"/>
      <c r="W983" s="7"/>
      <c r="X983" s="7"/>
      <c r="Y983" s="7"/>
      <c r="Z983" s="7"/>
    </row>
    <row r="984" spans="1:26" ht="15.75" customHeight="1" x14ac:dyDescent="0.25">
      <c r="A984" s="537"/>
      <c r="B984" s="537"/>
      <c r="C984" s="537"/>
      <c r="D984" s="537"/>
      <c r="E984" s="395"/>
      <c r="F984" s="395"/>
      <c r="G984" s="395"/>
      <c r="H984" s="7"/>
      <c r="I984" s="7"/>
      <c r="J984" s="7"/>
      <c r="K984" s="7"/>
      <c r="L984" s="7"/>
      <c r="M984" s="7"/>
      <c r="N984" s="7"/>
      <c r="O984" s="7"/>
      <c r="P984" s="7"/>
      <c r="Q984" s="7"/>
      <c r="R984" s="7"/>
      <c r="S984" s="7"/>
      <c r="T984" s="7"/>
      <c r="U984" s="7"/>
      <c r="V984" s="7"/>
      <c r="W984" s="7"/>
      <c r="X984" s="7"/>
      <c r="Y984" s="7"/>
      <c r="Z984" s="7"/>
    </row>
    <row r="985" spans="1:26" ht="15.75" customHeight="1" x14ac:dyDescent="0.25">
      <c r="A985" s="537"/>
      <c r="B985" s="537"/>
      <c r="C985" s="537"/>
      <c r="D985" s="537"/>
      <c r="E985" s="395"/>
      <c r="F985" s="395"/>
      <c r="G985" s="395"/>
      <c r="H985" s="7"/>
      <c r="I985" s="7"/>
      <c r="J985" s="7"/>
      <c r="K985" s="7"/>
      <c r="L985" s="7"/>
      <c r="M985" s="7"/>
      <c r="N985" s="7"/>
      <c r="O985" s="7"/>
      <c r="P985" s="7"/>
      <c r="Q985" s="7"/>
      <c r="R985" s="7"/>
      <c r="S985" s="7"/>
      <c r="T985" s="7"/>
      <c r="U985" s="7"/>
      <c r="V985" s="7"/>
      <c r="W985" s="7"/>
      <c r="X985" s="7"/>
      <c r="Y985" s="7"/>
      <c r="Z985" s="7"/>
    </row>
    <row r="986" spans="1:26" ht="15.75" customHeight="1" x14ac:dyDescent="0.25">
      <c r="A986" s="537"/>
      <c r="B986" s="537"/>
      <c r="C986" s="537"/>
      <c r="D986" s="537"/>
      <c r="E986" s="395"/>
      <c r="F986" s="395"/>
      <c r="G986" s="395"/>
      <c r="H986" s="7"/>
      <c r="I986" s="7"/>
      <c r="J986" s="7"/>
      <c r="K986" s="7"/>
      <c r="L986" s="7"/>
      <c r="M986" s="7"/>
      <c r="N986" s="7"/>
      <c r="O986" s="7"/>
      <c r="P986" s="7"/>
      <c r="Q986" s="7"/>
      <c r="R986" s="7"/>
      <c r="S986" s="7"/>
      <c r="T986" s="7"/>
      <c r="U986" s="7"/>
      <c r="V986" s="7"/>
      <c r="W986" s="7"/>
      <c r="X986" s="7"/>
      <c r="Y986" s="7"/>
      <c r="Z986" s="7"/>
    </row>
    <row r="987" spans="1:26" ht="15.75" customHeight="1" x14ac:dyDescent="0.25">
      <c r="A987" s="537"/>
      <c r="B987" s="537"/>
      <c r="C987" s="537"/>
      <c r="D987" s="537"/>
      <c r="E987" s="395"/>
      <c r="F987" s="395"/>
      <c r="G987" s="395"/>
      <c r="H987" s="7"/>
      <c r="I987" s="7"/>
      <c r="J987" s="7"/>
      <c r="K987" s="7"/>
      <c r="L987" s="7"/>
      <c r="M987" s="7"/>
      <c r="N987" s="7"/>
      <c r="O987" s="7"/>
      <c r="P987" s="7"/>
      <c r="Q987" s="7"/>
      <c r="R987" s="7"/>
      <c r="S987" s="7"/>
      <c r="T987" s="7"/>
      <c r="U987" s="7"/>
      <c r="V987" s="7"/>
      <c r="W987" s="7"/>
      <c r="X987" s="7"/>
      <c r="Y987" s="7"/>
      <c r="Z987" s="7"/>
    </row>
    <row r="988" spans="1:26" ht="15.75" customHeight="1" x14ac:dyDescent="0.25">
      <c r="A988" s="537"/>
      <c r="B988" s="537"/>
      <c r="C988" s="537"/>
      <c r="D988" s="537"/>
      <c r="E988" s="395"/>
      <c r="F988" s="395"/>
      <c r="G988" s="395"/>
      <c r="H988" s="7"/>
      <c r="I988" s="7"/>
      <c r="J988" s="7"/>
      <c r="K988" s="7"/>
      <c r="L988" s="7"/>
      <c r="M988" s="7"/>
      <c r="N988" s="7"/>
      <c r="O988" s="7"/>
      <c r="P988" s="7"/>
      <c r="Q988" s="7"/>
      <c r="R988" s="7"/>
      <c r="S988" s="7"/>
      <c r="T988" s="7"/>
      <c r="U988" s="7"/>
      <c r="V988" s="7"/>
      <c r="W988" s="7"/>
      <c r="X988" s="7"/>
      <c r="Y988" s="7"/>
      <c r="Z988" s="7"/>
    </row>
    <row r="989" spans="1:26" ht="15.75" customHeight="1" x14ac:dyDescent="0.25">
      <c r="A989" s="537"/>
      <c r="B989" s="537"/>
      <c r="C989" s="537"/>
      <c r="D989" s="537"/>
      <c r="E989" s="395"/>
      <c r="F989" s="395"/>
      <c r="G989" s="395"/>
      <c r="H989" s="7"/>
      <c r="I989" s="7"/>
      <c r="J989" s="7"/>
      <c r="K989" s="7"/>
      <c r="L989" s="7"/>
      <c r="M989" s="7"/>
      <c r="N989" s="7"/>
      <c r="O989" s="7"/>
      <c r="P989" s="7"/>
      <c r="Q989" s="7"/>
      <c r="R989" s="7"/>
      <c r="S989" s="7"/>
      <c r="T989" s="7"/>
      <c r="U989" s="7"/>
      <c r="V989" s="7"/>
      <c r="W989" s="7"/>
      <c r="X989" s="7"/>
      <c r="Y989" s="7"/>
      <c r="Z989" s="7"/>
    </row>
    <row r="990" spans="1:26" ht="15.75" customHeight="1" x14ac:dyDescent="0.25">
      <c r="A990" s="537"/>
      <c r="B990" s="537"/>
      <c r="C990" s="537"/>
      <c r="D990" s="537"/>
      <c r="E990" s="395"/>
      <c r="F990" s="395"/>
      <c r="G990" s="395"/>
      <c r="H990" s="7"/>
      <c r="I990" s="7"/>
      <c r="J990" s="7"/>
      <c r="K990" s="7"/>
      <c r="L990" s="7"/>
      <c r="M990" s="7"/>
      <c r="N990" s="7"/>
      <c r="O990" s="7"/>
      <c r="P990" s="7"/>
      <c r="Q990" s="7"/>
      <c r="R990" s="7"/>
      <c r="S990" s="7"/>
      <c r="T990" s="7"/>
      <c r="U990" s="7"/>
      <c r="V990" s="7"/>
      <c r="W990" s="7"/>
      <c r="X990" s="7"/>
      <c r="Y990" s="7"/>
      <c r="Z990" s="7"/>
    </row>
    <row r="991" spans="1:26" ht="15.75" customHeight="1" x14ac:dyDescent="0.25">
      <c r="A991" s="537"/>
      <c r="B991" s="537"/>
      <c r="C991" s="537"/>
      <c r="D991" s="537"/>
      <c r="E991" s="395"/>
      <c r="F991" s="395"/>
      <c r="G991" s="395"/>
      <c r="H991" s="7"/>
      <c r="I991" s="7"/>
      <c r="J991" s="7"/>
      <c r="K991" s="7"/>
      <c r="L991" s="7"/>
      <c r="M991" s="7"/>
      <c r="N991" s="7"/>
      <c r="O991" s="7"/>
      <c r="P991" s="7"/>
      <c r="Q991" s="7"/>
      <c r="R991" s="7"/>
      <c r="S991" s="7"/>
      <c r="T991" s="7"/>
      <c r="U991" s="7"/>
      <c r="V991" s="7"/>
      <c r="W991" s="7"/>
      <c r="X991" s="7"/>
      <c r="Y991" s="7"/>
      <c r="Z991" s="7"/>
    </row>
    <row r="992" spans="1:26" ht="15.75" customHeight="1" x14ac:dyDescent="0.25">
      <c r="A992" s="537"/>
      <c r="B992" s="537"/>
      <c r="C992" s="537"/>
      <c r="D992" s="537"/>
      <c r="E992" s="395"/>
      <c r="F992" s="395"/>
      <c r="G992" s="395"/>
      <c r="H992" s="7"/>
      <c r="I992" s="7"/>
      <c r="J992" s="7"/>
      <c r="K992" s="7"/>
      <c r="L992" s="7"/>
      <c r="M992" s="7"/>
      <c r="N992" s="7"/>
      <c r="O992" s="7"/>
      <c r="P992" s="7"/>
      <c r="Q992" s="7"/>
      <c r="R992" s="7"/>
      <c r="S992" s="7"/>
      <c r="T992" s="7"/>
      <c r="U992" s="7"/>
      <c r="V992" s="7"/>
      <c r="W992" s="7"/>
      <c r="X992" s="7"/>
      <c r="Y992" s="7"/>
      <c r="Z992" s="7"/>
    </row>
    <row r="993" spans="1:26" ht="15.75" customHeight="1" x14ac:dyDescent="0.25">
      <c r="A993" s="537"/>
      <c r="B993" s="537"/>
      <c r="C993" s="537"/>
      <c r="D993" s="537"/>
      <c r="E993" s="395"/>
      <c r="F993" s="395"/>
      <c r="G993" s="395"/>
      <c r="H993" s="7"/>
      <c r="I993" s="7"/>
      <c r="J993" s="7"/>
      <c r="K993" s="7"/>
      <c r="L993" s="7"/>
      <c r="M993" s="7"/>
      <c r="N993" s="7"/>
      <c r="O993" s="7"/>
      <c r="P993" s="7"/>
      <c r="Q993" s="7"/>
      <c r="R993" s="7"/>
      <c r="S993" s="7"/>
      <c r="T993" s="7"/>
      <c r="U993" s="7"/>
      <c r="V993" s="7"/>
      <c r="W993" s="7"/>
      <c r="X993" s="7"/>
      <c r="Y993" s="7"/>
      <c r="Z993" s="7"/>
    </row>
    <row r="994" spans="1:26" ht="15.75" customHeight="1" x14ac:dyDescent="0.25">
      <c r="A994" s="537"/>
      <c r="B994" s="537"/>
      <c r="C994" s="537"/>
      <c r="D994" s="537"/>
      <c r="E994" s="395"/>
      <c r="F994" s="395"/>
      <c r="G994" s="395"/>
      <c r="H994" s="7"/>
      <c r="I994" s="7"/>
      <c r="J994" s="7"/>
      <c r="K994" s="7"/>
      <c r="L994" s="7"/>
      <c r="M994" s="7"/>
      <c r="N994" s="7"/>
      <c r="O994" s="7"/>
      <c r="P994" s="7"/>
      <c r="Q994" s="7"/>
      <c r="R994" s="7"/>
      <c r="S994" s="7"/>
      <c r="T994" s="7"/>
      <c r="U994" s="7"/>
      <c r="V994" s="7"/>
      <c r="W994" s="7"/>
      <c r="X994" s="7"/>
      <c r="Y994" s="7"/>
      <c r="Z994" s="7"/>
    </row>
    <row r="995" spans="1:26" ht="15.75" customHeight="1" x14ac:dyDescent="0.25">
      <c r="A995" s="537"/>
      <c r="B995" s="537"/>
      <c r="C995" s="537"/>
      <c r="D995" s="537"/>
      <c r="E995" s="395"/>
      <c r="F995" s="395"/>
      <c r="G995" s="395"/>
      <c r="H995" s="7"/>
      <c r="I995" s="7"/>
      <c r="J995" s="7"/>
      <c r="K995" s="7"/>
      <c r="L995" s="7"/>
      <c r="M995" s="7"/>
      <c r="N995" s="7"/>
      <c r="O995" s="7"/>
      <c r="P995" s="7"/>
      <c r="Q995" s="7"/>
      <c r="R995" s="7"/>
      <c r="S995" s="7"/>
      <c r="T995" s="7"/>
      <c r="U995" s="7"/>
      <c r="V995" s="7"/>
      <c r="W995" s="7"/>
      <c r="X995" s="7"/>
      <c r="Y995" s="7"/>
      <c r="Z995" s="7"/>
    </row>
    <row r="996" spans="1:26" ht="15.75" customHeight="1" x14ac:dyDescent="0.25">
      <c r="A996" s="537"/>
      <c r="B996" s="537"/>
      <c r="C996" s="537"/>
      <c r="D996" s="537"/>
      <c r="E996" s="395"/>
      <c r="F996" s="395"/>
      <c r="G996" s="395"/>
      <c r="H996" s="7"/>
      <c r="I996" s="7"/>
      <c r="J996" s="7"/>
      <c r="K996" s="7"/>
      <c r="L996" s="7"/>
      <c r="M996" s="7"/>
      <c r="N996" s="7"/>
      <c r="O996" s="7"/>
      <c r="P996" s="7"/>
      <c r="Q996" s="7"/>
      <c r="R996" s="7"/>
      <c r="S996" s="7"/>
      <c r="T996" s="7"/>
      <c r="U996" s="7"/>
      <c r="V996" s="7"/>
      <c r="W996" s="7"/>
      <c r="X996" s="7"/>
      <c r="Y996" s="7"/>
      <c r="Z996" s="7"/>
    </row>
    <row r="997" spans="1:26" ht="15.75" customHeight="1" x14ac:dyDescent="0.25">
      <c r="A997" s="537"/>
      <c r="B997" s="537"/>
      <c r="C997" s="537"/>
      <c r="D997" s="537"/>
      <c r="E997" s="395"/>
      <c r="F997" s="395"/>
      <c r="G997" s="395"/>
      <c r="H997" s="7"/>
      <c r="I997" s="7"/>
      <c r="J997" s="7"/>
      <c r="K997" s="7"/>
      <c r="L997" s="7"/>
      <c r="M997" s="7"/>
      <c r="N997" s="7"/>
      <c r="O997" s="7"/>
      <c r="P997" s="7"/>
      <c r="Q997" s="7"/>
      <c r="R997" s="7"/>
      <c r="S997" s="7"/>
      <c r="T997" s="7"/>
      <c r="U997" s="7"/>
      <c r="V997" s="7"/>
      <c r="W997" s="7"/>
      <c r="X997" s="7"/>
      <c r="Y997" s="7"/>
      <c r="Z997" s="7"/>
    </row>
    <row r="998" spans="1:26" ht="15.75" customHeight="1" x14ac:dyDescent="0.25">
      <c r="A998" s="537"/>
      <c r="B998" s="537"/>
      <c r="C998" s="537"/>
      <c r="D998" s="537"/>
      <c r="E998" s="395"/>
      <c r="F998" s="395"/>
      <c r="G998" s="395"/>
      <c r="H998" s="7"/>
      <c r="I998" s="7"/>
      <c r="J998" s="7"/>
      <c r="K998" s="7"/>
      <c r="L998" s="7"/>
      <c r="M998" s="7"/>
      <c r="N998" s="7"/>
      <c r="O998" s="7"/>
      <c r="P998" s="7"/>
      <c r="Q998" s="7"/>
      <c r="R998" s="7"/>
      <c r="S998" s="7"/>
      <c r="T998" s="7"/>
      <c r="U998" s="7"/>
      <c r="V998" s="7"/>
      <c r="W998" s="7"/>
      <c r="X998" s="7"/>
      <c r="Y998" s="7"/>
      <c r="Z998" s="7"/>
    </row>
    <row r="999" spans="1:26" ht="15.75" customHeight="1" x14ac:dyDescent="0.25">
      <c r="A999" s="537"/>
      <c r="B999" s="537"/>
      <c r="C999" s="537"/>
      <c r="D999" s="537"/>
      <c r="E999" s="395"/>
      <c r="F999" s="395"/>
      <c r="G999" s="395"/>
      <c r="H999" s="7"/>
      <c r="I999" s="7"/>
      <c r="J999" s="7"/>
      <c r="K999" s="7"/>
      <c r="L999" s="7"/>
      <c r="M999" s="7"/>
      <c r="N999" s="7"/>
      <c r="O999" s="7"/>
      <c r="P999" s="7"/>
      <c r="Q999" s="7"/>
      <c r="R999" s="7"/>
      <c r="S999" s="7"/>
      <c r="T999" s="7"/>
      <c r="U999" s="7"/>
      <c r="V999" s="7"/>
      <c r="W999" s="7"/>
      <c r="X999" s="7"/>
      <c r="Y999" s="7"/>
      <c r="Z999" s="7"/>
    </row>
    <row r="1000" spans="1:26" ht="15.75" customHeight="1" x14ac:dyDescent="0.25">
      <c r="A1000" s="537"/>
      <c r="B1000" s="537"/>
      <c r="C1000" s="537"/>
      <c r="D1000" s="537"/>
      <c r="E1000" s="395"/>
      <c r="F1000" s="395"/>
      <c r="G1000" s="395"/>
      <c r="H1000" s="7"/>
      <c r="I1000" s="7"/>
      <c r="J1000" s="7"/>
      <c r="K1000" s="7"/>
      <c r="L1000" s="7"/>
      <c r="M1000" s="7"/>
      <c r="N1000" s="7"/>
      <c r="O1000" s="7"/>
      <c r="P1000" s="7"/>
      <c r="Q1000" s="7"/>
      <c r="R1000" s="7"/>
      <c r="S1000" s="7"/>
      <c r="T1000" s="7"/>
      <c r="U1000" s="7"/>
      <c r="V1000" s="7"/>
      <c r="W1000" s="7"/>
      <c r="X1000" s="7"/>
      <c r="Y1000" s="7"/>
      <c r="Z1000" s="7"/>
    </row>
  </sheetData>
  <mergeCells count="2">
    <mergeCell ref="A3:D3"/>
    <mergeCell ref="A23:D23"/>
  </mergeCells>
  <conditionalFormatting sqref="B5:B21">
    <cfRule type="containsText" dxfId="5" priority="1" stopIfTrue="1" operator="containsText" text="&gt;">
      <formula>NOT(ISERROR(SEARCH(("&gt;"),(B5))))</formula>
    </cfRule>
  </conditionalFormatting>
  <conditionalFormatting sqref="B32">
    <cfRule type="containsText" dxfId="4" priority="2" stopIfTrue="1" operator="containsText" text="&gt;">
      <formula>NOT(ISERROR(SEARCH(("&gt;"),(B32))))</formula>
    </cfRule>
  </conditionalFormatting>
  <pageMargins left="0.7" right="0.7" top="0.75" bottom="0.75" header="0" footer="0"/>
  <pageSetup paperSize="9" scale="23"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1640625" defaultRowHeight="15" customHeight="1" x14ac:dyDescent="0.2"/>
  <cols>
    <col min="1" max="1" width="28.1640625" customWidth="1"/>
    <col min="2" max="2" width="10.5" customWidth="1"/>
    <col min="3" max="3" width="19.5" customWidth="1"/>
    <col min="4" max="4" width="28" customWidth="1"/>
    <col min="5" max="5" width="30.5" customWidth="1"/>
    <col min="6" max="6" width="29.1640625" customWidth="1"/>
    <col min="7" max="7" width="92.1640625" customWidth="1"/>
    <col min="8" max="8" width="21.5" customWidth="1"/>
    <col min="9" max="9" width="39.1640625" customWidth="1"/>
    <col min="10" max="10" width="6.1640625" customWidth="1"/>
    <col min="11" max="11" width="15.83203125" customWidth="1"/>
    <col min="12" max="12" width="15.1640625" customWidth="1"/>
    <col min="13" max="13" width="17.6640625" customWidth="1"/>
    <col min="14" max="14" width="19.33203125" customWidth="1"/>
    <col min="15" max="15" width="10.5" customWidth="1"/>
    <col min="16" max="16" width="2.33203125" customWidth="1"/>
    <col min="17" max="26" width="11.1640625" customWidth="1"/>
  </cols>
  <sheetData>
    <row r="1" spans="1:26" ht="15.75" customHeight="1" x14ac:dyDescent="0.25">
      <c r="A1" s="298" t="s">
        <v>254</v>
      </c>
      <c r="B1" s="299"/>
      <c r="C1" s="300"/>
      <c r="D1" s="301"/>
      <c r="E1" s="301"/>
      <c r="F1" s="301"/>
      <c r="G1" s="302"/>
      <c r="H1" s="300"/>
      <c r="I1" s="299"/>
      <c r="J1" s="300"/>
      <c r="K1" s="598" t="s">
        <v>255</v>
      </c>
      <c r="L1" s="576"/>
      <c r="M1" s="576"/>
      <c r="N1" s="576"/>
      <c r="O1" s="575"/>
      <c r="P1" s="299"/>
    </row>
    <row r="2" spans="1:26" ht="15.75" customHeight="1" x14ac:dyDescent="0.2">
      <c r="C2" s="303"/>
      <c r="D2" s="304"/>
      <c r="E2" s="304"/>
      <c r="F2" s="304"/>
      <c r="G2" s="305"/>
      <c r="H2" s="303"/>
      <c r="I2" s="303"/>
      <c r="J2" s="300"/>
      <c r="K2" s="306" t="s">
        <v>256</v>
      </c>
      <c r="L2" s="306" t="s">
        <v>257</v>
      </c>
      <c r="M2" s="306" t="s">
        <v>258</v>
      </c>
      <c r="N2" s="306" t="s">
        <v>259</v>
      </c>
      <c r="O2" s="306" t="s">
        <v>260</v>
      </c>
      <c r="P2" s="299"/>
    </row>
    <row r="3" spans="1:26" ht="21" customHeight="1" x14ac:dyDescent="0.25">
      <c r="A3" s="29" t="s">
        <v>261</v>
      </c>
      <c r="B3" s="29" t="s">
        <v>262</v>
      </c>
      <c r="C3" s="29" t="s">
        <v>263</v>
      </c>
      <c r="D3" s="29" t="s">
        <v>16</v>
      </c>
      <c r="E3" s="29" t="s">
        <v>264</v>
      </c>
      <c r="F3" s="29" t="s">
        <v>265</v>
      </c>
      <c r="G3" s="307" t="s">
        <v>266</v>
      </c>
      <c r="H3" s="29" t="s">
        <v>267</v>
      </c>
      <c r="I3" s="29" t="s">
        <v>268</v>
      </c>
      <c r="J3" s="308"/>
      <c r="K3" s="309"/>
      <c r="L3" s="309"/>
      <c r="M3" s="309"/>
      <c r="N3" s="309"/>
      <c r="O3" s="309"/>
      <c r="P3" s="310"/>
      <c r="Q3" s="309"/>
      <c r="R3" s="309"/>
      <c r="S3" s="309"/>
      <c r="T3" s="309"/>
      <c r="U3" s="309"/>
      <c r="V3" s="309"/>
      <c r="W3" s="309"/>
      <c r="X3" s="309"/>
      <c r="Y3" s="309"/>
      <c r="Z3" s="309"/>
    </row>
    <row r="4" spans="1:26" ht="135.75" customHeight="1" x14ac:dyDescent="0.2">
      <c r="A4" s="311" t="s">
        <v>51</v>
      </c>
      <c r="B4" s="312">
        <v>1.0416666666666666E-2</v>
      </c>
      <c r="C4" s="303" t="s">
        <v>65</v>
      </c>
      <c r="D4" s="304" t="s">
        <v>269</v>
      </c>
      <c r="E4" s="304" t="s">
        <v>270</v>
      </c>
      <c r="F4" s="304" t="s">
        <v>270</v>
      </c>
      <c r="G4" s="313" t="s">
        <v>271</v>
      </c>
      <c r="H4" s="303">
        <v>1</v>
      </c>
      <c r="I4" s="304" t="s">
        <v>272</v>
      </c>
      <c r="K4" s="314">
        <v>1</v>
      </c>
    </row>
    <row r="5" spans="1:26" ht="42.75" customHeight="1" x14ac:dyDescent="0.2">
      <c r="A5" s="313" t="s">
        <v>273</v>
      </c>
      <c r="B5" s="312">
        <v>4.1666666666666664E-2</v>
      </c>
      <c r="C5" s="303" t="s">
        <v>65</v>
      </c>
      <c r="D5" s="304" t="s">
        <v>207</v>
      </c>
      <c r="E5" s="304" t="s">
        <v>270</v>
      </c>
      <c r="F5" s="304" t="s">
        <v>270</v>
      </c>
      <c r="G5" s="313"/>
      <c r="H5" s="303"/>
      <c r="I5" s="304"/>
      <c r="K5" s="314"/>
    </row>
    <row r="6" spans="1:26" ht="25.5" customHeight="1" x14ac:dyDescent="0.2">
      <c r="A6" s="311" t="s">
        <v>149</v>
      </c>
      <c r="B6" s="312">
        <v>2.0833333333333332E-2</v>
      </c>
      <c r="C6" s="303" t="s">
        <v>86</v>
      </c>
      <c r="D6" s="304" t="s">
        <v>149</v>
      </c>
      <c r="E6" s="304" t="s">
        <v>270</v>
      </c>
      <c r="F6" s="304" t="s">
        <v>270</v>
      </c>
      <c r="G6" s="313"/>
      <c r="H6" s="303">
        <v>1</v>
      </c>
      <c r="I6" s="304" t="s">
        <v>272</v>
      </c>
      <c r="K6" s="314">
        <v>1</v>
      </c>
    </row>
    <row r="7" spans="1:26" ht="46.5" customHeight="1" x14ac:dyDescent="0.2">
      <c r="A7" s="311" t="s">
        <v>46</v>
      </c>
      <c r="B7" s="312">
        <v>1.0416666666666666E-2</v>
      </c>
      <c r="C7" s="303" t="s">
        <v>65</v>
      </c>
      <c r="D7" s="304" t="s">
        <v>274</v>
      </c>
      <c r="E7" s="304" t="s">
        <v>48</v>
      </c>
      <c r="F7" s="304" t="s">
        <v>48</v>
      </c>
      <c r="G7" s="313"/>
      <c r="H7" s="303">
        <v>2</v>
      </c>
      <c r="K7" s="314">
        <v>1</v>
      </c>
      <c r="M7" s="314">
        <v>1</v>
      </c>
    </row>
    <row r="8" spans="1:26" ht="46.5" customHeight="1" x14ac:dyDescent="0.2">
      <c r="A8" s="315" t="s">
        <v>83</v>
      </c>
      <c r="B8" s="312">
        <v>2.0833333333333332E-2</v>
      </c>
      <c r="C8" s="303" t="s">
        <v>86</v>
      </c>
      <c r="D8" s="304" t="s">
        <v>83</v>
      </c>
      <c r="E8" s="304" t="s">
        <v>48</v>
      </c>
      <c r="F8" s="304" t="s">
        <v>48</v>
      </c>
      <c r="G8" s="313"/>
      <c r="H8" s="303"/>
      <c r="L8" s="314"/>
      <c r="N8" s="314"/>
    </row>
    <row r="9" spans="1:26" ht="46.5" customHeight="1" x14ac:dyDescent="0.2">
      <c r="A9" s="315" t="s">
        <v>275</v>
      </c>
      <c r="B9" s="312">
        <v>2.0833333333333332E-2</v>
      </c>
      <c r="C9" s="303" t="s">
        <v>86</v>
      </c>
      <c r="D9" s="304" t="s">
        <v>276</v>
      </c>
      <c r="E9" s="304" t="s">
        <v>277</v>
      </c>
      <c r="F9" s="304" t="s">
        <v>277</v>
      </c>
      <c r="G9" s="313"/>
      <c r="H9" s="303">
        <v>2</v>
      </c>
      <c r="L9" s="314">
        <v>1</v>
      </c>
      <c r="N9" s="314">
        <v>1</v>
      </c>
    </row>
    <row r="10" spans="1:26" ht="46.5" customHeight="1" x14ac:dyDescent="0.2">
      <c r="A10" s="315" t="s">
        <v>278</v>
      </c>
      <c r="B10" s="312">
        <v>1.0416666666666666E-2</v>
      </c>
      <c r="C10" s="303" t="s">
        <v>65</v>
      </c>
      <c r="D10" s="304" t="s">
        <v>279</v>
      </c>
      <c r="E10" s="304" t="s">
        <v>280</v>
      </c>
      <c r="F10" s="304" t="s">
        <v>280</v>
      </c>
      <c r="G10" s="313"/>
      <c r="H10" s="303">
        <v>2</v>
      </c>
      <c r="L10" s="314">
        <v>1</v>
      </c>
      <c r="N10" s="314">
        <v>1</v>
      </c>
    </row>
    <row r="11" spans="1:26" ht="46.5" customHeight="1" x14ac:dyDescent="0.2">
      <c r="A11" s="315" t="s">
        <v>281</v>
      </c>
      <c r="B11" s="312">
        <v>2.0833333333333332E-2</v>
      </c>
      <c r="C11" s="303" t="s">
        <v>220</v>
      </c>
      <c r="D11" s="304" t="s">
        <v>282</v>
      </c>
      <c r="E11" s="304" t="s">
        <v>280</v>
      </c>
      <c r="F11" s="304" t="s">
        <v>280</v>
      </c>
      <c r="G11" s="313"/>
      <c r="H11" s="303">
        <v>2</v>
      </c>
      <c r="K11" s="314">
        <v>1</v>
      </c>
      <c r="M11" s="314">
        <v>1</v>
      </c>
    </row>
    <row r="12" spans="1:26" ht="46.5" customHeight="1" x14ac:dyDescent="0.2">
      <c r="A12" s="311" t="s">
        <v>69</v>
      </c>
      <c r="B12" s="312">
        <v>1.0416666666666666E-2</v>
      </c>
      <c r="C12" s="303" t="s">
        <v>65</v>
      </c>
      <c r="D12" s="304" t="s">
        <v>283</v>
      </c>
      <c r="E12" s="304" t="s">
        <v>284</v>
      </c>
      <c r="F12" s="304" t="s">
        <v>284</v>
      </c>
      <c r="G12" s="311" t="s">
        <v>285</v>
      </c>
      <c r="H12" s="303">
        <v>4</v>
      </c>
      <c r="K12" s="314">
        <v>1</v>
      </c>
      <c r="L12" s="314">
        <v>1</v>
      </c>
      <c r="M12" s="314">
        <v>1</v>
      </c>
      <c r="N12" s="314">
        <v>1</v>
      </c>
    </row>
    <row r="13" spans="1:26" ht="46.5" customHeight="1" x14ac:dyDescent="0.2">
      <c r="A13" s="311" t="s">
        <v>87</v>
      </c>
      <c r="B13" s="312">
        <v>2.0833333333333332E-2</v>
      </c>
      <c r="C13" s="303" t="s">
        <v>86</v>
      </c>
      <c r="D13" s="304" t="s">
        <v>286</v>
      </c>
      <c r="E13" s="304" t="s">
        <v>284</v>
      </c>
      <c r="F13" s="304" t="s">
        <v>284</v>
      </c>
      <c r="G13" s="311"/>
      <c r="H13" s="303">
        <v>4</v>
      </c>
      <c r="K13" s="314">
        <v>1</v>
      </c>
      <c r="L13" s="314">
        <v>1</v>
      </c>
      <c r="M13" s="314">
        <v>1</v>
      </c>
      <c r="N13" s="314">
        <v>1</v>
      </c>
    </row>
    <row r="14" spans="1:26" ht="46.5" customHeight="1" x14ac:dyDescent="0.2">
      <c r="A14" s="311" t="s">
        <v>287</v>
      </c>
      <c r="B14" s="312">
        <v>1.0416666666666666E-2</v>
      </c>
      <c r="C14" s="303" t="s">
        <v>65</v>
      </c>
      <c r="D14" s="304" t="s">
        <v>288</v>
      </c>
      <c r="E14" s="304" t="s">
        <v>289</v>
      </c>
      <c r="F14" s="304" t="s">
        <v>289</v>
      </c>
      <c r="G14" s="316"/>
      <c r="H14" s="303">
        <v>4</v>
      </c>
      <c r="K14" s="314">
        <v>1</v>
      </c>
      <c r="L14" s="314">
        <v>1</v>
      </c>
      <c r="M14" s="314">
        <v>1</v>
      </c>
      <c r="N14" s="314">
        <v>1</v>
      </c>
    </row>
    <row r="15" spans="1:26" ht="46.5" customHeight="1" x14ac:dyDescent="0.2">
      <c r="A15" s="311" t="s">
        <v>88</v>
      </c>
      <c r="B15" s="312">
        <v>2.0833333333333332E-2</v>
      </c>
      <c r="C15" s="303" t="s">
        <v>86</v>
      </c>
      <c r="D15" s="304" t="s">
        <v>88</v>
      </c>
      <c r="E15" s="304" t="s">
        <v>289</v>
      </c>
      <c r="F15" s="304" t="s">
        <v>289</v>
      </c>
      <c r="G15" s="317"/>
      <c r="H15" s="303">
        <v>4</v>
      </c>
      <c r="K15" s="314">
        <v>1</v>
      </c>
      <c r="L15" s="314">
        <v>1</v>
      </c>
      <c r="M15" s="314">
        <v>1</v>
      </c>
      <c r="N15" s="314">
        <v>1</v>
      </c>
    </row>
    <row r="16" spans="1:26" ht="52.5" customHeight="1" x14ac:dyDescent="0.2">
      <c r="A16" s="311" t="s">
        <v>71</v>
      </c>
      <c r="B16" s="312">
        <v>1.0416666666666666E-2</v>
      </c>
      <c r="C16" s="303" t="s">
        <v>290</v>
      </c>
      <c r="D16" s="304" t="s">
        <v>71</v>
      </c>
      <c r="E16" s="304" t="s">
        <v>92</v>
      </c>
      <c r="F16" s="304" t="s">
        <v>92</v>
      </c>
      <c r="G16" s="313" t="s">
        <v>291</v>
      </c>
      <c r="H16" s="303">
        <v>1</v>
      </c>
      <c r="K16" s="314">
        <v>1</v>
      </c>
    </row>
    <row r="17" spans="1:16" ht="46.5" customHeight="1" x14ac:dyDescent="0.2">
      <c r="A17" s="311" t="s">
        <v>91</v>
      </c>
      <c r="B17" s="312">
        <v>2.0833333333333332E-2</v>
      </c>
      <c r="C17" s="303" t="s">
        <v>86</v>
      </c>
      <c r="D17" s="304" t="s">
        <v>91</v>
      </c>
      <c r="E17" s="304" t="s">
        <v>92</v>
      </c>
      <c r="F17" s="304" t="s">
        <v>92</v>
      </c>
      <c r="G17" s="313"/>
      <c r="H17" s="303">
        <v>1</v>
      </c>
      <c r="M17" s="314">
        <v>1</v>
      </c>
    </row>
    <row r="18" spans="1:16" ht="46.5" customHeight="1" x14ac:dyDescent="0.2">
      <c r="A18" s="318" t="s">
        <v>292</v>
      </c>
      <c r="B18" s="312">
        <v>2.0833333333333332E-2</v>
      </c>
      <c r="C18" s="303" t="s">
        <v>65</v>
      </c>
      <c r="D18" s="304" t="s">
        <v>293</v>
      </c>
      <c r="E18" s="304" t="s">
        <v>294</v>
      </c>
      <c r="F18" s="304" t="s">
        <v>294</v>
      </c>
      <c r="G18" s="317"/>
      <c r="H18" s="303">
        <v>1</v>
      </c>
      <c r="M18" s="314">
        <v>1</v>
      </c>
    </row>
    <row r="19" spans="1:16" ht="51.75" customHeight="1" x14ac:dyDescent="0.2">
      <c r="A19" s="318" t="s">
        <v>295</v>
      </c>
      <c r="B19" s="312">
        <v>2.0833333333333332E-2</v>
      </c>
      <c r="C19" s="303" t="s">
        <v>65</v>
      </c>
      <c r="D19" s="304" t="s">
        <v>296</v>
      </c>
      <c r="E19" s="304" t="s">
        <v>297</v>
      </c>
      <c r="F19" s="304" t="s">
        <v>297</v>
      </c>
      <c r="G19" s="313" t="s">
        <v>298</v>
      </c>
      <c r="H19" s="303">
        <v>2</v>
      </c>
      <c r="I19" s="304" t="s">
        <v>299</v>
      </c>
      <c r="K19" s="314">
        <v>1</v>
      </c>
      <c r="M19" s="314">
        <v>1</v>
      </c>
    </row>
    <row r="20" spans="1:16" ht="39" customHeight="1" x14ac:dyDescent="0.2">
      <c r="A20" s="311" t="s">
        <v>72</v>
      </c>
      <c r="B20" s="312">
        <v>1.0416666666666666E-2</v>
      </c>
      <c r="C20" s="303" t="s">
        <v>65</v>
      </c>
      <c r="D20" s="304"/>
      <c r="E20" s="304"/>
      <c r="F20" s="304"/>
      <c r="G20" s="313"/>
      <c r="H20" s="303">
        <v>2</v>
      </c>
      <c r="K20" s="314">
        <v>1</v>
      </c>
      <c r="M20" s="314">
        <v>1</v>
      </c>
    </row>
    <row r="21" spans="1:16" ht="42" customHeight="1" x14ac:dyDescent="0.2">
      <c r="A21" s="311" t="s">
        <v>99</v>
      </c>
      <c r="B21" s="312">
        <v>2.0833333333333332E-2</v>
      </c>
      <c r="C21" s="303" t="s">
        <v>86</v>
      </c>
      <c r="D21" s="304" t="s">
        <v>99</v>
      </c>
      <c r="E21" s="304"/>
      <c r="F21" s="304"/>
      <c r="G21" s="313"/>
      <c r="H21" s="303">
        <v>2</v>
      </c>
      <c r="K21" s="314">
        <v>1</v>
      </c>
      <c r="M21" s="314">
        <v>1</v>
      </c>
    </row>
    <row r="22" spans="1:16" ht="30" customHeight="1" x14ac:dyDescent="0.2">
      <c r="A22" s="311" t="s">
        <v>60</v>
      </c>
      <c r="B22" s="312">
        <v>1.0416666666666666E-2</v>
      </c>
      <c r="C22" s="303" t="s">
        <v>65</v>
      </c>
      <c r="D22" s="304"/>
      <c r="E22" s="304"/>
      <c r="F22" s="304"/>
      <c r="G22" s="313"/>
      <c r="H22" s="303">
        <v>2</v>
      </c>
      <c r="I22" s="311"/>
      <c r="J22" s="311"/>
      <c r="K22" s="311"/>
      <c r="L22" s="311">
        <v>1</v>
      </c>
      <c r="M22" s="311">
        <v>1</v>
      </c>
      <c r="N22" s="311"/>
      <c r="O22" s="311"/>
      <c r="P22" s="311"/>
    </row>
    <row r="23" spans="1:16" ht="33.75" customHeight="1" x14ac:dyDescent="0.2">
      <c r="A23" s="311" t="s">
        <v>98</v>
      </c>
      <c r="B23" s="312">
        <v>2.0833333333333332E-2</v>
      </c>
      <c r="C23" s="303" t="s">
        <v>86</v>
      </c>
      <c r="D23" s="304" t="s">
        <v>98</v>
      </c>
      <c r="E23" s="304"/>
      <c r="F23" s="304"/>
      <c r="G23" s="313"/>
      <c r="H23" s="303">
        <v>2</v>
      </c>
      <c r="I23" s="311"/>
      <c r="J23" s="311"/>
      <c r="K23" s="311"/>
      <c r="L23" s="311">
        <v>1</v>
      </c>
      <c r="M23" s="311">
        <v>1</v>
      </c>
      <c r="N23" s="311"/>
      <c r="O23" s="311"/>
      <c r="P23" s="311"/>
    </row>
    <row r="24" spans="1:16" ht="31.5" customHeight="1" x14ac:dyDescent="0.2">
      <c r="A24" s="311" t="s">
        <v>300</v>
      </c>
      <c r="B24" s="312">
        <v>1.0416666666666666E-2</v>
      </c>
      <c r="C24" s="303" t="s">
        <v>65</v>
      </c>
      <c r="D24" s="304"/>
      <c r="E24" s="304"/>
      <c r="F24" s="304"/>
      <c r="G24" s="313"/>
      <c r="H24" s="303">
        <v>4</v>
      </c>
      <c r="I24" s="311"/>
      <c r="J24" s="311"/>
      <c r="K24" s="311">
        <v>1</v>
      </c>
      <c r="L24" s="311">
        <v>1</v>
      </c>
      <c r="M24" s="311">
        <v>1</v>
      </c>
      <c r="N24" s="311">
        <v>1</v>
      </c>
      <c r="O24" s="311"/>
      <c r="P24" s="311"/>
    </row>
    <row r="25" spans="1:16" ht="37.5" customHeight="1" x14ac:dyDescent="0.2">
      <c r="A25" s="311" t="s">
        <v>301</v>
      </c>
      <c r="B25" s="312">
        <v>2.0833333333333332E-2</v>
      </c>
      <c r="C25" s="303" t="s">
        <v>86</v>
      </c>
      <c r="D25" s="304" t="s">
        <v>302</v>
      </c>
      <c r="E25" s="304"/>
      <c r="F25" s="304"/>
      <c r="G25" s="313"/>
      <c r="H25" s="303">
        <v>4</v>
      </c>
      <c r="I25" s="311"/>
      <c r="J25" s="311"/>
      <c r="K25" s="311">
        <v>1</v>
      </c>
      <c r="L25" s="311">
        <v>1</v>
      </c>
      <c r="M25" s="311">
        <v>1</v>
      </c>
      <c r="N25" s="311">
        <v>1</v>
      </c>
      <c r="O25" s="311"/>
      <c r="P25" s="311"/>
    </row>
    <row r="26" spans="1:16" ht="25.5" customHeight="1" x14ac:dyDescent="0.2">
      <c r="A26" s="315" t="s">
        <v>303</v>
      </c>
      <c r="B26" s="312">
        <v>1.0416666666666666E-2</v>
      </c>
      <c r="C26" s="303" t="s">
        <v>65</v>
      </c>
      <c r="D26" s="304"/>
      <c r="E26" s="304"/>
      <c r="F26" s="304"/>
      <c r="G26" s="317"/>
      <c r="H26" s="303">
        <v>1</v>
      </c>
      <c r="K26" s="311">
        <v>1</v>
      </c>
    </row>
    <row r="27" spans="1:16" ht="27.75" customHeight="1" x14ac:dyDescent="0.2">
      <c r="A27" s="315" t="s">
        <v>304</v>
      </c>
      <c r="B27" s="312">
        <v>2.0833333333333332E-2</v>
      </c>
      <c r="C27" s="303" t="s">
        <v>86</v>
      </c>
      <c r="D27" s="304"/>
      <c r="E27" s="304"/>
      <c r="F27" s="304"/>
      <c r="G27" s="317"/>
      <c r="H27" s="303">
        <v>1</v>
      </c>
      <c r="L27" s="314">
        <v>1</v>
      </c>
    </row>
    <row r="28" spans="1:16" ht="24" customHeight="1" x14ac:dyDescent="0.2">
      <c r="A28" s="319" t="s">
        <v>64</v>
      </c>
      <c r="B28" s="312">
        <v>1.0416666666666666E-2</v>
      </c>
      <c r="C28" s="303" t="s">
        <v>65</v>
      </c>
      <c r="D28" s="304"/>
      <c r="E28" s="304"/>
      <c r="F28" s="304"/>
      <c r="G28" s="317"/>
      <c r="H28" s="303"/>
    </row>
    <row r="29" spans="1:16" ht="24" customHeight="1" x14ac:dyDescent="0.2">
      <c r="A29" s="319" t="s">
        <v>85</v>
      </c>
      <c r="B29" s="312">
        <v>2.0833333333333332E-2</v>
      </c>
      <c r="C29" s="303" t="s">
        <v>86</v>
      </c>
      <c r="D29" s="304"/>
      <c r="E29" s="304"/>
      <c r="F29" s="304"/>
      <c r="G29" s="317"/>
      <c r="H29" s="303"/>
    </row>
    <row r="30" spans="1:16" ht="30" customHeight="1" x14ac:dyDescent="0.2">
      <c r="A30" s="311" t="s">
        <v>102</v>
      </c>
      <c r="B30" s="312">
        <v>2.0833333333333332E-2</v>
      </c>
      <c r="C30" s="303" t="s">
        <v>86</v>
      </c>
      <c r="D30" s="304"/>
      <c r="E30" s="304"/>
      <c r="F30" s="304"/>
      <c r="G30" s="317"/>
      <c r="H30" s="303"/>
    </row>
    <row r="31" spans="1:16" ht="28.5" customHeight="1" x14ac:dyDescent="0.2">
      <c r="A31" s="311" t="s">
        <v>150</v>
      </c>
      <c r="B31" s="312">
        <v>2.0833333333333332E-2</v>
      </c>
      <c r="C31" s="303" t="s">
        <v>86</v>
      </c>
      <c r="D31" s="304"/>
      <c r="E31" s="304"/>
      <c r="F31" s="304"/>
      <c r="G31" s="317"/>
      <c r="H31" s="303"/>
    </row>
    <row r="32" spans="1:16" ht="21.75" customHeight="1" x14ac:dyDescent="0.2">
      <c r="A32" s="311" t="s">
        <v>74</v>
      </c>
      <c r="B32" s="312">
        <v>1.0416666666666666E-2</v>
      </c>
      <c r="C32" s="303" t="s">
        <v>65</v>
      </c>
      <c r="D32" s="304"/>
      <c r="E32" s="304"/>
      <c r="F32" s="304"/>
      <c r="G32" s="317"/>
      <c r="H32" s="303"/>
    </row>
    <row r="33" spans="1:8" ht="21.75" customHeight="1" x14ac:dyDescent="0.2">
      <c r="A33" s="311" t="s">
        <v>93</v>
      </c>
      <c r="B33" s="312">
        <v>2.0833333333333332E-2</v>
      </c>
      <c r="C33" s="303" t="s">
        <v>35</v>
      </c>
      <c r="D33" s="304"/>
      <c r="E33" s="304"/>
      <c r="F33" s="304"/>
      <c r="G33" s="317"/>
      <c r="H33" s="303"/>
    </row>
    <row r="34" spans="1:8" ht="15.75" customHeight="1" x14ac:dyDescent="0.2">
      <c r="A34" s="311" t="s">
        <v>89</v>
      </c>
      <c r="B34" s="312">
        <v>2.0833333333333332E-2</v>
      </c>
      <c r="C34" s="303" t="s">
        <v>86</v>
      </c>
      <c r="D34" s="304"/>
      <c r="E34" s="304"/>
      <c r="F34" s="304"/>
      <c r="G34" s="317"/>
      <c r="H34" s="303"/>
    </row>
    <row r="35" spans="1:8" ht="15.75" customHeight="1" x14ac:dyDescent="0.2">
      <c r="A35" s="314" t="s">
        <v>54</v>
      </c>
      <c r="B35" s="320">
        <v>1.0416666666666666E-2</v>
      </c>
      <c r="C35" s="303" t="s">
        <v>65</v>
      </c>
      <c r="D35" s="304"/>
      <c r="E35" s="304"/>
      <c r="F35" s="304"/>
      <c r="G35" s="317"/>
      <c r="H35" s="303"/>
    </row>
    <row r="36" spans="1:8" ht="15.75" customHeight="1" x14ac:dyDescent="0.2">
      <c r="A36" s="314" t="s">
        <v>57</v>
      </c>
      <c r="B36" s="320">
        <v>1.0416666666666666E-2</v>
      </c>
      <c r="C36" s="303" t="s">
        <v>65</v>
      </c>
      <c r="D36" s="304"/>
      <c r="E36" s="304"/>
      <c r="F36" s="304"/>
      <c r="G36" s="317"/>
      <c r="H36" s="303"/>
    </row>
    <row r="37" spans="1:8" ht="15.75" customHeight="1" x14ac:dyDescent="0.2">
      <c r="C37" s="303"/>
      <c r="D37" s="304"/>
      <c r="E37" s="304"/>
      <c r="F37" s="304"/>
      <c r="G37" s="317"/>
      <c r="H37" s="303"/>
    </row>
    <row r="38" spans="1:8" ht="15.75" customHeight="1" x14ac:dyDescent="0.2">
      <c r="C38" s="303"/>
      <c r="D38" s="304"/>
      <c r="E38" s="304"/>
      <c r="F38" s="304"/>
      <c r="G38" s="317"/>
      <c r="H38" s="303"/>
    </row>
    <row r="39" spans="1:8" ht="15.75" customHeight="1" x14ac:dyDescent="0.2">
      <c r="C39" s="303"/>
      <c r="D39" s="304"/>
      <c r="E39" s="304"/>
      <c r="F39" s="304"/>
      <c r="G39" s="317"/>
      <c r="H39" s="303"/>
    </row>
    <row r="40" spans="1:8" ht="15.75" customHeight="1" x14ac:dyDescent="0.2">
      <c r="C40" s="303"/>
      <c r="D40" s="304"/>
      <c r="E40" s="304"/>
      <c r="F40" s="304"/>
      <c r="G40" s="317"/>
      <c r="H40" s="303"/>
    </row>
    <row r="41" spans="1:8" ht="15.75" customHeight="1" x14ac:dyDescent="0.2">
      <c r="C41" s="303"/>
      <c r="D41" s="304"/>
      <c r="E41" s="304"/>
      <c r="F41" s="304"/>
      <c r="G41" s="317"/>
      <c r="H41" s="303"/>
    </row>
    <row r="42" spans="1:8" ht="15.75" customHeight="1" x14ac:dyDescent="0.2">
      <c r="C42" s="303"/>
      <c r="D42" s="304"/>
      <c r="E42" s="304"/>
      <c r="F42" s="304"/>
      <c r="G42" s="317"/>
      <c r="H42" s="303"/>
    </row>
    <row r="43" spans="1:8" ht="15.75" customHeight="1" x14ac:dyDescent="0.2">
      <c r="C43" s="303"/>
      <c r="D43" s="304"/>
      <c r="E43" s="304"/>
      <c r="F43" s="304"/>
      <c r="G43" s="317"/>
      <c r="H43" s="303"/>
    </row>
    <row r="44" spans="1:8" ht="15.75" customHeight="1" x14ac:dyDescent="0.2">
      <c r="C44" s="303"/>
      <c r="D44" s="304"/>
      <c r="E44" s="304"/>
      <c r="F44" s="304"/>
      <c r="G44" s="317"/>
      <c r="H44" s="303"/>
    </row>
    <row r="45" spans="1:8" ht="15.75" customHeight="1" x14ac:dyDescent="0.2">
      <c r="C45" s="303"/>
      <c r="D45" s="304"/>
      <c r="E45" s="304"/>
      <c r="F45" s="304"/>
      <c r="G45" s="317"/>
      <c r="H45" s="303"/>
    </row>
    <row r="46" spans="1:8" ht="15.75" customHeight="1" x14ac:dyDescent="0.2">
      <c r="C46" s="303"/>
      <c r="D46" s="304"/>
      <c r="E46" s="304"/>
      <c r="F46" s="304"/>
      <c r="G46" s="317"/>
      <c r="H46" s="303"/>
    </row>
    <row r="47" spans="1:8" ht="15.75" customHeight="1" x14ac:dyDescent="0.2">
      <c r="C47" s="303"/>
      <c r="D47" s="304"/>
      <c r="E47" s="304"/>
      <c r="F47" s="304"/>
      <c r="G47" s="317"/>
      <c r="H47" s="303"/>
    </row>
    <row r="48" spans="1:8" ht="15.75" customHeight="1" x14ac:dyDescent="0.2">
      <c r="C48" s="303"/>
      <c r="D48" s="304"/>
      <c r="E48" s="304"/>
      <c r="F48" s="304"/>
      <c r="G48" s="317"/>
      <c r="H48" s="303"/>
    </row>
    <row r="49" spans="3:8" ht="15.75" customHeight="1" x14ac:dyDescent="0.2">
      <c r="C49" s="303"/>
      <c r="D49" s="304"/>
      <c r="E49" s="304"/>
      <c r="F49" s="304"/>
      <c r="G49" s="317"/>
      <c r="H49" s="303"/>
    </row>
    <row r="50" spans="3:8" ht="15.75" customHeight="1" x14ac:dyDescent="0.2">
      <c r="C50" s="303"/>
      <c r="D50" s="304"/>
      <c r="E50" s="304"/>
      <c r="F50" s="304"/>
      <c r="G50" s="317"/>
      <c r="H50" s="303"/>
    </row>
    <row r="51" spans="3:8" ht="15.75" customHeight="1" x14ac:dyDescent="0.2">
      <c r="C51" s="303"/>
      <c r="D51" s="304"/>
      <c r="E51" s="304"/>
      <c r="F51" s="304"/>
      <c r="G51" s="317"/>
      <c r="H51" s="303"/>
    </row>
    <row r="52" spans="3:8" ht="15.75" customHeight="1" x14ac:dyDescent="0.2">
      <c r="C52" s="303"/>
      <c r="D52" s="304"/>
      <c r="E52" s="304"/>
      <c r="F52" s="304"/>
      <c r="G52" s="317"/>
      <c r="H52" s="303"/>
    </row>
    <row r="53" spans="3:8" ht="15.75" customHeight="1" x14ac:dyDescent="0.2">
      <c r="C53" s="303"/>
      <c r="D53" s="304"/>
      <c r="E53" s="304"/>
      <c r="F53" s="304"/>
      <c r="G53" s="317"/>
      <c r="H53" s="303"/>
    </row>
    <row r="54" spans="3:8" ht="15.75" customHeight="1" x14ac:dyDescent="0.2">
      <c r="C54" s="303"/>
      <c r="D54" s="304"/>
      <c r="E54" s="304"/>
      <c r="F54" s="304"/>
      <c r="G54" s="317"/>
      <c r="H54" s="303"/>
    </row>
    <row r="55" spans="3:8" ht="15.75" customHeight="1" x14ac:dyDescent="0.2">
      <c r="C55" s="303"/>
      <c r="D55" s="304"/>
      <c r="E55" s="304"/>
      <c r="F55" s="304"/>
      <c r="G55" s="317"/>
      <c r="H55" s="303"/>
    </row>
    <row r="56" spans="3:8" ht="15.75" customHeight="1" x14ac:dyDescent="0.2">
      <c r="C56" s="303"/>
      <c r="D56" s="304"/>
      <c r="E56" s="304"/>
      <c r="F56" s="304"/>
      <c r="G56" s="317"/>
      <c r="H56" s="303"/>
    </row>
    <row r="57" spans="3:8" ht="15.75" customHeight="1" x14ac:dyDescent="0.2">
      <c r="C57" s="303"/>
      <c r="D57" s="304"/>
      <c r="E57" s="304"/>
      <c r="F57" s="304"/>
      <c r="G57" s="317"/>
      <c r="H57" s="303"/>
    </row>
    <row r="58" spans="3:8" ht="15.75" customHeight="1" x14ac:dyDescent="0.2">
      <c r="C58" s="303"/>
      <c r="D58" s="304"/>
      <c r="E58" s="304"/>
      <c r="F58" s="304"/>
      <c r="G58" s="317"/>
      <c r="H58" s="303"/>
    </row>
    <row r="59" spans="3:8" ht="15.75" customHeight="1" x14ac:dyDescent="0.2">
      <c r="C59" s="303"/>
      <c r="D59" s="304"/>
      <c r="E59" s="304"/>
      <c r="F59" s="304"/>
      <c r="G59" s="317"/>
      <c r="H59" s="303"/>
    </row>
    <row r="60" spans="3:8" ht="15.75" customHeight="1" x14ac:dyDescent="0.2">
      <c r="C60" s="303"/>
      <c r="D60" s="304"/>
      <c r="E60" s="304"/>
      <c r="F60" s="304"/>
      <c r="G60" s="317"/>
      <c r="H60" s="303"/>
    </row>
    <row r="61" spans="3:8" ht="15.75" customHeight="1" x14ac:dyDescent="0.2">
      <c r="C61" s="303"/>
      <c r="D61" s="304"/>
      <c r="E61" s="304"/>
      <c r="F61" s="304"/>
      <c r="G61" s="317"/>
      <c r="H61" s="303"/>
    </row>
    <row r="62" spans="3:8" ht="15.75" customHeight="1" x14ac:dyDescent="0.2">
      <c r="C62" s="303"/>
      <c r="D62" s="304"/>
      <c r="E62" s="304"/>
      <c r="F62" s="304"/>
      <c r="G62" s="317"/>
      <c r="H62" s="303"/>
    </row>
    <row r="63" spans="3:8" ht="15.75" customHeight="1" x14ac:dyDescent="0.2">
      <c r="C63" s="303"/>
      <c r="D63" s="304"/>
      <c r="E63" s="304"/>
      <c r="F63" s="304"/>
      <c r="G63" s="317"/>
      <c r="H63" s="303"/>
    </row>
    <row r="64" spans="3:8" ht="15.75" customHeight="1" x14ac:dyDescent="0.2">
      <c r="C64" s="303"/>
      <c r="D64" s="304"/>
      <c r="E64" s="304"/>
      <c r="F64" s="304"/>
      <c r="G64" s="317"/>
      <c r="H64" s="303"/>
    </row>
    <row r="65" spans="3:8" ht="15.75" customHeight="1" x14ac:dyDescent="0.2">
      <c r="C65" s="303"/>
      <c r="D65" s="304"/>
      <c r="E65" s="304"/>
      <c r="F65" s="304"/>
      <c r="G65" s="317"/>
      <c r="H65" s="303"/>
    </row>
    <row r="66" spans="3:8" ht="15.75" customHeight="1" x14ac:dyDescent="0.2">
      <c r="C66" s="303"/>
      <c r="D66" s="304"/>
      <c r="E66" s="304"/>
      <c r="F66" s="304"/>
      <c r="G66" s="317"/>
      <c r="H66" s="303"/>
    </row>
    <row r="67" spans="3:8" ht="15.75" customHeight="1" x14ac:dyDescent="0.2">
      <c r="C67" s="303"/>
      <c r="D67" s="304"/>
      <c r="E67" s="304"/>
      <c r="F67" s="304"/>
      <c r="G67" s="317"/>
      <c r="H67" s="303"/>
    </row>
    <row r="68" spans="3:8" ht="15.75" customHeight="1" x14ac:dyDescent="0.2">
      <c r="C68" s="303"/>
      <c r="D68" s="304"/>
      <c r="E68" s="304"/>
      <c r="F68" s="304"/>
      <c r="G68" s="317"/>
      <c r="H68" s="303"/>
    </row>
    <row r="69" spans="3:8" ht="15.75" customHeight="1" x14ac:dyDescent="0.2">
      <c r="C69" s="303"/>
      <c r="D69" s="304"/>
      <c r="E69" s="304"/>
      <c r="F69" s="304"/>
      <c r="G69" s="317"/>
      <c r="H69" s="303"/>
    </row>
    <row r="70" spans="3:8" ht="15.75" customHeight="1" x14ac:dyDescent="0.2">
      <c r="C70" s="303"/>
      <c r="D70" s="304"/>
      <c r="E70" s="304"/>
      <c r="F70" s="304"/>
      <c r="G70" s="317"/>
      <c r="H70" s="303"/>
    </row>
    <row r="71" spans="3:8" ht="15.75" customHeight="1" x14ac:dyDescent="0.2">
      <c r="C71" s="303"/>
      <c r="D71" s="304"/>
      <c r="E71" s="304"/>
      <c r="F71" s="304"/>
      <c r="G71" s="317"/>
      <c r="H71" s="303"/>
    </row>
    <row r="72" spans="3:8" ht="15.75" customHeight="1" x14ac:dyDescent="0.2">
      <c r="C72" s="303"/>
      <c r="D72" s="304"/>
      <c r="E72" s="304"/>
      <c r="F72" s="304"/>
      <c r="G72" s="317"/>
      <c r="H72" s="303"/>
    </row>
    <row r="73" spans="3:8" ht="15.75" customHeight="1" x14ac:dyDescent="0.2">
      <c r="C73" s="303"/>
      <c r="D73" s="304"/>
      <c r="E73" s="304"/>
      <c r="F73" s="304"/>
      <c r="G73" s="317"/>
      <c r="H73" s="303"/>
    </row>
    <row r="74" spans="3:8" ht="15.75" customHeight="1" x14ac:dyDescent="0.2">
      <c r="C74" s="303"/>
      <c r="D74" s="304"/>
      <c r="E74" s="304"/>
      <c r="F74" s="304"/>
      <c r="G74" s="317"/>
      <c r="H74" s="303"/>
    </row>
    <row r="75" spans="3:8" ht="15.75" customHeight="1" x14ac:dyDescent="0.2">
      <c r="C75" s="303"/>
      <c r="D75" s="304"/>
      <c r="E75" s="304"/>
      <c r="F75" s="304"/>
      <c r="G75" s="317"/>
      <c r="H75" s="303"/>
    </row>
    <row r="76" spans="3:8" ht="15.75" customHeight="1" x14ac:dyDescent="0.2">
      <c r="C76" s="303"/>
      <c r="D76" s="304"/>
      <c r="E76" s="304"/>
      <c r="F76" s="304"/>
      <c r="G76" s="317"/>
      <c r="H76" s="303"/>
    </row>
    <row r="77" spans="3:8" ht="15.75" customHeight="1" x14ac:dyDescent="0.2">
      <c r="C77" s="303"/>
      <c r="D77" s="304"/>
      <c r="E77" s="304"/>
      <c r="F77" s="304"/>
      <c r="G77" s="317"/>
      <c r="H77" s="303"/>
    </row>
    <row r="78" spans="3:8" ht="15.75" customHeight="1" x14ac:dyDescent="0.2">
      <c r="C78" s="303"/>
      <c r="D78" s="304"/>
      <c r="E78" s="304"/>
      <c r="F78" s="304"/>
      <c r="G78" s="317"/>
      <c r="H78" s="303"/>
    </row>
    <row r="79" spans="3:8" ht="15.75" customHeight="1" x14ac:dyDescent="0.2">
      <c r="C79" s="303"/>
      <c r="D79" s="304"/>
      <c r="E79" s="304"/>
      <c r="F79" s="304"/>
      <c r="G79" s="317"/>
      <c r="H79" s="303"/>
    </row>
    <row r="80" spans="3:8" ht="15.75" customHeight="1" x14ac:dyDescent="0.2">
      <c r="C80" s="303"/>
      <c r="D80" s="304"/>
      <c r="E80" s="304"/>
      <c r="F80" s="304"/>
      <c r="G80" s="317"/>
      <c r="H80" s="303"/>
    </row>
    <row r="81" spans="3:8" ht="15.75" customHeight="1" x14ac:dyDescent="0.2">
      <c r="C81" s="303"/>
      <c r="D81" s="304"/>
      <c r="E81" s="304"/>
      <c r="F81" s="304"/>
      <c r="G81" s="317"/>
      <c r="H81" s="303"/>
    </row>
    <row r="82" spans="3:8" ht="15.75" customHeight="1" x14ac:dyDescent="0.2">
      <c r="C82" s="303"/>
      <c r="D82" s="304"/>
      <c r="E82" s="304"/>
      <c r="F82" s="304"/>
      <c r="G82" s="317"/>
      <c r="H82" s="303"/>
    </row>
    <row r="83" spans="3:8" ht="15.75" customHeight="1" x14ac:dyDescent="0.2">
      <c r="C83" s="303"/>
      <c r="D83" s="304"/>
      <c r="E83" s="304"/>
      <c r="F83" s="304"/>
      <c r="G83" s="317"/>
      <c r="H83" s="303"/>
    </row>
    <row r="84" spans="3:8" ht="15.75" customHeight="1" x14ac:dyDescent="0.2">
      <c r="C84" s="303"/>
      <c r="D84" s="304"/>
      <c r="E84" s="304"/>
      <c r="F84" s="304"/>
      <c r="G84" s="317"/>
      <c r="H84" s="303"/>
    </row>
    <row r="85" spans="3:8" ht="15.75" customHeight="1" x14ac:dyDescent="0.2">
      <c r="C85" s="303"/>
      <c r="D85" s="304"/>
      <c r="E85" s="304"/>
      <c r="F85" s="304"/>
      <c r="G85" s="317"/>
      <c r="H85" s="303"/>
    </row>
    <row r="86" spans="3:8" ht="15.75" customHeight="1" x14ac:dyDescent="0.2">
      <c r="C86" s="303"/>
      <c r="D86" s="304"/>
      <c r="E86" s="304"/>
      <c r="F86" s="304"/>
      <c r="G86" s="317"/>
      <c r="H86" s="303"/>
    </row>
    <row r="87" spans="3:8" ht="15.75" customHeight="1" x14ac:dyDescent="0.2">
      <c r="C87" s="303"/>
      <c r="D87" s="304"/>
      <c r="E87" s="304"/>
      <c r="F87" s="304"/>
      <c r="G87" s="317"/>
      <c r="H87" s="303"/>
    </row>
    <row r="88" spans="3:8" ht="15.75" customHeight="1" x14ac:dyDescent="0.2">
      <c r="C88" s="303"/>
      <c r="D88" s="304"/>
      <c r="E88" s="304"/>
      <c r="F88" s="304"/>
      <c r="G88" s="317"/>
      <c r="H88" s="303"/>
    </row>
    <row r="89" spans="3:8" ht="15.75" customHeight="1" x14ac:dyDescent="0.2">
      <c r="C89" s="303"/>
      <c r="D89" s="304"/>
      <c r="E89" s="304"/>
      <c r="F89" s="304"/>
      <c r="G89" s="317"/>
      <c r="H89" s="303"/>
    </row>
    <row r="90" spans="3:8" ht="15.75" customHeight="1" x14ac:dyDescent="0.2">
      <c r="C90" s="303"/>
      <c r="D90" s="304"/>
      <c r="E90" s="304"/>
      <c r="F90" s="304"/>
      <c r="G90" s="317"/>
      <c r="H90" s="303"/>
    </row>
    <row r="91" spans="3:8" ht="15.75" customHeight="1" x14ac:dyDescent="0.2">
      <c r="C91" s="303"/>
      <c r="D91" s="304"/>
      <c r="E91" s="304"/>
      <c r="F91" s="304"/>
      <c r="G91" s="317"/>
      <c r="H91" s="303"/>
    </row>
    <row r="92" spans="3:8" ht="15.75" customHeight="1" x14ac:dyDescent="0.2">
      <c r="C92" s="303"/>
      <c r="D92" s="304"/>
      <c r="E92" s="304"/>
      <c r="F92" s="304"/>
      <c r="G92" s="317"/>
      <c r="H92" s="303"/>
    </row>
    <row r="93" spans="3:8" ht="15.75" customHeight="1" x14ac:dyDescent="0.2">
      <c r="C93" s="303"/>
      <c r="D93" s="304"/>
      <c r="E93" s="304"/>
      <c r="F93" s="304"/>
      <c r="G93" s="317"/>
      <c r="H93" s="303"/>
    </row>
    <row r="94" spans="3:8" ht="15.75" customHeight="1" x14ac:dyDescent="0.2">
      <c r="C94" s="303"/>
      <c r="D94" s="304"/>
      <c r="E94" s="304"/>
      <c r="F94" s="304"/>
      <c r="G94" s="317"/>
      <c r="H94" s="303"/>
    </row>
    <row r="95" spans="3:8" ht="15.75" customHeight="1" x14ac:dyDescent="0.2">
      <c r="C95" s="303"/>
      <c r="D95" s="304"/>
      <c r="E95" s="304"/>
      <c r="F95" s="304"/>
      <c r="G95" s="317"/>
      <c r="H95" s="303"/>
    </row>
    <row r="96" spans="3:8" ht="15.75" customHeight="1" x14ac:dyDescent="0.2">
      <c r="C96" s="303"/>
      <c r="D96" s="304"/>
      <c r="E96" s="304"/>
      <c r="F96" s="304"/>
      <c r="G96" s="317"/>
      <c r="H96" s="303"/>
    </row>
    <row r="97" spans="3:8" ht="15.75" customHeight="1" x14ac:dyDescent="0.2">
      <c r="C97" s="303"/>
      <c r="D97" s="304"/>
      <c r="E97" s="304"/>
      <c r="F97" s="304"/>
      <c r="G97" s="317"/>
      <c r="H97" s="303"/>
    </row>
    <row r="98" spans="3:8" ht="15.75" customHeight="1" x14ac:dyDescent="0.2">
      <c r="C98" s="303"/>
      <c r="D98" s="304"/>
      <c r="E98" s="304"/>
      <c r="F98" s="304"/>
      <c r="G98" s="317"/>
      <c r="H98" s="303"/>
    </row>
    <row r="99" spans="3:8" ht="15.75" customHeight="1" x14ac:dyDescent="0.2">
      <c r="C99" s="303"/>
      <c r="D99" s="304"/>
      <c r="E99" s="304"/>
      <c r="F99" s="304"/>
      <c r="G99" s="317"/>
      <c r="H99" s="303"/>
    </row>
    <row r="100" spans="3:8" ht="15.75" customHeight="1" x14ac:dyDescent="0.2">
      <c r="C100" s="303"/>
      <c r="D100" s="304"/>
      <c r="E100" s="304"/>
      <c r="F100" s="304"/>
      <c r="G100" s="317"/>
      <c r="H100" s="303"/>
    </row>
    <row r="101" spans="3:8" ht="15.75" customHeight="1" x14ac:dyDescent="0.2">
      <c r="C101" s="303"/>
      <c r="D101" s="304"/>
      <c r="E101" s="304"/>
      <c r="F101" s="304"/>
      <c r="G101" s="317"/>
      <c r="H101" s="303"/>
    </row>
    <row r="102" spans="3:8" ht="15.75" customHeight="1" x14ac:dyDescent="0.2">
      <c r="C102" s="303"/>
      <c r="D102" s="304"/>
      <c r="E102" s="304"/>
      <c r="F102" s="304"/>
      <c r="G102" s="317"/>
      <c r="H102" s="303"/>
    </row>
    <row r="103" spans="3:8" ht="15.75" customHeight="1" x14ac:dyDescent="0.2">
      <c r="C103" s="303"/>
      <c r="D103" s="304"/>
      <c r="E103" s="304"/>
      <c r="F103" s="304"/>
      <c r="G103" s="317"/>
      <c r="H103" s="303"/>
    </row>
    <row r="104" spans="3:8" ht="15.75" customHeight="1" x14ac:dyDescent="0.2">
      <c r="C104" s="303"/>
      <c r="D104" s="304"/>
      <c r="E104" s="304"/>
      <c r="F104" s="304"/>
      <c r="G104" s="317"/>
      <c r="H104" s="303"/>
    </row>
    <row r="105" spans="3:8" ht="15.75" customHeight="1" x14ac:dyDescent="0.2">
      <c r="C105" s="303"/>
      <c r="D105" s="304"/>
      <c r="E105" s="304"/>
      <c r="F105" s="304"/>
      <c r="G105" s="317"/>
      <c r="H105" s="303"/>
    </row>
    <row r="106" spans="3:8" ht="15.75" customHeight="1" x14ac:dyDescent="0.2">
      <c r="C106" s="303"/>
      <c r="D106" s="304"/>
      <c r="E106" s="304"/>
      <c r="F106" s="304"/>
      <c r="G106" s="317"/>
      <c r="H106" s="303"/>
    </row>
    <row r="107" spans="3:8" ht="15.75" customHeight="1" x14ac:dyDescent="0.2">
      <c r="C107" s="303"/>
      <c r="D107" s="304"/>
      <c r="E107" s="304"/>
      <c r="F107" s="304"/>
      <c r="G107" s="317"/>
      <c r="H107" s="303"/>
    </row>
    <row r="108" spans="3:8" ht="15.75" customHeight="1" x14ac:dyDescent="0.2">
      <c r="C108" s="303"/>
      <c r="D108" s="304"/>
      <c r="E108" s="304"/>
      <c r="F108" s="304"/>
      <c r="G108" s="317"/>
      <c r="H108" s="303"/>
    </row>
    <row r="109" spans="3:8" ht="15.75" customHeight="1" x14ac:dyDescent="0.2">
      <c r="C109" s="303"/>
      <c r="D109" s="304"/>
      <c r="E109" s="304"/>
      <c r="F109" s="304"/>
      <c r="G109" s="317"/>
      <c r="H109" s="303"/>
    </row>
    <row r="110" spans="3:8" ht="15.75" customHeight="1" x14ac:dyDescent="0.2">
      <c r="C110" s="303"/>
      <c r="D110" s="304"/>
      <c r="E110" s="304"/>
      <c r="F110" s="304"/>
      <c r="G110" s="317"/>
      <c r="H110" s="303"/>
    </row>
    <row r="111" spans="3:8" ht="15.75" customHeight="1" x14ac:dyDescent="0.2">
      <c r="C111" s="303"/>
      <c r="D111" s="304"/>
      <c r="E111" s="304"/>
      <c r="F111" s="304"/>
      <c r="G111" s="317"/>
      <c r="H111" s="303"/>
    </row>
    <row r="112" spans="3:8" ht="15.75" customHeight="1" x14ac:dyDescent="0.2">
      <c r="C112" s="303"/>
      <c r="D112" s="304"/>
      <c r="E112" s="304"/>
      <c r="F112" s="304"/>
      <c r="G112" s="317"/>
      <c r="H112" s="303"/>
    </row>
    <row r="113" spans="3:8" ht="15.75" customHeight="1" x14ac:dyDescent="0.2">
      <c r="C113" s="303"/>
      <c r="D113" s="304"/>
      <c r="E113" s="304"/>
      <c r="F113" s="304"/>
      <c r="G113" s="317"/>
      <c r="H113" s="303"/>
    </row>
    <row r="114" spans="3:8" ht="15.75" customHeight="1" x14ac:dyDescent="0.2">
      <c r="C114" s="303"/>
      <c r="D114" s="304"/>
      <c r="E114" s="304"/>
      <c r="F114" s="304"/>
      <c r="G114" s="317"/>
      <c r="H114" s="303"/>
    </row>
    <row r="115" spans="3:8" ht="15.75" customHeight="1" x14ac:dyDescent="0.2">
      <c r="C115" s="303"/>
      <c r="D115" s="304"/>
      <c r="E115" s="304"/>
      <c r="F115" s="304"/>
      <c r="G115" s="317"/>
      <c r="H115" s="303"/>
    </row>
    <row r="116" spans="3:8" ht="15.75" customHeight="1" x14ac:dyDescent="0.2">
      <c r="C116" s="303"/>
      <c r="D116" s="304"/>
      <c r="E116" s="304"/>
      <c r="F116" s="304"/>
      <c r="G116" s="317"/>
      <c r="H116" s="303"/>
    </row>
    <row r="117" spans="3:8" ht="15.75" customHeight="1" x14ac:dyDescent="0.2">
      <c r="C117" s="303"/>
      <c r="D117" s="304"/>
      <c r="E117" s="304"/>
      <c r="F117" s="304"/>
      <c r="G117" s="317"/>
      <c r="H117" s="303"/>
    </row>
    <row r="118" spans="3:8" ht="15.75" customHeight="1" x14ac:dyDescent="0.2">
      <c r="C118" s="303"/>
      <c r="D118" s="304"/>
      <c r="E118" s="304"/>
      <c r="F118" s="304"/>
      <c r="G118" s="317"/>
      <c r="H118" s="303"/>
    </row>
    <row r="119" spans="3:8" ht="15.75" customHeight="1" x14ac:dyDescent="0.2">
      <c r="C119" s="303"/>
      <c r="D119" s="304"/>
      <c r="E119" s="304"/>
      <c r="F119" s="304"/>
      <c r="G119" s="317"/>
      <c r="H119" s="303"/>
    </row>
    <row r="120" spans="3:8" ht="15.75" customHeight="1" x14ac:dyDescent="0.2">
      <c r="C120" s="303"/>
      <c r="D120" s="304"/>
      <c r="E120" s="304"/>
      <c r="F120" s="304"/>
      <c r="G120" s="317"/>
      <c r="H120" s="303"/>
    </row>
    <row r="121" spans="3:8" ht="15.75" customHeight="1" x14ac:dyDescent="0.2">
      <c r="C121" s="303"/>
      <c r="D121" s="304"/>
      <c r="E121" s="304"/>
      <c r="F121" s="304"/>
      <c r="G121" s="317"/>
      <c r="H121" s="303"/>
    </row>
    <row r="122" spans="3:8" ht="15.75" customHeight="1" x14ac:dyDescent="0.2">
      <c r="C122" s="303"/>
      <c r="D122" s="304"/>
      <c r="E122" s="304"/>
      <c r="F122" s="304"/>
      <c r="G122" s="317"/>
      <c r="H122" s="303"/>
    </row>
    <row r="123" spans="3:8" ht="15.75" customHeight="1" x14ac:dyDescent="0.2">
      <c r="C123" s="303"/>
      <c r="D123" s="304"/>
      <c r="E123" s="304"/>
      <c r="F123" s="304"/>
      <c r="G123" s="317"/>
      <c r="H123" s="303"/>
    </row>
    <row r="124" spans="3:8" ht="15.75" customHeight="1" x14ac:dyDescent="0.2">
      <c r="C124" s="303"/>
      <c r="D124" s="304"/>
      <c r="E124" s="304"/>
      <c r="F124" s="304"/>
      <c r="G124" s="317"/>
      <c r="H124" s="303"/>
    </row>
    <row r="125" spans="3:8" ht="15.75" customHeight="1" x14ac:dyDescent="0.2">
      <c r="C125" s="303"/>
      <c r="D125" s="304"/>
      <c r="E125" s="304"/>
      <c r="F125" s="304"/>
      <c r="G125" s="317"/>
      <c r="H125" s="303"/>
    </row>
    <row r="126" spans="3:8" ht="15.75" customHeight="1" x14ac:dyDescent="0.2">
      <c r="C126" s="303"/>
      <c r="D126" s="304"/>
      <c r="E126" s="304"/>
      <c r="F126" s="304"/>
      <c r="G126" s="317"/>
      <c r="H126" s="303"/>
    </row>
    <row r="127" spans="3:8" ht="15.75" customHeight="1" x14ac:dyDescent="0.2">
      <c r="C127" s="303"/>
      <c r="D127" s="304"/>
      <c r="E127" s="304"/>
      <c r="F127" s="304"/>
      <c r="G127" s="317"/>
      <c r="H127" s="303"/>
    </row>
    <row r="128" spans="3:8" ht="15.75" customHeight="1" x14ac:dyDescent="0.2">
      <c r="C128" s="303"/>
      <c r="D128" s="304"/>
      <c r="E128" s="304"/>
      <c r="F128" s="304"/>
      <c r="G128" s="317"/>
      <c r="H128" s="303"/>
    </row>
    <row r="129" spans="3:8" ht="15.75" customHeight="1" x14ac:dyDescent="0.2">
      <c r="C129" s="303"/>
      <c r="D129" s="304"/>
      <c r="E129" s="304"/>
      <c r="F129" s="304"/>
      <c r="G129" s="317"/>
      <c r="H129" s="303"/>
    </row>
    <row r="130" spans="3:8" ht="15.75" customHeight="1" x14ac:dyDescent="0.2">
      <c r="C130" s="303"/>
      <c r="D130" s="304"/>
      <c r="E130" s="304"/>
      <c r="F130" s="304"/>
      <c r="G130" s="317"/>
      <c r="H130" s="303"/>
    </row>
    <row r="131" spans="3:8" ht="15.75" customHeight="1" x14ac:dyDescent="0.2">
      <c r="C131" s="303"/>
      <c r="D131" s="304"/>
      <c r="E131" s="304"/>
      <c r="F131" s="304"/>
      <c r="G131" s="317"/>
      <c r="H131" s="303"/>
    </row>
    <row r="132" spans="3:8" ht="15.75" customHeight="1" x14ac:dyDescent="0.2">
      <c r="C132" s="303"/>
      <c r="D132" s="304"/>
      <c r="E132" s="304"/>
      <c r="F132" s="304"/>
      <c r="G132" s="317"/>
      <c r="H132" s="303"/>
    </row>
    <row r="133" spans="3:8" ht="15.75" customHeight="1" x14ac:dyDescent="0.2">
      <c r="C133" s="303"/>
      <c r="D133" s="304"/>
      <c r="E133" s="304"/>
      <c r="F133" s="304"/>
      <c r="G133" s="317"/>
      <c r="H133" s="303"/>
    </row>
    <row r="134" spans="3:8" ht="15.75" customHeight="1" x14ac:dyDescent="0.2">
      <c r="C134" s="303"/>
      <c r="D134" s="304"/>
      <c r="E134" s="304"/>
      <c r="F134" s="304"/>
      <c r="G134" s="317"/>
      <c r="H134" s="303"/>
    </row>
    <row r="135" spans="3:8" ht="15.75" customHeight="1" x14ac:dyDescent="0.2">
      <c r="C135" s="303"/>
      <c r="D135" s="304"/>
      <c r="E135" s="304"/>
      <c r="F135" s="304"/>
      <c r="G135" s="317"/>
      <c r="H135" s="303"/>
    </row>
    <row r="136" spans="3:8" ht="15.75" customHeight="1" x14ac:dyDescent="0.2">
      <c r="C136" s="303"/>
      <c r="D136" s="304"/>
      <c r="E136" s="304"/>
      <c r="F136" s="304"/>
      <c r="G136" s="317"/>
      <c r="H136" s="303"/>
    </row>
    <row r="137" spans="3:8" ht="15.75" customHeight="1" x14ac:dyDescent="0.2">
      <c r="C137" s="303"/>
      <c r="D137" s="304"/>
      <c r="E137" s="304"/>
      <c r="F137" s="304"/>
      <c r="G137" s="317"/>
      <c r="H137" s="303"/>
    </row>
    <row r="138" spans="3:8" ht="15.75" customHeight="1" x14ac:dyDescent="0.2">
      <c r="C138" s="303"/>
      <c r="D138" s="304"/>
      <c r="E138" s="304"/>
      <c r="F138" s="304"/>
      <c r="G138" s="317"/>
      <c r="H138" s="303"/>
    </row>
    <row r="139" spans="3:8" ht="15.75" customHeight="1" x14ac:dyDescent="0.2">
      <c r="C139" s="303"/>
      <c r="D139" s="304"/>
      <c r="E139" s="304"/>
      <c r="F139" s="304"/>
      <c r="G139" s="317"/>
      <c r="H139" s="303"/>
    </row>
    <row r="140" spans="3:8" ht="15.75" customHeight="1" x14ac:dyDescent="0.2">
      <c r="C140" s="303"/>
      <c r="D140" s="304"/>
      <c r="E140" s="304"/>
      <c r="F140" s="304"/>
      <c r="G140" s="317"/>
      <c r="H140" s="303"/>
    </row>
    <row r="141" spans="3:8" ht="15.75" customHeight="1" x14ac:dyDescent="0.2">
      <c r="C141" s="303"/>
      <c r="D141" s="304"/>
      <c r="E141" s="304"/>
      <c r="F141" s="304"/>
      <c r="G141" s="317"/>
      <c r="H141" s="303"/>
    </row>
    <row r="142" spans="3:8" ht="15.75" customHeight="1" x14ac:dyDescent="0.2">
      <c r="C142" s="303"/>
      <c r="D142" s="304"/>
      <c r="E142" s="304"/>
      <c r="F142" s="304"/>
      <c r="G142" s="317"/>
      <c r="H142" s="303"/>
    </row>
    <row r="143" spans="3:8" ht="15.75" customHeight="1" x14ac:dyDescent="0.2">
      <c r="C143" s="303"/>
      <c r="D143" s="304"/>
      <c r="E143" s="304"/>
      <c r="F143" s="304"/>
      <c r="G143" s="317"/>
      <c r="H143" s="303"/>
    </row>
    <row r="144" spans="3:8" ht="15.75" customHeight="1" x14ac:dyDescent="0.2">
      <c r="C144" s="303"/>
      <c r="D144" s="304"/>
      <c r="E144" s="304"/>
      <c r="F144" s="304"/>
      <c r="G144" s="317"/>
      <c r="H144" s="303"/>
    </row>
    <row r="145" spans="3:8" ht="15.75" customHeight="1" x14ac:dyDescent="0.2">
      <c r="C145" s="303"/>
      <c r="D145" s="304"/>
      <c r="E145" s="304"/>
      <c r="F145" s="304"/>
      <c r="G145" s="317"/>
      <c r="H145" s="303"/>
    </row>
    <row r="146" spans="3:8" ht="15.75" customHeight="1" x14ac:dyDescent="0.2">
      <c r="C146" s="303"/>
      <c r="D146" s="304"/>
      <c r="E146" s="304"/>
      <c r="F146" s="304"/>
      <c r="G146" s="317"/>
      <c r="H146" s="303"/>
    </row>
    <row r="147" spans="3:8" ht="15.75" customHeight="1" x14ac:dyDescent="0.2">
      <c r="C147" s="303"/>
      <c r="D147" s="304"/>
      <c r="E147" s="304"/>
      <c r="F147" s="304"/>
      <c r="G147" s="317"/>
      <c r="H147" s="303"/>
    </row>
    <row r="148" spans="3:8" ht="15.75" customHeight="1" x14ac:dyDescent="0.2">
      <c r="C148" s="303"/>
      <c r="D148" s="304"/>
      <c r="E148" s="304"/>
      <c r="F148" s="304"/>
      <c r="G148" s="317"/>
      <c r="H148" s="303"/>
    </row>
    <row r="149" spans="3:8" ht="15.75" customHeight="1" x14ac:dyDescent="0.2">
      <c r="C149" s="303"/>
      <c r="D149" s="304"/>
      <c r="E149" s="304"/>
      <c r="F149" s="304"/>
      <c r="G149" s="317"/>
      <c r="H149" s="303"/>
    </row>
    <row r="150" spans="3:8" ht="15.75" customHeight="1" x14ac:dyDescent="0.2">
      <c r="C150" s="303"/>
      <c r="D150" s="304"/>
      <c r="E150" s="304"/>
      <c r="F150" s="304"/>
      <c r="G150" s="317"/>
      <c r="H150" s="303"/>
    </row>
    <row r="151" spans="3:8" ht="15.75" customHeight="1" x14ac:dyDescent="0.2">
      <c r="C151" s="303"/>
      <c r="D151" s="304"/>
      <c r="E151" s="304"/>
      <c r="F151" s="304"/>
      <c r="G151" s="317"/>
      <c r="H151" s="303"/>
    </row>
    <row r="152" spans="3:8" ht="15.75" customHeight="1" x14ac:dyDescent="0.2">
      <c r="C152" s="303"/>
      <c r="D152" s="304"/>
      <c r="E152" s="304"/>
      <c r="F152" s="304"/>
      <c r="G152" s="317"/>
      <c r="H152" s="303"/>
    </row>
    <row r="153" spans="3:8" ht="15.75" customHeight="1" x14ac:dyDescent="0.2">
      <c r="C153" s="303"/>
      <c r="D153" s="304"/>
      <c r="E153" s="304"/>
      <c r="F153" s="304"/>
      <c r="G153" s="317"/>
      <c r="H153" s="303"/>
    </row>
    <row r="154" spans="3:8" ht="15.75" customHeight="1" x14ac:dyDescent="0.2">
      <c r="C154" s="303"/>
      <c r="D154" s="304"/>
      <c r="E154" s="304"/>
      <c r="F154" s="304"/>
      <c r="G154" s="317"/>
      <c r="H154" s="303"/>
    </row>
    <row r="155" spans="3:8" ht="15.75" customHeight="1" x14ac:dyDescent="0.2">
      <c r="C155" s="303"/>
      <c r="D155" s="304"/>
      <c r="E155" s="304"/>
      <c r="F155" s="304"/>
      <c r="G155" s="317"/>
      <c r="H155" s="303"/>
    </row>
    <row r="156" spans="3:8" ht="15.75" customHeight="1" x14ac:dyDescent="0.2">
      <c r="C156" s="303"/>
      <c r="D156" s="304"/>
      <c r="E156" s="304"/>
      <c r="F156" s="304"/>
      <c r="G156" s="317"/>
      <c r="H156" s="303"/>
    </row>
    <row r="157" spans="3:8" ht="15.75" customHeight="1" x14ac:dyDescent="0.2">
      <c r="C157" s="303"/>
      <c r="D157" s="304"/>
      <c r="E157" s="304"/>
      <c r="F157" s="304"/>
      <c r="G157" s="317"/>
      <c r="H157" s="303"/>
    </row>
    <row r="158" spans="3:8" ht="15.75" customHeight="1" x14ac:dyDescent="0.2">
      <c r="C158" s="303"/>
      <c r="D158" s="304"/>
      <c r="E158" s="304"/>
      <c r="F158" s="304"/>
      <c r="G158" s="317"/>
      <c r="H158" s="303"/>
    </row>
    <row r="159" spans="3:8" ht="15.75" customHeight="1" x14ac:dyDescent="0.2">
      <c r="C159" s="303"/>
      <c r="D159" s="304"/>
      <c r="E159" s="304"/>
      <c r="F159" s="304"/>
      <c r="G159" s="317"/>
      <c r="H159" s="303"/>
    </row>
    <row r="160" spans="3:8" ht="15.75" customHeight="1" x14ac:dyDescent="0.2">
      <c r="C160" s="303"/>
      <c r="D160" s="304"/>
      <c r="E160" s="304"/>
      <c r="F160" s="304"/>
      <c r="G160" s="317"/>
      <c r="H160" s="303"/>
    </row>
    <row r="161" spans="3:8" ht="15.75" customHeight="1" x14ac:dyDescent="0.2">
      <c r="C161" s="303"/>
      <c r="D161" s="304"/>
      <c r="E161" s="304"/>
      <c r="F161" s="304"/>
      <c r="G161" s="317"/>
      <c r="H161" s="303"/>
    </row>
    <row r="162" spans="3:8" ht="15.75" customHeight="1" x14ac:dyDescent="0.2">
      <c r="C162" s="303"/>
      <c r="D162" s="304"/>
      <c r="E162" s="304"/>
      <c r="F162" s="304"/>
      <c r="G162" s="317"/>
      <c r="H162" s="303"/>
    </row>
    <row r="163" spans="3:8" ht="15.75" customHeight="1" x14ac:dyDescent="0.2">
      <c r="C163" s="303"/>
      <c r="D163" s="304"/>
      <c r="E163" s="304"/>
      <c r="F163" s="304"/>
      <c r="G163" s="317"/>
      <c r="H163" s="303"/>
    </row>
    <row r="164" spans="3:8" ht="15.75" customHeight="1" x14ac:dyDescent="0.2">
      <c r="C164" s="303"/>
      <c r="D164" s="304"/>
      <c r="E164" s="304"/>
      <c r="F164" s="304"/>
      <c r="G164" s="317"/>
      <c r="H164" s="303"/>
    </row>
    <row r="165" spans="3:8" ht="15.75" customHeight="1" x14ac:dyDescent="0.2">
      <c r="C165" s="303"/>
      <c r="D165" s="304"/>
      <c r="E165" s="304"/>
      <c r="F165" s="304"/>
      <c r="G165" s="317"/>
      <c r="H165" s="303"/>
    </row>
    <row r="166" spans="3:8" ht="15.75" customHeight="1" x14ac:dyDescent="0.2">
      <c r="C166" s="303"/>
      <c r="D166" s="304"/>
      <c r="E166" s="304"/>
      <c r="F166" s="304"/>
      <c r="G166" s="317"/>
      <c r="H166" s="303"/>
    </row>
    <row r="167" spans="3:8" ht="15.75" customHeight="1" x14ac:dyDescent="0.2">
      <c r="C167" s="303"/>
      <c r="D167" s="304"/>
      <c r="E167" s="304"/>
      <c r="F167" s="304"/>
      <c r="G167" s="317"/>
      <c r="H167" s="303"/>
    </row>
    <row r="168" spans="3:8" ht="15.75" customHeight="1" x14ac:dyDescent="0.2">
      <c r="C168" s="303"/>
      <c r="D168" s="304"/>
      <c r="E168" s="304"/>
      <c r="F168" s="304"/>
      <c r="G168" s="317"/>
      <c r="H168" s="303"/>
    </row>
    <row r="169" spans="3:8" ht="15.75" customHeight="1" x14ac:dyDescent="0.2">
      <c r="C169" s="303"/>
      <c r="D169" s="304"/>
      <c r="E169" s="304"/>
      <c r="F169" s="304"/>
      <c r="G169" s="317"/>
      <c r="H169" s="303"/>
    </row>
    <row r="170" spans="3:8" ht="15.75" customHeight="1" x14ac:dyDescent="0.2">
      <c r="C170" s="303"/>
      <c r="D170" s="304"/>
      <c r="E170" s="304"/>
      <c r="F170" s="304"/>
      <c r="G170" s="317"/>
      <c r="H170" s="303"/>
    </row>
    <row r="171" spans="3:8" ht="15.75" customHeight="1" x14ac:dyDescent="0.2">
      <c r="C171" s="303"/>
      <c r="D171" s="304"/>
      <c r="E171" s="304"/>
      <c r="F171" s="304"/>
      <c r="G171" s="317"/>
      <c r="H171" s="303"/>
    </row>
    <row r="172" spans="3:8" ht="15.75" customHeight="1" x14ac:dyDescent="0.2">
      <c r="C172" s="303"/>
      <c r="D172" s="304"/>
      <c r="E172" s="304"/>
      <c r="F172" s="304"/>
      <c r="G172" s="317"/>
      <c r="H172" s="303"/>
    </row>
    <row r="173" spans="3:8" ht="15.75" customHeight="1" x14ac:dyDescent="0.2">
      <c r="C173" s="303"/>
      <c r="D173" s="304"/>
      <c r="E173" s="304"/>
      <c r="F173" s="304"/>
      <c r="G173" s="317"/>
      <c r="H173" s="303"/>
    </row>
    <row r="174" spans="3:8" ht="15.75" customHeight="1" x14ac:dyDescent="0.2">
      <c r="C174" s="303"/>
      <c r="D174" s="304"/>
      <c r="E174" s="304"/>
      <c r="F174" s="304"/>
      <c r="G174" s="317"/>
      <c r="H174" s="303"/>
    </row>
    <row r="175" spans="3:8" ht="15.75" customHeight="1" x14ac:dyDescent="0.2">
      <c r="C175" s="303"/>
      <c r="D175" s="304"/>
      <c r="E175" s="304"/>
      <c r="F175" s="304"/>
      <c r="G175" s="317"/>
      <c r="H175" s="303"/>
    </row>
    <row r="176" spans="3:8" ht="15.75" customHeight="1" x14ac:dyDescent="0.2">
      <c r="C176" s="303"/>
      <c r="D176" s="304"/>
      <c r="E176" s="304"/>
      <c r="F176" s="304"/>
      <c r="G176" s="317"/>
      <c r="H176" s="303"/>
    </row>
    <row r="177" spans="3:8" ht="15.75" customHeight="1" x14ac:dyDescent="0.2">
      <c r="C177" s="303"/>
      <c r="D177" s="304"/>
      <c r="E177" s="304"/>
      <c r="F177" s="304"/>
      <c r="G177" s="317"/>
      <c r="H177" s="303"/>
    </row>
    <row r="178" spans="3:8" ht="15.75" customHeight="1" x14ac:dyDescent="0.2">
      <c r="C178" s="303"/>
      <c r="D178" s="304"/>
      <c r="E178" s="304"/>
      <c r="F178" s="304"/>
      <c r="G178" s="317"/>
      <c r="H178" s="303"/>
    </row>
    <row r="179" spans="3:8" ht="15.75" customHeight="1" x14ac:dyDescent="0.2">
      <c r="C179" s="303"/>
      <c r="D179" s="304"/>
      <c r="E179" s="304"/>
      <c r="F179" s="304"/>
      <c r="G179" s="317"/>
      <c r="H179" s="303"/>
    </row>
    <row r="180" spans="3:8" ht="15.75" customHeight="1" x14ac:dyDescent="0.2">
      <c r="C180" s="303"/>
      <c r="D180" s="304"/>
      <c r="E180" s="304"/>
      <c r="F180" s="304"/>
      <c r="G180" s="317"/>
      <c r="H180" s="303"/>
    </row>
    <row r="181" spans="3:8" ht="15.75" customHeight="1" x14ac:dyDescent="0.2">
      <c r="C181" s="303"/>
      <c r="D181" s="304"/>
      <c r="E181" s="304"/>
      <c r="F181" s="304"/>
      <c r="G181" s="317"/>
      <c r="H181" s="303"/>
    </row>
    <row r="182" spans="3:8" ht="15.75" customHeight="1" x14ac:dyDescent="0.2">
      <c r="C182" s="303"/>
      <c r="D182" s="304"/>
      <c r="E182" s="304"/>
      <c r="F182" s="304"/>
      <c r="G182" s="317"/>
      <c r="H182" s="303"/>
    </row>
    <row r="183" spans="3:8" ht="15.75" customHeight="1" x14ac:dyDescent="0.2">
      <c r="C183" s="303"/>
      <c r="D183" s="304"/>
      <c r="E183" s="304"/>
      <c r="F183" s="304"/>
      <c r="G183" s="317"/>
      <c r="H183" s="303"/>
    </row>
    <row r="184" spans="3:8" ht="15.75" customHeight="1" x14ac:dyDescent="0.2">
      <c r="C184" s="303"/>
      <c r="D184" s="304"/>
      <c r="E184" s="304"/>
      <c r="F184" s="304"/>
      <c r="G184" s="317"/>
      <c r="H184" s="303"/>
    </row>
    <row r="185" spans="3:8" ht="15.75" customHeight="1" x14ac:dyDescent="0.2">
      <c r="C185" s="303"/>
      <c r="D185" s="304"/>
      <c r="E185" s="304"/>
      <c r="F185" s="304"/>
      <c r="G185" s="317"/>
      <c r="H185" s="303"/>
    </row>
    <row r="186" spans="3:8" ht="15.75" customHeight="1" x14ac:dyDescent="0.2">
      <c r="C186" s="303"/>
      <c r="D186" s="304"/>
      <c r="E186" s="304"/>
      <c r="F186" s="304"/>
      <c r="G186" s="317"/>
      <c r="H186" s="303"/>
    </row>
    <row r="187" spans="3:8" ht="15.75" customHeight="1" x14ac:dyDescent="0.2">
      <c r="C187" s="303"/>
      <c r="D187" s="304"/>
      <c r="E187" s="304"/>
      <c r="F187" s="304"/>
      <c r="G187" s="317"/>
      <c r="H187" s="303"/>
    </row>
    <row r="188" spans="3:8" ht="15.75" customHeight="1" x14ac:dyDescent="0.2">
      <c r="C188" s="303"/>
      <c r="D188" s="304"/>
      <c r="E188" s="304"/>
      <c r="F188" s="304"/>
      <c r="G188" s="317"/>
      <c r="H188" s="303"/>
    </row>
    <row r="189" spans="3:8" ht="15.75" customHeight="1" x14ac:dyDescent="0.2">
      <c r="C189" s="303"/>
      <c r="D189" s="304"/>
      <c r="E189" s="304"/>
      <c r="F189" s="304"/>
      <c r="G189" s="317"/>
      <c r="H189" s="303"/>
    </row>
    <row r="190" spans="3:8" ht="15.75" customHeight="1" x14ac:dyDescent="0.2">
      <c r="C190" s="303"/>
      <c r="D190" s="304"/>
      <c r="E190" s="304"/>
      <c r="F190" s="304"/>
      <c r="G190" s="317"/>
      <c r="H190" s="303"/>
    </row>
    <row r="191" spans="3:8" ht="15.75" customHeight="1" x14ac:dyDescent="0.2">
      <c r="C191" s="303"/>
      <c r="D191" s="304"/>
      <c r="E191" s="304"/>
      <c r="F191" s="304"/>
      <c r="G191" s="317"/>
      <c r="H191" s="303"/>
    </row>
    <row r="192" spans="3:8" ht="15.75" customHeight="1" x14ac:dyDescent="0.2">
      <c r="C192" s="303"/>
      <c r="D192" s="304"/>
      <c r="E192" s="304"/>
      <c r="F192" s="304"/>
      <c r="G192" s="317"/>
      <c r="H192" s="303"/>
    </row>
    <row r="193" spans="3:8" ht="15.75" customHeight="1" x14ac:dyDescent="0.2">
      <c r="C193" s="303"/>
      <c r="D193" s="304"/>
      <c r="E193" s="304"/>
      <c r="F193" s="304"/>
      <c r="G193" s="317"/>
      <c r="H193" s="303"/>
    </row>
    <row r="194" spans="3:8" ht="15.75" customHeight="1" x14ac:dyDescent="0.2">
      <c r="C194" s="303"/>
      <c r="D194" s="304"/>
      <c r="E194" s="304"/>
      <c r="F194" s="304"/>
      <c r="G194" s="317"/>
      <c r="H194" s="303"/>
    </row>
    <row r="195" spans="3:8" ht="15.75" customHeight="1" x14ac:dyDescent="0.2">
      <c r="C195" s="303"/>
      <c r="D195" s="304"/>
      <c r="E195" s="304"/>
      <c r="F195" s="304"/>
      <c r="G195" s="317"/>
      <c r="H195" s="303"/>
    </row>
    <row r="196" spans="3:8" ht="15.75" customHeight="1" x14ac:dyDescent="0.2">
      <c r="C196" s="303"/>
      <c r="D196" s="304"/>
      <c r="E196" s="304"/>
      <c r="F196" s="304"/>
      <c r="G196" s="317"/>
      <c r="H196" s="303"/>
    </row>
    <row r="197" spans="3:8" ht="15.75" customHeight="1" x14ac:dyDescent="0.2">
      <c r="C197" s="303"/>
      <c r="D197" s="304"/>
      <c r="E197" s="304"/>
      <c r="F197" s="304"/>
      <c r="G197" s="317"/>
      <c r="H197" s="303"/>
    </row>
    <row r="198" spans="3:8" ht="15.75" customHeight="1" x14ac:dyDescent="0.2">
      <c r="C198" s="303"/>
      <c r="D198" s="304"/>
      <c r="E198" s="304"/>
      <c r="F198" s="304"/>
      <c r="G198" s="317"/>
      <c r="H198" s="303"/>
    </row>
    <row r="199" spans="3:8" ht="15.75" customHeight="1" x14ac:dyDescent="0.2">
      <c r="C199" s="303"/>
      <c r="D199" s="304"/>
      <c r="E199" s="304"/>
      <c r="F199" s="304"/>
      <c r="G199" s="317"/>
      <c r="H199" s="303"/>
    </row>
    <row r="200" spans="3:8" ht="15.75" customHeight="1" x14ac:dyDescent="0.2">
      <c r="C200" s="303"/>
      <c r="D200" s="304"/>
      <c r="E200" s="304"/>
      <c r="F200" s="304"/>
      <c r="G200" s="317"/>
      <c r="H200" s="303"/>
    </row>
    <row r="201" spans="3:8" ht="15.75" customHeight="1" x14ac:dyDescent="0.2">
      <c r="C201" s="303"/>
      <c r="D201" s="304"/>
      <c r="E201" s="304"/>
      <c r="F201" s="304"/>
      <c r="G201" s="317"/>
      <c r="H201" s="303"/>
    </row>
    <row r="202" spans="3:8" ht="15.75" customHeight="1" x14ac:dyDescent="0.2">
      <c r="C202" s="303"/>
      <c r="D202" s="304"/>
      <c r="E202" s="304"/>
      <c r="F202" s="304"/>
      <c r="G202" s="317"/>
      <c r="H202" s="303"/>
    </row>
    <row r="203" spans="3:8" ht="15.75" customHeight="1" x14ac:dyDescent="0.2">
      <c r="C203" s="303"/>
      <c r="D203" s="304"/>
      <c r="E203" s="304"/>
      <c r="F203" s="304"/>
      <c r="G203" s="317"/>
      <c r="H203" s="303"/>
    </row>
    <row r="204" spans="3:8" ht="15.75" customHeight="1" x14ac:dyDescent="0.2">
      <c r="C204" s="303"/>
      <c r="D204" s="304"/>
      <c r="E204" s="304"/>
      <c r="F204" s="304"/>
      <c r="G204" s="317"/>
      <c r="H204" s="303"/>
    </row>
    <row r="205" spans="3:8" ht="15.75" customHeight="1" x14ac:dyDescent="0.2">
      <c r="C205" s="303"/>
      <c r="D205" s="304"/>
      <c r="E205" s="304"/>
      <c r="F205" s="304"/>
      <c r="G205" s="317"/>
      <c r="H205" s="303"/>
    </row>
    <row r="206" spans="3:8" ht="15.75" customHeight="1" x14ac:dyDescent="0.2">
      <c r="C206" s="303"/>
      <c r="D206" s="304"/>
      <c r="E206" s="304"/>
      <c r="F206" s="304"/>
      <c r="G206" s="317"/>
      <c r="H206" s="303"/>
    </row>
    <row r="207" spans="3:8" ht="15.75" customHeight="1" x14ac:dyDescent="0.2">
      <c r="C207" s="303"/>
      <c r="D207" s="304"/>
      <c r="E207" s="304"/>
      <c r="F207" s="304"/>
      <c r="G207" s="317"/>
      <c r="H207" s="303"/>
    </row>
    <row r="208" spans="3:8" ht="15.75" customHeight="1" x14ac:dyDescent="0.2">
      <c r="C208" s="303"/>
      <c r="D208" s="304"/>
      <c r="E208" s="304"/>
      <c r="F208" s="304"/>
      <c r="G208" s="317"/>
      <c r="H208" s="303"/>
    </row>
    <row r="209" spans="3:8" ht="15.75" customHeight="1" x14ac:dyDescent="0.2">
      <c r="C209" s="303"/>
      <c r="D209" s="304"/>
      <c r="E209" s="304"/>
      <c r="F209" s="304"/>
      <c r="G209" s="317"/>
      <c r="H209" s="303"/>
    </row>
    <row r="210" spans="3:8" ht="15.75" customHeight="1" x14ac:dyDescent="0.2">
      <c r="C210" s="303"/>
      <c r="D210" s="304"/>
      <c r="E210" s="304"/>
      <c r="F210" s="304"/>
      <c r="G210" s="317"/>
      <c r="H210" s="303"/>
    </row>
    <row r="211" spans="3:8" ht="15.75" customHeight="1" x14ac:dyDescent="0.2">
      <c r="C211" s="303"/>
      <c r="D211" s="304"/>
      <c r="E211" s="304"/>
      <c r="F211" s="304"/>
      <c r="G211" s="317"/>
      <c r="H211" s="303"/>
    </row>
    <row r="212" spans="3:8" ht="15.75" customHeight="1" x14ac:dyDescent="0.2">
      <c r="C212" s="303"/>
      <c r="D212" s="304"/>
      <c r="E212" s="304"/>
      <c r="F212" s="304"/>
      <c r="G212" s="317"/>
      <c r="H212" s="303"/>
    </row>
    <row r="213" spans="3:8" ht="15.75" customHeight="1" x14ac:dyDescent="0.2">
      <c r="C213" s="303"/>
      <c r="D213" s="304"/>
      <c r="E213" s="304"/>
      <c r="F213" s="304"/>
      <c r="G213" s="317"/>
      <c r="H213" s="303"/>
    </row>
    <row r="214" spans="3:8" ht="15.75" customHeight="1" x14ac:dyDescent="0.2">
      <c r="C214" s="303"/>
      <c r="D214" s="304"/>
      <c r="E214" s="304"/>
      <c r="F214" s="304"/>
      <c r="G214" s="317"/>
      <c r="H214" s="303"/>
    </row>
    <row r="215" spans="3:8" ht="15.75" customHeight="1" x14ac:dyDescent="0.2">
      <c r="C215" s="303"/>
      <c r="D215" s="304"/>
      <c r="E215" s="304"/>
      <c r="F215" s="304"/>
      <c r="G215" s="317"/>
      <c r="H215" s="303"/>
    </row>
    <row r="216" spans="3:8" ht="15.75" customHeight="1" x14ac:dyDescent="0.2">
      <c r="C216" s="303"/>
      <c r="D216" s="304"/>
      <c r="E216" s="304"/>
      <c r="F216" s="304"/>
      <c r="G216" s="317"/>
      <c r="H216" s="303"/>
    </row>
    <row r="217" spans="3:8" ht="15.75" customHeight="1" x14ac:dyDescent="0.2">
      <c r="C217" s="303"/>
      <c r="D217" s="304"/>
      <c r="E217" s="304"/>
      <c r="F217" s="304"/>
      <c r="G217" s="317"/>
      <c r="H217" s="303"/>
    </row>
    <row r="218" spans="3:8" ht="15.75" customHeight="1" x14ac:dyDescent="0.2">
      <c r="C218" s="303"/>
      <c r="D218" s="304"/>
      <c r="E218" s="304"/>
      <c r="F218" s="304"/>
      <c r="G218" s="317"/>
      <c r="H218" s="303"/>
    </row>
    <row r="219" spans="3:8" ht="15.75" customHeight="1" x14ac:dyDescent="0.2">
      <c r="C219" s="303"/>
      <c r="D219" s="304"/>
      <c r="E219" s="304"/>
      <c r="F219" s="304"/>
      <c r="G219" s="317"/>
      <c r="H219" s="303"/>
    </row>
    <row r="220" spans="3:8" ht="15.75" customHeight="1" x14ac:dyDescent="0.2">
      <c r="C220" s="303"/>
      <c r="D220" s="304"/>
      <c r="E220" s="304"/>
      <c r="F220" s="304"/>
      <c r="G220" s="317"/>
      <c r="H220" s="303"/>
    </row>
    <row r="221" spans="3:8" ht="15.75" customHeight="1" x14ac:dyDescent="0.2">
      <c r="C221" s="303"/>
      <c r="G221" s="317"/>
      <c r="H221" s="303"/>
    </row>
    <row r="222" spans="3:8" ht="15.75" customHeight="1" x14ac:dyDescent="0.2">
      <c r="C222" s="303"/>
      <c r="G222" s="317"/>
      <c r="H222" s="303"/>
    </row>
    <row r="223" spans="3:8" ht="15.75" customHeight="1" x14ac:dyDescent="0.2">
      <c r="C223" s="303"/>
      <c r="G223" s="317"/>
      <c r="H223" s="303"/>
    </row>
    <row r="224" spans="3:8" ht="15.75" customHeight="1" x14ac:dyDescent="0.2">
      <c r="C224" s="303"/>
      <c r="G224" s="317"/>
      <c r="H224" s="303"/>
    </row>
    <row r="225" spans="3:8" ht="15.75" customHeight="1" x14ac:dyDescent="0.2">
      <c r="C225" s="303"/>
      <c r="G225" s="317"/>
      <c r="H225" s="303"/>
    </row>
    <row r="226" spans="3:8" ht="15.75" customHeight="1" x14ac:dyDescent="0.2">
      <c r="C226" s="303"/>
      <c r="G226" s="317"/>
      <c r="H226" s="303"/>
    </row>
    <row r="227" spans="3:8" ht="15.75" customHeight="1" x14ac:dyDescent="0.2">
      <c r="C227" s="303"/>
      <c r="G227" s="317"/>
      <c r="H227" s="303"/>
    </row>
    <row r="228" spans="3:8" ht="15.75" customHeight="1" x14ac:dyDescent="0.2">
      <c r="C228" s="303"/>
      <c r="G228" s="317"/>
      <c r="H228" s="303"/>
    </row>
    <row r="229" spans="3:8" ht="15.75" customHeight="1" x14ac:dyDescent="0.2">
      <c r="C229" s="303"/>
      <c r="G229" s="317"/>
      <c r="H229" s="303"/>
    </row>
    <row r="230" spans="3:8" ht="15.75" customHeight="1" x14ac:dyDescent="0.2">
      <c r="C230" s="303"/>
      <c r="G230" s="317"/>
      <c r="H230" s="303"/>
    </row>
    <row r="231" spans="3:8" ht="15.75" customHeight="1" x14ac:dyDescent="0.2">
      <c r="C231" s="303"/>
      <c r="G231" s="317"/>
      <c r="H231" s="303"/>
    </row>
    <row r="232" spans="3:8" ht="15.75" customHeight="1" x14ac:dyDescent="0.2">
      <c r="C232" s="303"/>
      <c r="G232" s="317"/>
      <c r="H232" s="303"/>
    </row>
    <row r="233" spans="3:8" ht="15.75" customHeight="1" x14ac:dyDescent="0.2">
      <c r="C233" s="303"/>
      <c r="G233" s="317"/>
      <c r="H233" s="303"/>
    </row>
    <row r="234" spans="3:8" ht="15.75" customHeight="1" x14ac:dyDescent="0.2">
      <c r="C234" s="303"/>
      <c r="G234" s="317"/>
      <c r="H234" s="303"/>
    </row>
    <row r="235" spans="3:8" ht="15.75" customHeight="1" x14ac:dyDescent="0.2">
      <c r="C235" s="303"/>
      <c r="G235" s="317"/>
      <c r="H235" s="303"/>
    </row>
    <row r="236" spans="3:8" ht="15.75" customHeight="1" x14ac:dyDescent="0.2">
      <c r="C236" s="303"/>
      <c r="G236" s="317"/>
      <c r="H236" s="303"/>
    </row>
    <row r="237" spans="3:8" ht="15.75" customHeight="1" x14ac:dyDescent="0.2">
      <c r="C237" s="303"/>
      <c r="G237" s="317"/>
      <c r="H237" s="303"/>
    </row>
    <row r="238" spans="3:8" ht="15.75" customHeight="1" x14ac:dyDescent="0.2">
      <c r="C238" s="303"/>
      <c r="G238" s="317"/>
      <c r="H238" s="303"/>
    </row>
    <row r="239" spans="3:8" ht="15.75" customHeight="1" x14ac:dyDescent="0.2">
      <c r="C239" s="303"/>
      <c r="G239" s="317"/>
      <c r="H239" s="303"/>
    </row>
    <row r="240" spans="3:8" ht="15.75" customHeight="1" x14ac:dyDescent="0.2">
      <c r="C240" s="303"/>
      <c r="G240" s="317"/>
      <c r="H240" s="303"/>
    </row>
    <row r="241" spans="3:8" ht="15.75" customHeight="1" x14ac:dyDescent="0.2">
      <c r="C241" s="303"/>
      <c r="G241" s="317"/>
      <c r="H241" s="303"/>
    </row>
    <row r="242" spans="3:8" ht="15.75" customHeight="1" x14ac:dyDescent="0.2">
      <c r="C242" s="303"/>
      <c r="G242" s="317"/>
      <c r="H242" s="303"/>
    </row>
    <row r="243" spans="3:8" ht="15.75" customHeight="1" x14ac:dyDescent="0.2">
      <c r="C243" s="303"/>
      <c r="G243" s="317"/>
      <c r="H243" s="303"/>
    </row>
    <row r="244" spans="3:8" ht="15.75" customHeight="1" x14ac:dyDescent="0.2">
      <c r="C244" s="303"/>
      <c r="G244" s="317"/>
      <c r="H244" s="303"/>
    </row>
    <row r="245" spans="3:8" ht="15.75" customHeight="1" x14ac:dyDescent="0.2">
      <c r="C245" s="303"/>
      <c r="G245" s="317"/>
      <c r="H245" s="303"/>
    </row>
    <row r="246" spans="3:8" ht="15.75" customHeight="1" x14ac:dyDescent="0.2">
      <c r="C246" s="303"/>
      <c r="G246" s="317"/>
      <c r="H246" s="303"/>
    </row>
    <row r="247" spans="3:8" ht="15.75" customHeight="1" x14ac:dyDescent="0.2">
      <c r="C247" s="303"/>
      <c r="G247" s="317"/>
      <c r="H247" s="303"/>
    </row>
    <row r="248" spans="3:8" ht="15.75" customHeight="1" x14ac:dyDescent="0.2">
      <c r="C248" s="303"/>
      <c r="G248" s="317"/>
      <c r="H248" s="303"/>
    </row>
    <row r="249" spans="3:8" ht="15.75" customHeight="1" x14ac:dyDescent="0.2">
      <c r="C249" s="303"/>
      <c r="G249" s="317"/>
      <c r="H249" s="303"/>
    </row>
    <row r="250" spans="3:8" ht="15.75" customHeight="1" x14ac:dyDescent="0.2">
      <c r="C250" s="303"/>
      <c r="G250" s="317"/>
      <c r="H250" s="303"/>
    </row>
    <row r="251" spans="3:8" ht="15.75" customHeight="1" x14ac:dyDescent="0.2">
      <c r="C251" s="303"/>
      <c r="G251" s="317"/>
      <c r="H251" s="303"/>
    </row>
    <row r="252" spans="3:8" ht="15.75" customHeight="1" x14ac:dyDescent="0.2">
      <c r="C252" s="303"/>
      <c r="G252" s="317"/>
      <c r="H252" s="303"/>
    </row>
    <row r="253" spans="3:8" ht="15.75" customHeight="1" x14ac:dyDescent="0.2">
      <c r="C253" s="303"/>
      <c r="G253" s="317"/>
      <c r="H253" s="303"/>
    </row>
    <row r="254" spans="3:8" ht="15.75" customHeight="1" x14ac:dyDescent="0.2">
      <c r="C254" s="303"/>
      <c r="G254" s="317"/>
      <c r="H254" s="303"/>
    </row>
    <row r="255" spans="3:8" ht="15.75" customHeight="1" x14ac:dyDescent="0.2">
      <c r="C255" s="303"/>
      <c r="G255" s="317"/>
      <c r="H255" s="303"/>
    </row>
    <row r="256" spans="3:8" ht="15.75" customHeight="1" x14ac:dyDescent="0.2">
      <c r="C256" s="303"/>
      <c r="G256" s="317"/>
      <c r="H256" s="303"/>
    </row>
    <row r="257" spans="3:8" ht="15.75" customHeight="1" x14ac:dyDescent="0.2">
      <c r="C257" s="303"/>
      <c r="G257" s="317"/>
      <c r="H257" s="303"/>
    </row>
    <row r="258" spans="3:8" ht="15.75" customHeight="1" x14ac:dyDescent="0.2">
      <c r="C258" s="303"/>
      <c r="G258" s="317"/>
      <c r="H258" s="303"/>
    </row>
    <row r="259" spans="3:8" ht="15.75" customHeight="1" x14ac:dyDescent="0.2">
      <c r="C259" s="303"/>
      <c r="G259" s="317"/>
      <c r="H259" s="303"/>
    </row>
    <row r="260" spans="3:8" ht="15.75" customHeight="1" x14ac:dyDescent="0.2">
      <c r="C260" s="303"/>
      <c r="G260" s="317"/>
      <c r="H260" s="303"/>
    </row>
    <row r="261" spans="3:8" ht="15.75" customHeight="1" x14ac:dyDescent="0.2">
      <c r="C261" s="303"/>
      <c r="G261" s="317"/>
      <c r="H261" s="303"/>
    </row>
    <row r="262" spans="3:8" ht="15.75" customHeight="1" x14ac:dyDescent="0.2">
      <c r="C262" s="303"/>
      <c r="G262" s="317"/>
      <c r="H262" s="303"/>
    </row>
    <row r="263" spans="3:8" ht="15.75" customHeight="1" x14ac:dyDescent="0.2">
      <c r="C263" s="303"/>
      <c r="G263" s="317"/>
      <c r="H263" s="303"/>
    </row>
    <row r="264" spans="3:8" ht="15.75" customHeight="1" x14ac:dyDescent="0.2">
      <c r="C264" s="303"/>
      <c r="G264" s="317"/>
      <c r="H264" s="303"/>
    </row>
    <row r="265" spans="3:8" ht="15.75" customHeight="1" x14ac:dyDescent="0.2">
      <c r="C265" s="303"/>
      <c r="G265" s="317"/>
      <c r="H265" s="303"/>
    </row>
    <row r="266" spans="3:8" ht="15.75" customHeight="1" x14ac:dyDescent="0.2">
      <c r="C266" s="303"/>
      <c r="G266" s="317"/>
      <c r="H266" s="303"/>
    </row>
    <row r="267" spans="3:8" ht="15.75" customHeight="1" x14ac:dyDescent="0.2">
      <c r="C267" s="303"/>
      <c r="G267" s="317"/>
      <c r="H267" s="303"/>
    </row>
    <row r="268" spans="3:8" ht="15.75" customHeight="1" x14ac:dyDescent="0.2">
      <c r="C268" s="303"/>
      <c r="G268" s="317"/>
      <c r="H268" s="303"/>
    </row>
    <row r="269" spans="3:8" ht="15.75" customHeight="1" x14ac:dyDescent="0.2">
      <c r="C269" s="303"/>
      <c r="G269" s="317"/>
      <c r="H269" s="303"/>
    </row>
    <row r="270" spans="3:8" ht="15.75" customHeight="1" x14ac:dyDescent="0.2">
      <c r="C270" s="303"/>
      <c r="G270" s="317"/>
      <c r="H270" s="303"/>
    </row>
    <row r="271" spans="3:8" ht="15.75" customHeight="1" x14ac:dyDescent="0.2">
      <c r="C271" s="303"/>
      <c r="G271" s="317"/>
      <c r="H271" s="303"/>
    </row>
    <row r="272" spans="3:8" ht="15.75" customHeight="1" x14ac:dyDescent="0.2">
      <c r="C272" s="303"/>
      <c r="G272" s="317"/>
      <c r="H272" s="303"/>
    </row>
    <row r="273" spans="3:8" ht="15.75" customHeight="1" x14ac:dyDescent="0.2">
      <c r="C273" s="303"/>
      <c r="G273" s="317"/>
      <c r="H273" s="303"/>
    </row>
    <row r="274" spans="3:8" ht="15.75" customHeight="1" x14ac:dyDescent="0.2">
      <c r="C274" s="303"/>
      <c r="G274" s="317"/>
      <c r="H274" s="303"/>
    </row>
    <row r="275" spans="3:8" ht="15.75" customHeight="1" x14ac:dyDescent="0.2">
      <c r="C275" s="303"/>
      <c r="G275" s="317"/>
      <c r="H275" s="303"/>
    </row>
    <row r="276" spans="3:8" ht="15.75" customHeight="1" x14ac:dyDescent="0.2">
      <c r="C276" s="303"/>
      <c r="G276" s="317"/>
      <c r="H276" s="303"/>
    </row>
    <row r="277" spans="3:8" ht="15.75" customHeight="1" x14ac:dyDescent="0.2">
      <c r="C277" s="303"/>
      <c r="G277" s="317"/>
      <c r="H277" s="303"/>
    </row>
    <row r="278" spans="3:8" ht="15.75" customHeight="1" x14ac:dyDescent="0.2">
      <c r="C278" s="303"/>
      <c r="G278" s="317"/>
      <c r="H278" s="303"/>
    </row>
    <row r="279" spans="3:8" ht="15.75" customHeight="1" x14ac:dyDescent="0.2">
      <c r="C279" s="303"/>
      <c r="G279" s="317"/>
      <c r="H279" s="303"/>
    </row>
    <row r="280" spans="3:8" ht="15.75" customHeight="1" x14ac:dyDescent="0.2">
      <c r="C280" s="303"/>
      <c r="G280" s="317"/>
      <c r="H280" s="303"/>
    </row>
    <row r="281" spans="3:8" ht="15.75" customHeight="1" x14ac:dyDescent="0.2">
      <c r="C281" s="303"/>
      <c r="G281" s="317"/>
      <c r="H281" s="303"/>
    </row>
    <row r="282" spans="3:8" ht="15.75" customHeight="1" x14ac:dyDescent="0.2">
      <c r="C282" s="303"/>
      <c r="G282" s="317"/>
      <c r="H282" s="303"/>
    </row>
    <row r="283" spans="3:8" ht="15.75" customHeight="1" x14ac:dyDescent="0.2">
      <c r="C283" s="303"/>
      <c r="G283" s="317"/>
      <c r="H283" s="303"/>
    </row>
    <row r="284" spans="3:8" ht="15.75" customHeight="1" x14ac:dyDescent="0.2">
      <c r="C284" s="303"/>
      <c r="G284" s="317"/>
      <c r="H284" s="303"/>
    </row>
    <row r="285" spans="3:8" ht="15.75" customHeight="1" x14ac:dyDescent="0.2">
      <c r="C285" s="303"/>
      <c r="G285" s="317"/>
      <c r="H285" s="303"/>
    </row>
    <row r="286" spans="3:8" ht="15.75" customHeight="1" x14ac:dyDescent="0.2">
      <c r="C286" s="303"/>
      <c r="G286" s="317"/>
      <c r="H286" s="303"/>
    </row>
    <row r="287" spans="3:8" ht="15.75" customHeight="1" x14ac:dyDescent="0.2">
      <c r="C287" s="303"/>
      <c r="G287" s="317"/>
      <c r="H287" s="303"/>
    </row>
    <row r="288" spans="3:8" ht="15.75" customHeight="1" x14ac:dyDescent="0.2">
      <c r="C288" s="303"/>
      <c r="G288" s="317"/>
      <c r="H288" s="303"/>
    </row>
    <row r="289" spans="3:8" ht="15.75" customHeight="1" x14ac:dyDescent="0.2">
      <c r="C289" s="303"/>
      <c r="G289" s="317"/>
      <c r="H289" s="303"/>
    </row>
    <row r="290" spans="3:8" ht="15.75" customHeight="1" x14ac:dyDescent="0.2">
      <c r="C290" s="303"/>
      <c r="G290" s="317"/>
      <c r="H290" s="303"/>
    </row>
    <row r="291" spans="3:8" ht="15.75" customHeight="1" x14ac:dyDescent="0.2">
      <c r="C291" s="303"/>
      <c r="G291" s="317"/>
      <c r="H291" s="303"/>
    </row>
    <row r="292" spans="3:8" ht="15.75" customHeight="1" x14ac:dyDescent="0.2">
      <c r="C292" s="303"/>
      <c r="G292" s="317"/>
      <c r="H292" s="303"/>
    </row>
    <row r="293" spans="3:8" ht="15.75" customHeight="1" x14ac:dyDescent="0.2">
      <c r="C293" s="303"/>
      <c r="G293" s="317"/>
      <c r="H293" s="303"/>
    </row>
    <row r="294" spans="3:8" ht="15.75" customHeight="1" x14ac:dyDescent="0.2">
      <c r="C294" s="303"/>
      <c r="G294" s="317"/>
      <c r="H294" s="303"/>
    </row>
    <row r="295" spans="3:8" ht="15.75" customHeight="1" x14ac:dyDescent="0.2">
      <c r="C295" s="303"/>
      <c r="G295" s="317"/>
      <c r="H295" s="303"/>
    </row>
    <row r="296" spans="3:8" ht="15.75" customHeight="1" x14ac:dyDescent="0.2">
      <c r="C296" s="303"/>
      <c r="G296" s="317"/>
      <c r="H296" s="303"/>
    </row>
    <row r="297" spans="3:8" ht="15.75" customHeight="1" x14ac:dyDescent="0.2">
      <c r="C297" s="303"/>
      <c r="G297" s="317"/>
      <c r="H297" s="303"/>
    </row>
    <row r="298" spans="3:8" ht="15.75" customHeight="1" x14ac:dyDescent="0.2">
      <c r="C298" s="303"/>
      <c r="G298" s="317"/>
      <c r="H298" s="303"/>
    </row>
    <row r="299" spans="3:8" ht="15.75" customHeight="1" x14ac:dyDescent="0.2">
      <c r="C299" s="303"/>
      <c r="G299" s="317"/>
      <c r="H299" s="303"/>
    </row>
    <row r="300" spans="3:8" ht="15.75" customHeight="1" x14ac:dyDescent="0.2">
      <c r="C300" s="303"/>
      <c r="G300" s="317"/>
      <c r="H300" s="303"/>
    </row>
    <row r="301" spans="3:8" ht="15.75" customHeight="1" x14ac:dyDescent="0.2">
      <c r="C301" s="303"/>
      <c r="G301" s="317"/>
      <c r="H301" s="303"/>
    </row>
    <row r="302" spans="3:8" ht="15.75" customHeight="1" x14ac:dyDescent="0.2">
      <c r="C302" s="303"/>
      <c r="G302" s="317"/>
      <c r="H302" s="303"/>
    </row>
    <row r="303" spans="3:8" ht="15.75" customHeight="1" x14ac:dyDescent="0.2">
      <c r="C303" s="303"/>
      <c r="G303" s="317"/>
      <c r="H303" s="303"/>
    </row>
    <row r="304" spans="3:8" ht="15.75" customHeight="1" x14ac:dyDescent="0.2">
      <c r="C304" s="303"/>
      <c r="G304" s="317"/>
      <c r="H304" s="303"/>
    </row>
    <row r="305" spans="3:8" ht="15.75" customHeight="1" x14ac:dyDescent="0.2">
      <c r="C305" s="303"/>
      <c r="G305" s="317"/>
      <c r="H305" s="303"/>
    </row>
    <row r="306" spans="3:8" ht="15.75" customHeight="1" x14ac:dyDescent="0.2">
      <c r="C306" s="303"/>
      <c r="G306" s="317"/>
      <c r="H306" s="303"/>
    </row>
    <row r="307" spans="3:8" ht="15.75" customHeight="1" x14ac:dyDescent="0.2">
      <c r="C307" s="303"/>
      <c r="G307" s="317"/>
      <c r="H307" s="303"/>
    </row>
    <row r="308" spans="3:8" ht="15.75" customHeight="1" x14ac:dyDescent="0.2">
      <c r="C308" s="303"/>
      <c r="G308" s="317"/>
      <c r="H308" s="303"/>
    </row>
    <row r="309" spans="3:8" ht="15.75" customHeight="1" x14ac:dyDescent="0.2">
      <c r="C309" s="303"/>
      <c r="G309" s="317"/>
      <c r="H309" s="303"/>
    </row>
    <row r="310" spans="3:8" ht="15.75" customHeight="1" x14ac:dyDescent="0.2">
      <c r="C310" s="303"/>
      <c r="G310" s="317"/>
      <c r="H310" s="303"/>
    </row>
    <row r="311" spans="3:8" ht="15.75" customHeight="1" x14ac:dyDescent="0.2">
      <c r="C311" s="303"/>
      <c r="G311" s="317"/>
      <c r="H311" s="303"/>
    </row>
    <row r="312" spans="3:8" ht="15.75" customHeight="1" x14ac:dyDescent="0.2">
      <c r="C312" s="303"/>
      <c r="G312" s="317"/>
      <c r="H312" s="303"/>
    </row>
    <row r="313" spans="3:8" ht="15.75" customHeight="1" x14ac:dyDescent="0.2">
      <c r="C313" s="303"/>
      <c r="G313" s="317"/>
      <c r="H313" s="303"/>
    </row>
    <row r="314" spans="3:8" ht="15.75" customHeight="1" x14ac:dyDescent="0.2">
      <c r="C314" s="303"/>
      <c r="G314" s="317"/>
      <c r="H314" s="303"/>
    </row>
    <row r="315" spans="3:8" ht="15.75" customHeight="1" x14ac:dyDescent="0.2">
      <c r="C315" s="303"/>
      <c r="G315" s="317"/>
      <c r="H315" s="303"/>
    </row>
    <row r="316" spans="3:8" ht="15.75" customHeight="1" x14ac:dyDescent="0.2">
      <c r="C316" s="303"/>
      <c r="G316" s="317"/>
      <c r="H316" s="303"/>
    </row>
    <row r="317" spans="3:8" ht="15.75" customHeight="1" x14ac:dyDescent="0.2">
      <c r="C317" s="303"/>
      <c r="G317" s="317"/>
      <c r="H317" s="303"/>
    </row>
    <row r="318" spans="3:8" ht="15.75" customHeight="1" x14ac:dyDescent="0.2">
      <c r="C318" s="303"/>
      <c r="G318" s="317"/>
      <c r="H318" s="303"/>
    </row>
    <row r="319" spans="3:8" ht="15.75" customHeight="1" x14ac:dyDescent="0.2">
      <c r="C319" s="303"/>
      <c r="G319" s="317"/>
      <c r="H319" s="303"/>
    </row>
    <row r="320" spans="3:8" ht="15.75" customHeight="1" x14ac:dyDescent="0.2">
      <c r="C320" s="303"/>
      <c r="G320" s="317"/>
      <c r="H320" s="303"/>
    </row>
    <row r="321" spans="3:8" ht="15.75" customHeight="1" x14ac:dyDescent="0.2">
      <c r="C321" s="303"/>
      <c r="G321" s="317"/>
      <c r="H321" s="303"/>
    </row>
    <row r="322" spans="3:8" ht="15.75" customHeight="1" x14ac:dyDescent="0.2">
      <c r="C322" s="303"/>
      <c r="G322" s="317"/>
      <c r="H322" s="303"/>
    </row>
    <row r="323" spans="3:8" ht="15.75" customHeight="1" x14ac:dyDescent="0.2">
      <c r="C323" s="303"/>
      <c r="G323" s="317"/>
      <c r="H323" s="303"/>
    </row>
    <row r="324" spans="3:8" ht="15.75" customHeight="1" x14ac:dyDescent="0.2">
      <c r="C324" s="303"/>
      <c r="G324" s="317"/>
      <c r="H324" s="303"/>
    </row>
    <row r="325" spans="3:8" ht="15.75" customHeight="1" x14ac:dyDescent="0.2">
      <c r="C325" s="303"/>
      <c r="G325" s="317"/>
      <c r="H325" s="303"/>
    </row>
    <row r="326" spans="3:8" ht="15.75" customHeight="1" x14ac:dyDescent="0.2">
      <c r="C326" s="303"/>
      <c r="G326" s="317"/>
      <c r="H326" s="303"/>
    </row>
    <row r="327" spans="3:8" ht="15.75" customHeight="1" x14ac:dyDescent="0.2">
      <c r="C327" s="303"/>
      <c r="G327" s="317"/>
      <c r="H327" s="303"/>
    </row>
    <row r="328" spans="3:8" ht="15.75" customHeight="1" x14ac:dyDescent="0.2">
      <c r="C328" s="303"/>
      <c r="G328" s="317"/>
      <c r="H328" s="303"/>
    </row>
    <row r="329" spans="3:8" ht="15.75" customHeight="1" x14ac:dyDescent="0.2">
      <c r="C329" s="303"/>
      <c r="G329" s="317"/>
      <c r="H329" s="303"/>
    </row>
    <row r="330" spans="3:8" ht="15.75" customHeight="1" x14ac:dyDescent="0.2">
      <c r="C330" s="303"/>
      <c r="G330" s="317"/>
      <c r="H330" s="303"/>
    </row>
    <row r="331" spans="3:8" ht="15.75" customHeight="1" x14ac:dyDescent="0.2">
      <c r="C331" s="303"/>
      <c r="G331" s="317"/>
      <c r="H331" s="303"/>
    </row>
    <row r="332" spans="3:8" ht="15.75" customHeight="1" x14ac:dyDescent="0.2">
      <c r="C332" s="303"/>
      <c r="G332" s="317"/>
      <c r="H332" s="303"/>
    </row>
    <row r="333" spans="3:8" ht="15.75" customHeight="1" x14ac:dyDescent="0.2">
      <c r="C333" s="303"/>
      <c r="G333" s="317"/>
      <c r="H333" s="303"/>
    </row>
    <row r="334" spans="3:8" ht="15.75" customHeight="1" x14ac:dyDescent="0.2">
      <c r="C334" s="303"/>
      <c r="G334" s="317"/>
      <c r="H334" s="303"/>
    </row>
    <row r="335" spans="3:8" ht="15.75" customHeight="1" x14ac:dyDescent="0.2">
      <c r="C335" s="303"/>
      <c r="G335" s="317"/>
      <c r="H335" s="303"/>
    </row>
    <row r="336" spans="3:8" ht="15.75" customHeight="1" x14ac:dyDescent="0.2">
      <c r="C336" s="303"/>
      <c r="G336" s="317"/>
      <c r="H336" s="303"/>
    </row>
    <row r="337" spans="3:8" ht="15.75" customHeight="1" x14ac:dyDescent="0.2">
      <c r="C337" s="303"/>
      <c r="G337" s="317"/>
      <c r="H337" s="303"/>
    </row>
    <row r="338" spans="3:8" ht="15.75" customHeight="1" x14ac:dyDescent="0.2">
      <c r="C338" s="303"/>
      <c r="G338" s="317"/>
      <c r="H338" s="303"/>
    </row>
    <row r="339" spans="3:8" ht="15.75" customHeight="1" x14ac:dyDescent="0.2">
      <c r="C339" s="303"/>
      <c r="G339" s="317"/>
      <c r="H339" s="303"/>
    </row>
    <row r="340" spans="3:8" ht="15.75" customHeight="1" x14ac:dyDescent="0.2">
      <c r="C340" s="303"/>
      <c r="G340" s="317"/>
      <c r="H340" s="303"/>
    </row>
    <row r="341" spans="3:8" ht="15.75" customHeight="1" x14ac:dyDescent="0.2">
      <c r="C341" s="303"/>
      <c r="G341" s="317"/>
      <c r="H341" s="303"/>
    </row>
    <row r="342" spans="3:8" ht="15.75" customHeight="1" x14ac:dyDescent="0.2">
      <c r="C342" s="303"/>
      <c r="G342" s="317"/>
      <c r="H342" s="303"/>
    </row>
    <row r="343" spans="3:8" ht="15.75" customHeight="1" x14ac:dyDescent="0.2">
      <c r="C343" s="303"/>
      <c r="G343" s="317"/>
      <c r="H343" s="303"/>
    </row>
    <row r="344" spans="3:8" ht="15.75" customHeight="1" x14ac:dyDescent="0.2">
      <c r="C344" s="303"/>
      <c r="G344" s="317"/>
      <c r="H344" s="303"/>
    </row>
    <row r="345" spans="3:8" ht="15.75" customHeight="1" x14ac:dyDescent="0.2">
      <c r="C345" s="303"/>
      <c r="G345" s="317"/>
      <c r="H345" s="303"/>
    </row>
    <row r="346" spans="3:8" ht="15.75" customHeight="1" x14ac:dyDescent="0.2">
      <c r="C346" s="303"/>
      <c r="G346" s="317"/>
      <c r="H346" s="303"/>
    </row>
    <row r="347" spans="3:8" ht="15.75" customHeight="1" x14ac:dyDescent="0.2">
      <c r="C347" s="303"/>
      <c r="G347" s="317"/>
      <c r="H347" s="303"/>
    </row>
    <row r="348" spans="3:8" ht="15.75" customHeight="1" x14ac:dyDescent="0.2">
      <c r="C348" s="303"/>
      <c r="G348" s="317"/>
      <c r="H348" s="303"/>
    </row>
    <row r="349" spans="3:8" ht="15.75" customHeight="1" x14ac:dyDescent="0.2">
      <c r="C349" s="303"/>
      <c r="G349" s="317"/>
      <c r="H349" s="303"/>
    </row>
    <row r="350" spans="3:8" ht="15.75" customHeight="1" x14ac:dyDescent="0.2">
      <c r="C350" s="303"/>
      <c r="G350" s="317"/>
      <c r="H350" s="303"/>
    </row>
    <row r="351" spans="3:8" ht="15.75" customHeight="1" x14ac:dyDescent="0.2">
      <c r="C351" s="303"/>
      <c r="G351" s="317"/>
      <c r="H351" s="303"/>
    </row>
    <row r="352" spans="3:8" ht="15.75" customHeight="1" x14ac:dyDescent="0.2">
      <c r="C352" s="303"/>
      <c r="G352" s="317"/>
      <c r="H352" s="303"/>
    </row>
    <row r="353" spans="3:8" ht="15.75" customHeight="1" x14ac:dyDescent="0.2">
      <c r="C353" s="303"/>
      <c r="G353" s="317"/>
      <c r="H353" s="303"/>
    </row>
    <row r="354" spans="3:8" ht="15.75" customHeight="1" x14ac:dyDescent="0.2">
      <c r="C354" s="303"/>
      <c r="G354" s="317"/>
      <c r="H354" s="303"/>
    </row>
    <row r="355" spans="3:8" ht="15.75" customHeight="1" x14ac:dyDescent="0.2">
      <c r="C355" s="303"/>
      <c r="G355" s="317"/>
      <c r="H355" s="303"/>
    </row>
    <row r="356" spans="3:8" ht="15.75" customHeight="1" x14ac:dyDescent="0.2">
      <c r="C356" s="303"/>
      <c r="G356" s="317"/>
      <c r="H356" s="303"/>
    </row>
    <row r="357" spans="3:8" ht="15.75" customHeight="1" x14ac:dyDescent="0.2">
      <c r="C357" s="303"/>
      <c r="G357" s="317"/>
      <c r="H357" s="303"/>
    </row>
    <row r="358" spans="3:8" ht="15.75" customHeight="1" x14ac:dyDescent="0.2">
      <c r="C358" s="303"/>
      <c r="G358" s="317"/>
      <c r="H358" s="303"/>
    </row>
    <row r="359" spans="3:8" ht="15.75" customHeight="1" x14ac:dyDescent="0.2">
      <c r="C359" s="303"/>
      <c r="G359" s="317"/>
      <c r="H359" s="303"/>
    </row>
    <row r="360" spans="3:8" ht="15.75" customHeight="1" x14ac:dyDescent="0.2">
      <c r="C360" s="303"/>
      <c r="G360" s="317"/>
      <c r="H360" s="303"/>
    </row>
    <row r="361" spans="3:8" ht="15.75" customHeight="1" x14ac:dyDescent="0.2">
      <c r="C361" s="303"/>
      <c r="G361" s="317"/>
      <c r="H361" s="303"/>
    </row>
    <row r="362" spans="3:8" ht="15.75" customHeight="1" x14ac:dyDescent="0.2">
      <c r="C362" s="303"/>
      <c r="G362" s="317"/>
      <c r="H362" s="303"/>
    </row>
    <row r="363" spans="3:8" ht="15.75" customHeight="1" x14ac:dyDescent="0.2">
      <c r="C363" s="303"/>
      <c r="G363" s="317"/>
      <c r="H363" s="303"/>
    </row>
    <row r="364" spans="3:8" ht="15.75" customHeight="1" x14ac:dyDescent="0.2">
      <c r="C364" s="303"/>
      <c r="G364" s="317"/>
      <c r="H364" s="303"/>
    </row>
    <row r="365" spans="3:8" ht="15.75" customHeight="1" x14ac:dyDescent="0.2">
      <c r="C365" s="303"/>
      <c r="G365" s="317"/>
      <c r="H365" s="303"/>
    </row>
    <row r="366" spans="3:8" ht="15.75" customHeight="1" x14ac:dyDescent="0.2">
      <c r="C366" s="303"/>
      <c r="G366" s="317"/>
      <c r="H366" s="303"/>
    </row>
    <row r="367" spans="3:8" ht="15.75" customHeight="1" x14ac:dyDescent="0.2">
      <c r="C367" s="303"/>
      <c r="G367" s="317"/>
      <c r="H367" s="303"/>
    </row>
    <row r="368" spans="3:8" ht="15.75" customHeight="1" x14ac:dyDescent="0.2">
      <c r="C368" s="303"/>
      <c r="G368" s="317"/>
      <c r="H368" s="303"/>
    </row>
    <row r="369" spans="3:8" ht="15.75" customHeight="1" x14ac:dyDescent="0.2">
      <c r="C369" s="303"/>
      <c r="G369" s="317"/>
      <c r="H369" s="303"/>
    </row>
    <row r="370" spans="3:8" ht="15.75" customHeight="1" x14ac:dyDescent="0.2">
      <c r="C370" s="303"/>
      <c r="G370" s="317"/>
      <c r="H370" s="303"/>
    </row>
    <row r="371" spans="3:8" ht="15.75" customHeight="1" x14ac:dyDescent="0.2">
      <c r="C371" s="303"/>
      <c r="G371" s="317"/>
      <c r="H371" s="303"/>
    </row>
    <row r="372" spans="3:8" ht="15.75" customHeight="1" x14ac:dyDescent="0.2">
      <c r="C372" s="303"/>
      <c r="G372" s="317"/>
      <c r="H372" s="303"/>
    </row>
    <row r="373" spans="3:8" ht="15.75" customHeight="1" x14ac:dyDescent="0.2">
      <c r="C373" s="303"/>
      <c r="G373" s="317"/>
      <c r="H373" s="303"/>
    </row>
    <row r="374" spans="3:8" ht="15.75" customHeight="1" x14ac:dyDescent="0.2">
      <c r="C374" s="303"/>
      <c r="G374" s="317"/>
      <c r="H374" s="303"/>
    </row>
    <row r="375" spans="3:8" ht="15.75" customHeight="1" x14ac:dyDescent="0.2">
      <c r="C375" s="303"/>
      <c r="G375" s="317"/>
      <c r="H375" s="303"/>
    </row>
    <row r="376" spans="3:8" ht="15.75" customHeight="1" x14ac:dyDescent="0.2">
      <c r="C376" s="303"/>
      <c r="G376" s="317"/>
      <c r="H376" s="303"/>
    </row>
    <row r="377" spans="3:8" ht="15.75" customHeight="1" x14ac:dyDescent="0.2">
      <c r="C377" s="303"/>
      <c r="G377" s="317"/>
      <c r="H377" s="303"/>
    </row>
    <row r="378" spans="3:8" ht="15.75" customHeight="1" x14ac:dyDescent="0.2">
      <c r="C378" s="303"/>
      <c r="G378" s="317"/>
      <c r="H378" s="303"/>
    </row>
    <row r="379" spans="3:8" ht="15.75" customHeight="1" x14ac:dyDescent="0.2">
      <c r="C379" s="303"/>
      <c r="G379" s="317"/>
      <c r="H379" s="303"/>
    </row>
    <row r="380" spans="3:8" ht="15.75" customHeight="1" x14ac:dyDescent="0.2">
      <c r="C380" s="303"/>
      <c r="G380" s="317"/>
      <c r="H380" s="303"/>
    </row>
    <row r="381" spans="3:8" ht="15.75" customHeight="1" x14ac:dyDescent="0.2">
      <c r="C381" s="303"/>
      <c r="G381" s="317"/>
      <c r="H381" s="303"/>
    </row>
    <row r="382" spans="3:8" ht="15.75" customHeight="1" x14ac:dyDescent="0.2">
      <c r="C382" s="303"/>
      <c r="G382" s="317"/>
      <c r="H382" s="303"/>
    </row>
    <row r="383" spans="3:8" ht="15.75" customHeight="1" x14ac:dyDescent="0.2">
      <c r="C383" s="303"/>
      <c r="G383" s="317"/>
      <c r="H383" s="303"/>
    </row>
    <row r="384" spans="3:8" ht="15.75" customHeight="1" x14ac:dyDescent="0.2">
      <c r="C384" s="303"/>
      <c r="G384" s="317"/>
      <c r="H384" s="303"/>
    </row>
    <row r="385" spans="3:8" ht="15.75" customHeight="1" x14ac:dyDescent="0.2">
      <c r="C385" s="303"/>
      <c r="G385" s="317"/>
      <c r="H385" s="303"/>
    </row>
    <row r="386" spans="3:8" ht="15.75" customHeight="1" x14ac:dyDescent="0.2">
      <c r="C386" s="303"/>
      <c r="G386" s="317"/>
      <c r="H386" s="303"/>
    </row>
    <row r="387" spans="3:8" ht="15.75" customHeight="1" x14ac:dyDescent="0.2">
      <c r="C387" s="303"/>
      <c r="G387" s="317"/>
      <c r="H387" s="303"/>
    </row>
    <row r="388" spans="3:8" ht="15.75" customHeight="1" x14ac:dyDescent="0.2">
      <c r="C388" s="303"/>
      <c r="G388" s="317"/>
      <c r="H388" s="303"/>
    </row>
    <row r="389" spans="3:8" ht="15.75" customHeight="1" x14ac:dyDescent="0.2">
      <c r="C389" s="303"/>
      <c r="G389" s="317"/>
      <c r="H389" s="303"/>
    </row>
    <row r="390" spans="3:8" ht="15.75" customHeight="1" x14ac:dyDescent="0.2">
      <c r="C390" s="303"/>
      <c r="G390" s="317"/>
      <c r="H390" s="303"/>
    </row>
    <row r="391" spans="3:8" ht="15.75" customHeight="1" x14ac:dyDescent="0.2">
      <c r="C391" s="303"/>
      <c r="G391" s="317"/>
      <c r="H391" s="303"/>
    </row>
    <row r="392" spans="3:8" ht="15.75" customHeight="1" x14ac:dyDescent="0.2">
      <c r="C392" s="303"/>
      <c r="G392" s="317"/>
      <c r="H392" s="303"/>
    </row>
    <row r="393" spans="3:8" ht="15.75" customHeight="1" x14ac:dyDescent="0.2">
      <c r="C393" s="303"/>
      <c r="G393" s="317"/>
      <c r="H393" s="303"/>
    </row>
    <row r="394" spans="3:8" ht="15.75" customHeight="1" x14ac:dyDescent="0.2">
      <c r="C394" s="303"/>
      <c r="G394" s="317"/>
      <c r="H394" s="303"/>
    </row>
    <row r="395" spans="3:8" ht="15.75" customHeight="1" x14ac:dyDescent="0.2">
      <c r="C395" s="303"/>
      <c r="G395" s="317"/>
      <c r="H395" s="303"/>
    </row>
    <row r="396" spans="3:8" ht="15.75" customHeight="1" x14ac:dyDescent="0.2">
      <c r="C396" s="303"/>
      <c r="G396" s="317"/>
      <c r="H396" s="303"/>
    </row>
    <row r="397" spans="3:8" ht="15.75" customHeight="1" x14ac:dyDescent="0.2">
      <c r="C397" s="303"/>
      <c r="G397" s="317"/>
      <c r="H397" s="303"/>
    </row>
    <row r="398" spans="3:8" ht="15.75" customHeight="1" x14ac:dyDescent="0.2">
      <c r="C398" s="303"/>
      <c r="G398" s="317"/>
      <c r="H398" s="303"/>
    </row>
    <row r="399" spans="3:8" ht="15.75" customHeight="1" x14ac:dyDescent="0.2">
      <c r="C399" s="303"/>
      <c r="G399" s="317"/>
      <c r="H399" s="303"/>
    </row>
    <row r="400" spans="3:8" ht="15.75" customHeight="1" x14ac:dyDescent="0.2">
      <c r="C400" s="303"/>
      <c r="G400" s="317"/>
      <c r="H400" s="303"/>
    </row>
    <row r="401" spans="3:8" ht="15.75" customHeight="1" x14ac:dyDescent="0.2">
      <c r="C401" s="303"/>
      <c r="G401" s="317"/>
      <c r="H401" s="303"/>
    </row>
    <row r="402" spans="3:8" ht="15.75" customHeight="1" x14ac:dyDescent="0.2">
      <c r="C402" s="303"/>
      <c r="G402" s="317"/>
      <c r="H402" s="303"/>
    </row>
    <row r="403" spans="3:8" ht="15.75" customHeight="1" x14ac:dyDescent="0.2">
      <c r="C403" s="303"/>
      <c r="G403" s="317"/>
      <c r="H403" s="303"/>
    </row>
    <row r="404" spans="3:8" ht="15.75" customHeight="1" x14ac:dyDescent="0.2">
      <c r="C404" s="303"/>
      <c r="G404" s="317"/>
      <c r="H404" s="303"/>
    </row>
    <row r="405" spans="3:8" ht="15.75" customHeight="1" x14ac:dyDescent="0.2">
      <c r="C405" s="303"/>
      <c r="G405" s="317"/>
      <c r="H405" s="303"/>
    </row>
    <row r="406" spans="3:8" ht="15.75" customHeight="1" x14ac:dyDescent="0.2">
      <c r="C406" s="303"/>
      <c r="G406" s="317"/>
      <c r="H406" s="303"/>
    </row>
    <row r="407" spans="3:8" ht="15.75" customHeight="1" x14ac:dyDescent="0.2">
      <c r="C407" s="303"/>
      <c r="G407" s="317"/>
      <c r="H407" s="303"/>
    </row>
    <row r="408" spans="3:8" ht="15.75" customHeight="1" x14ac:dyDescent="0.2">
      <c r="C408" s="303"/>
      <c r="G408" s="317"/>
      <c r="H408" s="303"/>
    </row>
    <row r="409" spans="3:8" ht="15.75" customHeight="1" x14ac:dyDescent="0.2">
      <c r="C409" s="303"/>
      <c r="G409" s="317"/>
      <c r="H409" s="303"/>
    </row>
    <row r="410" spans="3:8" ht="15.75" customHeight="1" x14ac:dyDescent="0.2">
      <c r="C410" s="303"/>
      <c r="G410" s="317"/>
      <c r="H410" s="303"/>
    </row>
    <row r="411" spans="3:8" ht="15.75" customHeight="1" x14ac:dyDescent="0.2">
      <c r="C411" s="303"/>
      <c r="G411" s="317"/>
      <c r="H411" s="303"/>
    </row>
    <row r="412" spans="3:8" ht="15.75" customHeight="1" x14ac:dyDescent="0.2">
      <c r="C412" s="303"/>
      <c r="G412" s="317"/>
      <c r="H412" s="303"/>
    </row>
    <row r="413" spans="3:8" ht="15.75" customHeight="1" x14ac:dyDescent="0.2">
      <c r="C413" s="303"/>
      <c r="G413" s="317"/>
      <c r="H413" s="303"/>
    </row>
    <row r="414" spans="3:8" ht="15.75" customHeight="1" x14ac:dyDescent="0.2">
      <c r="C414" s="303"/>
      <c r="G414" s="317"/>
      <c r="H414" s="303"/>
    </row>
    <row r="415" spans="3:8" ht="15.75" customHeight="1" x14ac:dyDescent="0.2">
      <c r="C415" s="303"/>
      <c r="G415" s="317"/>
      <c r="H415" s="303"/>
    </row>
    <row r="416" spans="3:8" ht="15.75" customHeight="1" x14ac:dyDescent="0.2">
      <c r="C416" s="303"/>
      <c r="G416" s="317"/>
      <c r="H416" s="303"/>
    </row>
    <row r="417" spans="3:8" ht="15.75" customHeight="1" x14ac:dyDescent="0.2">
      <c r="C417" s="303"/>
      <c r="G417" s="317"/>
      <c r="H417" s="303"/>
    </row>
    <row r="418" spans="3:8" ht="15.75" customHeight="1" x14ac:dyDescent="0.2">
      <c r="C418" s="303"/>
      <c r="G418" s="317"/>
      <c r="H418" s="303"/>
    </row>
    <row r="419" spans="3:8" ht="15.75" customHeight="1" x14ac:dyDescent="0.2">
      <c r="C419" s="303"/>
      <c r="G419" s="317"/>
      <c r="H419" s="303"/>
    </row>
    <row r="420" spans="3:8" ht="15.75" customHeight="1" x14ac:dyDescent="0.2">
      <c r="C420" s="303"/>
      <c r="G420" s="317"/>
      <c r="H420" s="303"/>
    </row>
    <row r="421" spans="3:8" ht="15.75" customHeight="1" x14ac:dyDescent="0.2">
      <c r="C421" s="303"/>
      <c r="G421" s="317"/>
      <c r="H421" s="303"/>
    </row>
    <row r="422" spans="3:8" ht="15.75" customHeight="1" x14ac:dyDescent="0.2">
      <c r="C422" s="303"/>
      <c r="G422" s="317"/>
      <c r="H422" s="303"/>
    </row>
    <row r="423" spans="3:8" ht="15.75" customHeight="1" x14ac:dyDescent="0.2">
      <c r="C423" s="303"/>
      <c r="G423" s="317"/>
      <c r="H423" s="303"/>
    </row>
    <row r="424" spans="3:8" ht="15.75" customHeight="1" x14ac:dyDescent="0.2">
      <c r="C424" s="303"/>
      <c r="G424" s="317"/>
      <c r="H424" s="303"/>
    </row>
    <row r="425" spans="3:8" ht="15.75" customHeight="1" x14ac:dyDescent="0.2">
      <c r="C425" s="303"/>
      <c r="G425" s="317"/>
      <c r="H425" s="303"/>
    </row>
    <row r="426" spans="3:8" ht="15.75" customHeight="1" x14ac:dyDescent="0.2">
      <c r="C426" s="303"/>
      <c r="G426" s="317"/>
      <c r="H426" s="303"/>
    </row>
    <row r="427" spans="3:8" ht="15.75" customHeight="1" x14ac:dyDescent="0.2">
      <c r="C427" s="303"/>
      <c r="G427" s="317"/>
      <c r="H427" s="303"/>
    </row>
    <row r="428" spans="3:8" ht="15.75" customHeight="1" x14ac:dyDescent="0.2">
      <c r="C428" s="303"/>
      <c r="G428" s="317"/>
      <c r="H428" s="303"/>
    </row>
    <row r="429" spans="3:8" ht="15.75" customHeight="1" x14ac:dyDescent="0.2">
      <c r="C429" s="303"/>
      <c r="G429" s="317"/>
      <c r="H429" s="303"/>
    </row>
    <row r="430" spans="3:8" ht="15.75" customHeight="1" x14ac:dyDescent="0.2">
      <c r="C430" s="303"/>
      <c r="G430" s="317"/>
      <c r="H430" s="303"/>
    </row>
    <row r="431" spans="3:8" ht="15.75" customHeight="1" x14ac:dyDescent="0.2">
      <c r="C431" s="303"/>
      <c r="G431" s="317"/>
      <c r="H431" s="303"/>
    </row>
    <row r="432" spans="3:8" ht="15.75" customHeight="1" x14ac:dyDescent="0.2">
      <c r="C432" s="303"/>
      <c r="G432" s="317"/>
      <c r="H432" s="303"/>
    </row>
    <row r="433" spans="3:8" ht="15.75" customHeight="1" x14ac:dyDescent="0.2">
      <c r="C433" s="303"/>
      <c r="G433" s="317"/>
      <c r="H433" s="303"/>
    </row>
    <row r="434" spans="3:8" ht="15.75" customHeight="1" x14ac:dyDescent="0.2">
      <c r="C434" s="303"/>
      <c r="G434" s="317"/>
      <c r="H434" s="303"/>
    </row>
    <row r="435" spans="3:8" ht="15.75" customHeight="1" x14ac:dyDescent="0.2">
      <c r="C435" s="303"/>
      <c r="G435" s="317"/>
      <c r="H435" s="303"/>
    </row>
    <row r="436" spans="3:8" ht="15.75" customHeight="1" x14ac:dyDescent="0.2">
      <c r="C436" s="303"/>
      <c r="G436" s="317"/>
      <c r="H436" s="303"/>
    </row>
    <row r="437" spans="3:8" ht="15.75" customHeight="1" x14ac:dyDescent="0.2">
      <c r="C437" s="303"/>
      <c r="G437" s="317"/>
      <c r="H437" s="303"/>
    </row>
    <row r="438" spans="3:8" ht="15.75" customHeight="1" x14ac:dyDescent="0.2">
      <c r="C438" s="303"/>
      <c r="G438" s="317"/>
      <c r="H438" s="303"/>
    </row>
    <row r="439" spans="3:8" ht="15.75" customHeight="1" x14ac:dyDescent="0.2">
      <c r="C439" s="303"/>
      <c r="G439" s="317"/>
      <c r="H439" s="303"/>
    </row>
    <row r="440" spans="3:8" ht="15.75" customHeight="1" x14ac:dyDescent="0.2">
      <c r="C440" s="303"/>
      <c r="G440" s="317"/>
      <c r="H440" s="303"/>
    </row>
    <row r="441" spans="3:8" ht="15.75" customHeight="1" x14ac:dyDescent="0.2">
      <c r="C441" s="303"/>
      <c r="G441" s="317"/>
      <c r="H441" s="303"/>
    </row>
    <row r="442" spans="3:8" ht="15.75" customHeight="1" x14ac:dyDescent="0.2">
      <c r="C442" s="303"/>
      <c r="G442" s="317"/>
      <c r="H442" s="303"/>
    </row>
    <row r="443" spans="3:8" ht="15.75" customHeight="1" x14ac:dyDescent="0.2">
      <c r="C443" s="303"/>
      <c r="G443" s="317"/>
      <c r="H443" s="303"/>
    </row>
    <row r="444" spans="3:8" ht="15.75" customHeight="1" x14ac:dyDescent="0.2">
      <c r="C444" s="303"/>
      <c r="G444" s="317"/>
      <c r="H444" s="303"/>
    </row>
    <row r="445" spans="3:8" ht="15.75" customHeight="1" x14ac:dyDescent="0.2">
      <c r="C445" s="303"/>
      <c r="G445" s="317"/>
      <c r="H445" s="303"/>
    </row>
    <row r="446" spans="3:8" ht="15.75" customHeight="1" x14ac:dyDescent="0.2">
      <c r="C446" s="303"/>
      <c r="G446" s="317"/>
      <c r="H446" s="303"/>
    </row>
    <row r="447" spans="3:8" ht="15.75" customHeight="1" x14ac:dyDescent="0.2">
      <c r="C447" s="303"/>
      <c r="G447" s="317"/>
      <c r="H447" s="303"/>
    </row>
    <row r="448" spans="3:8" ht="15.75" customHeight="1" x14ac:dyDescent="0.2">
      <c r="C448" s="303"/>
      <c r="G448" s="317"/>
      <c r="H448" s="303"/>
    </row>
    <row r="449" spans="3:8" ht="15.75" customHeight="1" x14ac:dyDescent="0.2">
      <c r="C449" s="303"/>
      <c r="G449" s="317"/>
      <c r="H449" s="303"/>
    </row>
    <row r="450" spans="3:8" ht="15.75" customHeight="1" x14ac:dyDescent="0.2">
      <c r="C450" s="303"/>
      <c r="G450" s="317"/>
      <c r="H450" s="303"/>
    </row>
    <row r="451" spans="3:8" ht="15.75" customHeight="1" x14ac:dyDescent="0.2">
      <c r="C451" s="303"/>
      <c r="G451" s="317"/>
      <c r="H451" s="303"/>
    </row>
    <row r="452" spans="3:8" ht="15.75" customHeight="1" x14ac:dyDescent="0.2">
      <c r="C452" s="303"/>
      <c r="G452" s="317"/>
      <c r="H452" s="303"/>
    </row>
    <row r="453" spans="3:8" ht="15.75" customHeight="1" x14ac:dyDescent="0.2">
      <c r="C453" s="303"/>
      <c r="G453" s="317"/>
      <c r="H453" s="303"/>
    </row>
    <row r="454" spans="3:8" ht="15.75" customHeight="1" x14ac:dyDescent="0.2">
      <c r="C454" s="303"/>
      <c r="G454" s="317"/>
      <c r="H454" s="303"/>
    </row>
    <row r="455" spans="3:8" ht="15.75" customHeight="1" x14ac:dyDescent="0.2">
      <c r="C455" s="303"/>
      <c r="G455" s="317"/>
      <c r="H455" s="303"/>
    </row>
    <row r="456" spans="3:8" ht="15.75" customHeight="1" x14ac:dyDescent="0.2">
      <c r="C456" s="303"/>
      <c r="G456" s="317"/>
      <c r="H456" s="303"/>
    </row>
    <row r="457" spans="3:8" ht="15.75" customHeight="1" x14ac:dyDescent="0.2">
      <c r="C457" s="303"/>
      <c r="G457" s="317"/>
      <c r="H457" s="303"/>
    </row>
    <row r="458" spans="3:8" ht="15.75" customHeight="1" x14ac:dyDescent="0.2">
      <c r="C458" s="303"/>
      <c r="G458" s="317"/>
      <c r="H458" s="303"/>
    </row>
    <row r="459" spans="3:8" ht="15.75" customHeight="1" x14ac:dyDescent="0.2">
      <c r="C459" s="303"/>
      <c r="G459" s="317"/>
      <c r="H459" s="303"/>
    </row>
    <row r="460" spans="3:8" ht="15.75" customHeight="1" x14ac:dyDescent="0.2">
      <c r="C460" s="303"/>
      <c r="G460" s="317"/>
      <c r="H460" s="303"/>
    </row>
    <row r="461" spans="3:8" ht="15.75" customHeight="1" x14ac:dyDescent="0.2">
      <c r="C461" s="303"/>
      <c r="G461" s="317"/>
      <c r="H461" s="303"/>
    </row>
    <row r="462" spans="3:8" ht="15.75" customHeight="1" x14ac:dyDescent="0.2">
      <c r="C462" s="303"/>
      <c r="G462" s="317"/>
      <c r="H462" s="303"/>
    </row>
    <row r="463" spans="3:8" ht="15.75" customHeight="1" x14ac:dyDescent="0.2">
      <c r="C463" s="303"/>
      <c r="G463" s="317"/>
      <c r="H463" s="303"/>
    </row>
    <row r="464" spans="3:8" ht="15.75" customHeight="1" x14ac:dyDescent="0.2">
      <c r="C464" s="303"/>
      <c r="G464" s="317"/>
      <c r="H464" s="303"/>
    </row>
    <row r="465" spans="3:8" ht="15.75" customHeight="1" x14ac:dyDescent="0.2">
      <c r="C465" s="303"/>
      <c r="G465" s="317"/>
      <c r="H465" s="303"/>
    </row>
    <row r="466" spans="3:8" ht="15.75" customHeight="1" x14ac:dyDescent="0.2">
      <c r="C466" s="303"/>
      <c r="G466" s="317"/>
      <c r="H466" s="303"/>
    </row>
    <row r="467" spans="3:8" ht="15.75" customHeight="1" x14ac:dyDescent="0.2">
      <c r="C467" s="303"/>
      <c r="G467" s="317"/>
      <c r="H467" s="303"/>
    </row>
    <row r="468" spans="3:8" ht="15.75" customHeight="1" x14ac:dyDescent="0.2">
      <c r="C468" s="303"/>
      <c r="G468" s="317"/>
      <c r="H468" s="303"/>
    </row>
    <row r="469" spans="3:8" ht="15.75" customHeight="1" x14ac:dyDescent="0.2">
      <c r="C469" s="303"/>
      <c r="G469" s="317"/>
      <c r="H469" s="303"/>
    </row>
    <row r="470" spans="3:8" ht="15.75" customHeight="1" x14ac:dyDescent="0.2">
      <c r="C470" s="303"/>
      <c r="G470" s="317"/>
      <c r="H470" s="303"/>
    </row>
    <row r="471" spans="3:8" ht="15.75" customHeight="1" x14ac:dyDescent="0.2">
      <c r="C471" s="303"/>
      <c r="G471" s="317"/>
      <c r="H471" s="303"/>
    </row>
    <row r="472" spans="3:8" ht="15.75" customHeight="1" x14ac:dyDescent="0.2">
      <c r="C472" s="303"/>
      <c r="G472" s="317"/>
      <c r="H472" s="303"/>
    </row>
    <row r="473" spans="3:8" ht="15.75" customHeight="1" x14ac:dyDescent="0.2">
      <c r="C473" s="303"/>
      <c r="G473" s="317"/>
      <c r="H473" s="303"/>
    </row>
    <row r="474" spans="3:8" ht="15.75" customHeight="1" x14ac:dyDescent="0.2">
      <c r="C474" s="303"/>
      <c r="G474" s="317"/>
      <c r="H474" s="303"/>
    </row>
    <row r="475" spans="3:8" ht="15.75" customHeight="1" x14ac:dyDescent="0.2">
      <c r="C475" s="303"/>
      <c r="G475" s="317"/>
      <c r="H475" s="303"/>
    </row>
    <row r="476" spans="3:8" ht="15.75" customHeight="1" x14ac:dyDescent="0.2">
      <c r="C476" s="303"/>
      <c r="G476" s="317"/>
      <c r="H476" s="303"/>
    </row>
    <row r="477" spans="3:8" ht="15.75" customHeight="1" x14ac:dyDescent="0.2">
      <c r="C477" s="303"/>
      <c r="G477" s="317"/>
      <c r="H477" s="303"/>
    </row>
    <row r="478" spans="3:8" ht="15.75" customHeight="1" x14ac:dyDescent="0.2">
      <c r="C478" s="303"/>
      <c r="G478" s="317"/>
      <c r="H478" s="303"/>
    </row>
    <row r="479" spans="3:8" ht="15.75" customHeight="1" x14ac:dyDescent="0.2">
      <c r="C479" s="303"/>
      <c r="G479" s="317"/>
      <c r="H479" s="303"/>
    </row>
    <row r="480" spans="3:8" ht="15.75" customHeight="1" x14ac:dyDescent="0.2">
      <c r="C480" s="303"/>
      <c r="G480" s="317"/>
      <c r="H480" s="303"/>
    </row>
    <row r="481" spans="3:8" ht="15.75" customHeight="1" x14ac:dyDescent="0.2">
      <c r="C481" s="303"/>
      <c r="G481" s="317"/>
      <c r="H481" s="303"/>
    </row>
    <row r="482" spans="3:8" ht="15.75" customHeight="1" x14ac:dyDescent="0.2">
      <c r="C482" s="303"/>
      <c r="G482" s="317"/>
      <c r="H482" s="303"/>
    </row>
    <row r="483" spans="3:8" ht="15.75" customHeight="1" x14ac:dyDescent="0.2">
      <c r="C483" s="303"/>
      <c r="G483" s="317"/>
      <c r="H483" s="303"/>
    </row>
    <row r="484" spans="3:8" ht="15.75" customHeight="1" x14ac:dyDescent="0.2">
      <c r="C484" s="303"/>
      <c r="G484" s="317"/>
      <c r="H484" s="303"/>
    </row>
    <row r="485" spans="3:8" ht="15.75" customHeight="1" x14ac:dyDescent="0.2">
      <c r="C485" s="303"/>
      <c r="G485" s="317"/>
      <c r="H485" s="303"/>
    </row>
    <row r="486" spans="3:8" ht="15.75" customHeight="1" x14ac:dyDescent="0.2">
      <c r="C486" s="303"/>
      <c r="G486" s="317"/>
      <c r="H486" s="303"/>
    </row>
    <row r="487" spans="3:8" ht="15.75" customHeight="1" x14ac:dyDescent="0.2">
      <c r="C487" s="303"/>
      <c r="G487" s="317"/>
      <c r="H487" s="303"/>
    </row>
    <row r="488" spans="3:8" ht="15.75" customHeight="1" x14ac:dyDescent="0.2">
      <c r="C488" s="303"/>
      <c r="G488" s="317"/>
      <c r="H488" s="303"/>
    </row>
    <row r="489" spans="3:8" ht="15.75" customHeight="1" x14ac:dyDescent="0.2">
      <c r="C489" s="303"/>
      <c r="G489" s="317"/>
      <c r="H489" s="303"/>
    </row>
    <row r="490" spans="3:8" ht="15.75" customHeight="1" x14ac:dyDescent="0.2">
      <c r="C490" s="303"/>
      <c r="G490" s="317"/>
      <c r="H490" s="303"/>
    </row>
    <row r="491" spans="3:8" ht="15.75" customHeight="1" x14ac:dyDescent="0.2">
      <c r="C491" s="303"/>
      <c r="G491" s="317"/>
      <c r="H491" s="303"/>
    </row>
    <row r="492" spans="3:8" ht="15.75" customHeight="1" x14ac:dyDescent="0.2">
      <c r="C492" s="303"/>
      <c r="G492" s="317"/>
      <c r="H492" s="303"/>
    </row>
    <row r="493" spans="3:8" ht="15.75" customHeight="1" x14ac:dyDescent="0.2">
      <c r="C493" s="303"/>
      <c r="G493" s="317"/>
      <c r="H493" s="303"/>
    </row>
    <row r="494" spans="3:8" ht="15.75" customHeight="1" x14ac:dyDescent="0.2">
      <c r="C494" s="303"/>
      <c r="G494" s="317"/>
      <c r="H494" s="303"/>
    </row>
    <row r="495" spans="3:8" ht="15.75" customHeight="1" x14ac:dyDescent="0.2">
      <c r="C495" s="303"/>
      <c r="G495" s="317"/>
      <c r="H495" s="303"/>
    </row>
    <row r="496" spans="3:8" ht="15.75" customHeight="1" x14ac:dyDescent="0.2">
      <c r="C496" s="303"/>
      <c r="G496" s="317"/>
      <c r="H496" s="303"/>
    </row>
    <row r="497" spans="3:8" ht="15.75" customHeight="1" x14ac:dyDescent="0.2">
      <c r="C497" s="303"/>
      <c r="G497" s="317"/>
      <c r="H497" s="303"/>
    </row>
    <row r="498" spans="3:8" ht="15.75" customHeight="1" x14ac:dyDescent="0.2">
      <c r="C498" s="303"/>
      <c r="G498" s="317"/>
      <c r="H498" s="303"/>
    </row>
    <row r="499" spans="3:8" ht="15.75" customHeight="1" x14ac:dyDescent="0.2">
      <c r="C499" s="303"/>
      <c r="G499" s="317"/>
      <c r="H499" s="303"/>
    </row>
    <row r="500" spans="3:8" ht="15.75" customHeight="1" x14ac:dyDescent="0.2">
      <c r="C500" s="303"/>
      <c r="G500" s="317"/>
      <c r="H500" s="303"/>
    </row>
    <row r="501" spans="3:8" ht="15.75" customHeight="1" x14ac:dyDescent="0.2">
      <c r="C501" s="303"/>
      <c r="G501" s="317"/>
      <c r="H501" s="303"/>
    </row>
    <row r="502" spans="3:8" ht="15.75" customHeight="1" x14ac:dyDescent="0.2">
      <c r="C502" s="303"/>
      <c r="G502" s="317"/>
      <c r="H502" s="303"/>
    </row>
    <row r="503" spans="3:8" ht="15.75" customHeight="1" x14ac:dyDescent="0.2">
      <c r="C503" s="303"/>
      <c r="G503" s="317"/>
      <c r="H503" s="303"/>
    </row>
    <row r="504" spans="3:8" ht="15.75" customHeight="1" x14ac:dyDescent="0.2">
      <c r="C504" s="303"/>
      <c r="G504" s="317"/>
      <c r="H504" s="303"/>
    </row>
    <row r="505" spans="3:8" ht="15.75" customHeight="1" x14ac:dyDescent="0.2">
      <c r="C505" s="303"/>
      <c r="G505" s="317"/>
      <c r="H505" s="303"/>
    </row>
    <row r="506" spans="3:8" ht="15.75" customHeight="1" x14ac:dyDescent="0.2">
      <c r="C506" s="303"/>
      <c r="G506" s="317"/>
      <c r="H506" s="303"/>
    </row>
    <row r="507" spans="3:8" ht="15.75" customHeight="1" x14ac:dyDescent="0.2">
      <c r="C507" s="303"/>
      <c r="G507" s="317"/>
      <c r="H507" s="303"/>
    </row>
    <row r="508" spans="3:8" ht="15.75" customHeight="1" x14ac:dyDescent="0.2">
      <c r="C508" s="303"/>
      <c r="G508" s="317"/>
      <c r="H508" s="303"/>
    </row>
    <row r="509" spans="3:8" ht="15.75" customHeight="1" x14ac:dyDescent="0.2">
      <c r="C509" s="303"/>
      <c r="G509" s="317"/>
      <c r="H509" s="303"/>
    </row>
    <row r="510" spans="3:8" ht="15.75" customHeight="1" x14ac:dyDescent="0.2">
      <c r="C510" s="303"/>
      <c r="G510" s="317"/>
      <c r="H510" s="303"/>
    </row>
    <row r="511" spans="3:8" ht="15.75" customHeight="1" x14ac:dyDescent="0.2">
      <c r="C511" s="303"/>
      <c r="G511" s="317"/>
      <c r="H511" s="303"/>
    </row>
    <row r="512" spans="3:8" ht="15.75" customHeight="1" x14ac:dyDescent="0.2">
      <c r="C512" s="303"/>
      <c r="G512" s="317"/>
      <c r="H512" s="303"/>
    </row>
    <row r="513" spans="3:8" ht="15.75" customHeight="1" x14ac:dyDescent="0.2">
      <c r="C513" s="303"/>
      <c r="G513" s="317"/>
      <c r="H513" s="303"/>
    </row>
    <row r="514" spans="3:8" ht="15.75" customHeight="1" x14ac:dyDescent="0.2">
      <c r="C514" s="303"/>
      <c r="G514" s="317"/>
      <c r="H514" s="303"/>
    </row>
    <row r="515" spans="3:8" ht="15.75" customHeight="1" x14ac:dyDescent="0.2">
      <c r="C515" s="303"/>
      <c r="G515" s="317"/>
      <c r="H515" s="303"/>
    </row>
    <row r="516" spans="3:8" ht="15.75" customHeight="1" x14ac:dyDescent="0.2">
      <c r="C516" s="303"/>
      <c r="G516" s="317"/>
      <c r="H516" s="303"/>
    </row>
    <row r="517" spans="3:8" ht="15.75" customHeight="1" x14ac:dyDescent="0.2">
      <c r="C517" s="303"/>
      <c r="G517" s="317"/>
      <c r="H517" s="303"/>
    </row>
    <row r="518" spans="3:8" ht="15.75" customHeight="1" x14ac:dyDescent="0.2">
      <c r="C518" s="303"/>
      <c r="G518" s="317"/>
      <c r="H518" s="303"/>
    </row>
    <row r="519" spans="3:8" ht="15.75" customHeight="1" x14ac:dyDescent="0.2">
      <c r="C519" s="303"/>
      <c r="G519" s="317"/>
      <c r="H519" s="303"/>
    </row>
    <row r="520" spans="3:8" ht="15.75" customHeight="1" x14ac:dyDescent="0.2">
      <c r="C520" s="303"/>
      <c r="G520" s="317"/>
      <c r="H520" s="303"/>
    </row>
    <row r="521" spans="3:8" ht="15.75" customHeight="1" x14ac:dyDescent="0.2">
      <c r="C521" s="303"/>
      <c r="G521" s="317"/>
      <c r="H521" s="303"/>
    </row>
    <row r="522" spans="3:8" ht="15.75" customHeight="1" x14ac:dyDescent="0.2">
      <c r="C522" s="303"/>
      <c r="G522" s="317"/>
      <c r="H522" s="303"/>
    </row>
    <row r="523" spans="3:8" ht="15.75" customHeight="1" x14ac:dyDescent="0.2">
      <c r="C523" s="303"/>
      <c r="G523" s="317"/>
      <c r="H523" s="303"/>
    </row>
    <row r="524" spans="3:8" ht="15.75" customHeight="1" x14ac:dyDescent="0.2">
      <c r="C524" s="303"/>
      <c r="G524" s="317"/>
      <c r="H524" s="303"/>
    </row>
    <row r="525" spans="3:8" ht="15.75" customHeight="1" x14ac:dyDescent="0.2">
      <c r="C525" s="303"/>
      <c r="G525" s="317"/>
      <c r="H525" s="303"/>
    </row>
    <row r="526" spans="3:8" ht="15.75" customHeight="1" x14ac:dyDescent="0.2">
      <c r="C526" s="303"/>
      <c r="G526" s="317"/>
      <c r="H526" s="303"/>
    </row>
    <row r="527" spans="3:8" ht="15.75" customHeight="1" x14ac:dyDescent="0.2">
      <c r="C527" s="303"/>
      <c r="G527" s="317"/>
      <c r="H527" s="303"/>
    </row>
    <row r="528" spans="3:8" ht="15.75" customHeight="1" x14ac:dyDescent="0.2">
      <c r="C528" s="303"/>
      <c r="G528" s="317"/>
      <c r="H528" s="303"/>
    </row>
    <row r="529" spans="3:8" ht="15.75" customHeight="1" x14ac:dyDescent="0.2">
      <c r="C529" s="303"/>
      <c r="G529" s="317"/>
      <c r="H529" s="303"/>
    </row>
    <row r="530" spans="3:8" ht="15.75" customHeight="1" x14ac:dyDescent="0.2">
      <c r="C530" s="303"/>
      <c r="G530" s="317"/>
      <c r="H530" s="303"/>
    </row>
    <row r="531" spans="3:8" ht="15.75" customHeight="1" x14ac:dyDescent="0.2">
      <c r="C531" s="303"/>
      <c r="G531" s="317"/>
      <c r="H531" s="303"/>
    </row>
    <row r="532" spans="3:8" ht="15.75" customHeight="1" x14ac:dyDescent="0.2">
      <c r="C532" s="303"/>
      <c r="G532" s="317"/>
      <c r="H532" s="303"/>
    </row>
    <row r="533" spans="3:8" ht="15.75" customHeight="1" x14ac:dyDescent="0.2">
      <c r="C533" s="303"/>
      <c r="G533" s="317"/>
      <c r="H533" s="303"/>
    </row>
    <row r="534" spans="3:8" ht="15.75" customHeight="1" x14ac:dyDescent="0.2">
      <c r="C534" s="303"/>
      <c r="G534" s="317"/>
      <c r="H534" s="303"/>
    </row>
    <row r="535" spans="3:8" ht="15.75" customHeight="1" x14ac:dyDescent="0.2">
      <c r="C535" s="303"/>
      <c r="G535" s="317"/>
      <c r="H535" s="303"/>
    </row>
    <row r="536" spans="3:8" ht="15.75" customHeight="1" x14ac:dyDescent="0.2">
      <c r="C536" s="303"/>
      <c r="G536" s="317"/>
      <c r="H536" s="303"/>
    </row>
    <row r="537" spans="3:8" ht="15.75" customHeight="1" x14ac:dyDescent="0.2">
      <c r="C537" s="303"/>
      <c r="G537" s="317"/>
      <c r="H537" s="303"/>
    </row>
    <row r="538" spans="3:8" ht="15.75" customHeight="1" x14ac:dyDescent="0.2">
      <c r="C538" s="303"/>
      <c r="G538" s="317"/>
      <c r="H538" s="303"/>
    </row>
    <row r="539" spans="3:8" ht="15.75" customHeight="1" x14ac:dyDescent="0.2">
      <c r="C539" s="303"/>
      <c r="G539" s="317"/>
      <c r="H539" s="303"/>
    </row>
    <row r="540" spans="3:8" ht="15.75" customHeight="1" x14ac:dyDescent="0.2">
      <c r="C540" s="303"/>
      <c r="G540" s="317"/>
      <c r="H540" s="303"/>
    </row>
    <row r="541" spans="3:8" ht="15.75" customHeight="1" x14ac:dyDescent="0.2">
      <c r="C541" s="303"/>
      <c r="G541" s="317"/>
      <c r="H541" s="303"/>
    </row>
    <row r="542" spans="3:8" ht="15.75" customHeight="1" x14ac:dyDescent="0.2">
      <c r="C542" s="303"/>
      <c r="G542" s="317"/>
      <c r="H542" s="303"/>
    </row>
    <row r="543" spans="3:8" ht="15.75" customHeight="1" x14ac:dyDescent="0.2">
      <c r="C543" s="303"/>
      <c r="G543" s="317"/>
      <c r="H543" s="303"/>
    </row>
    <row r="544" spans="3:8" ht="15.75" customHeight="1" x14ac:dyDescent="0.2">
      <c r="C544" s="303"/>
      <c r="G544" s="317"/>
      <c r="H544" s="303"/>
    </row>
    <row r="545" spans="3:8" ht="15.75" customHeight="1" x14ac:dyDescent="0.2">
      <c r="C545" s="303"/>
      <c r="G545" s="317"/>
      <c r="H545" s="303"/>
    </row>
    <row r="546" spans="3:8" ht="15.75" customHeight="1" x14ac:dyDescent="0.2">
      <c r="C546" s="303"/>
      <c r="G546" s="317"/>
      <c r="H546" s="303"/>
    </row>
    <row r="547" spans="3:8" ht="15.75" customHeight="1" x14ac:dyDescent="0.2">
      <c r="C547" s="303"/>
      <c r="G547" s="317"/>
      <c r="H547" s="303"/>
    </row>
    <row r="548" spans="3:8" ht="15.75" customHeight="1" x14ac:dyDescent="0.2">
      <c r="C548" s="303"/>
      <c r="G548" s="317"/>
      <c r="H548" s="303"/>
    </row>
    <row r="549" spans="3:8" ht="15.75" customHeight="1" x14ac:dyDescent="0.2">
      <c r="C549" s="303"/>
      <c r="G549" s="317"/>
      <c r="H549" s="303"/>
    </row>
    <row r="550" spans="3:8" ht="15.75" customHeight="1" x14ac:dyDescent="0.2">
      <c r="C550" s="303"/>
      <c r="G550" s="317"/>
      <c r="H550" s="303"/>
    </row>
    <row r="551" spans="3:8" ht="15.75" customHeight="1" x14ac:dyDescent="0.2">
      <c r="C551" s="303"/>
      <c r="G551" s="317"/>
      <c r="H551" s="303"/>
    </row>
    <row r="552" spans="3:8" ht="15.75" customHeight="1" x14ac:dyDescent="0.2">
      <c r="C552" s="303"/>
      <c r="G552" s="317"/>
      <c r="H552" s="303"/>
    </row>
    <row r="553" spans="3:8" ht="15.75" customHeight="1" x14ac:dyDescent="0.2">
      <c r="C553" s="303"/>
      <c r="G553" s="317"/>
      <c r="H553" s="303"/>
    </row>
    <row r="554" spans="3:8" ht="15.75" customHeight="1" x14ac:dyDescent="0.2">
      <c r="C554" s="303"/>
      <c r="G554" s="317"/>
      <c r="H554" s="303"/>
    </row>
    <row r="555" spans="3:8" ht="15.75" customHeight="1" x14ac:dyDescent="0.2">
      <c r="C555" s="303"/>
      <c r="G555" s="317"/>
      <c r="H555" s="303"/>
    </row>
    <row r="556" spans="3:8" ht="15.75" customHeight="1" x14ac:dyDescent="0.2">
      <c r="C556" s="303"/>
      <c r="G556" s="317"/>
      <c r="H556" s="303"/>
    </row>
    <row r="557" spans="3:8" ht="15.75" customHeight="1" x14ac:dyDescent="0.2">
      <c r="C557" s="303"/>
      <c r="G557" s="317"/>
      <c r="H557" s="303"/>
    </row>
    <row r="558" spans="3:8" ht="15.75" customHeight="1" x14ac:dyDescent="0.2">
      <c r="C558" s="303"/>
      <c r="G558" s="317"/>
      <c r="H558" s="303"/>
    </row>
    <row r="559" spans="3:8" ht="15.75" customHeight="1" x14ac:dyDescent="0.2">
      <c r="C559" s="303"/>
      <c r="G559" s="317"/>
      <c r="H559" s="303"/>
    </row>
    <row r="560" spans="3:8" ht="15.75" customHeight="1" x14ac:dyDescent="0.2">
      <c r="C560" s="303"/>
      <c r="G560" s="317"/>
      <c r="H560" s="303"/>
    </row>
    <row r="561" spans="3:8" ht="15.75" customHeight="1" x14ac:dyDescent="0.2">
      <c r="C561" s="303"/>
      <c r="G561" s="317"/>
      <c r="H561" s="303"/>
    </row>
    <row r="562" spans="3:8" ht="15.75" customHeight="1" x14ac:dyDescent="0.2">
      <c r="C562" s="303"/>
      <c r="G562" s="317"/>
      <c r="H562" s="303"/>
    </row>
    <row r="563" spans="3:8" ht="15.75" customHeight="1" x14ac:dyDescent="0.2">
      <c r="C563" s="303"/>
      <c r="G563" s="317"/>
      <c r="H563" s="303"/>
    </row>
    <row r="564" spans="3:8" ht="15.75" customHeight="1" x14ac:dyDescent="0.2">
      <c r="C564" s="303"/>
      <c r="G564" s="317"/>
      <c r="H564" s="303"/>
    </row>
    <row r="565" spans="3:8" ht="15.75" customHeight="1" x14ac:dyDescent="0.2">
      <c r="C565" s="303"/>
      <c r="G565" s="317"/>
      <c r="H565" s="303"/>
    </row>
    <row r="566" spans="3:8" ht="15.75" customHeight="1" x14ac:dyDescent="0.2">
      <c r="C566" s="303"/>
      <c r="G566" s="317"/>
      <c r="H566" s="303"/>
    </row>
    <row r="567" spans="3:8" ht="15.75" customHeight="1" x14ac:dyDescent="0.2">
      <c r="C567" s="303"/>
      <c r="G567" s="317"/>
      <c r="H567" s="303"/>
    </row>
    <row r="568" spans="3:8" ht="15.75" customHeight="1" x14ac:dyDescent="0.2">
      <c r="C568" s="303"/>
      <c r="G568" s="317"/>
      <c r="H568" s="303"/>
    </row>
    <row r="569" spans="3:8" ht="15.75" customHeight="1" x14ac:dyDescent="0.2">
      <c r="C569" s="303"/>
      <c r="G569" s="317"/>
      <c r="H569" s="303"/>
    </row>
    <row r="570" spans="3:8" ht="15.75" customHeight="1" x14ac:dyDescent="0.2">
      <c r="C570" s="303"/>
      <c r="G570" s="317"/>
      <c r="H570" s="303"/>
    </row>
    <row r="571" spans="3:8" ht="15.75" customHeight="1" x14ac:dyDescent="0.2">
      <c r="C571" s="303"/>
      <c r="G571" s="317"/>
      <c r="H571" s="303"/>
    </row>
    <row r="572" spans="3:8" ht="15.75" customHeight="1" x14ac:dyDescent="0.2">
      <c r="C572" s="303"/>
      <c r="G572" s="317"/>
      <c r="H572" s="303"/>
    </row>
    <row r="573" spans="3:8" ht="15.75" customHeight="1" x14ac:dyDescent="0.2">
      <c r="C573" s="303"/>
      <c r="G573" s="317"/>
      <c r="H573" s="303"/>
    </row>
    <row r="574" spans="3:8" ht="15.75" customHeight="1" x14ac:dyDescent="0.2">
      <c r="C574" s="303"/>
      <c r="G574" s="317"/>
      <c r="H574" s="303"/>
    </row>
    <row r="575" spans="3:8" ht="15.75" customHeight="1" x14ac:dyDescent="0.2">
      <c r="C575" s="303"/>
      <c r="G575" s="317"/>
      <c r="H575" s="303"/>
    </row>
    <row r="576" spans="3:8" ht="15.75" customHeight="1" x14ac:dyDescent="0.2">
      <c r="C576" s="303"/>
      <c r="G576" s="317"/>
      <c r="H576" s="303"/>
    </row>
    <row r="577" spans="3:8" ht="15.75" customHeight="1" x14ac:dyDescent="0.2">
      <c r="C577" s="303"/>
      <c r="G577" s="317"/>
      <c r="H577" s="303"/>
    </row>
    <row r="578" spans="3:8" ht="15.75" customHeight="1" x14ac:dyDescent="0.2">
      <c r="C578" s="303"/>
      <c r="G578" s="317"/>
      <c r="H578" s="303"/>
    </row>
    <row r="579" spans="3:8" ht="15.75" customHeight="1" x14ac:dyDescent="0.2">
      <c r="C579" s="303"/>
      <c r="G579" s="317"/>
      <c r="H579" s="303"/>
    </row>
    <row r="580" spans="3:8" ht="15.75" customHeight="1" x14ac:dyDescent="0.2">
      <c r="C580" s="303"/>
      <c r="G580" s="317"/>
      <c r="H580" s="303"/>
    </row>
    <row r="581" spans="3:8" ht="15.75" customHeight="1" x14ac:dyDescent="0.2">
      <c r="C581" s="303"/>
      <c r="G581" s="317"/>
      <c r="H581" s="303"/>
    </row>
    <row r="582" spans="3:8" ht="15.75" customHeight="1" x14ac:dyDescent="0.2">
      <c r="C582" s="303"/>
      <c r="G582" s="317"/>
      <c r="H582" s="303"/>
    </row>
    <row r="583" spans="3:8" ht="15.75" customHeight="1" x14ac:dyDescent="0.2">
      <c r="C583" s="303"/>
      <c r="G583" s="317"/>
      <c r="H583" s="303"/>
    </row>
    <row r="584" spans="3:8" ht="15.75" customHeight="1" x14ac:dyDescent="0.2">
      <c r="C584" s="303"/>
      <c r="G584" s="317"/>
      <c r="H584" s="303"/>
    </row>
    <row r="585" spans="3:8" ht="15.75" customHeight="1" x14ac:dyDescent="0.2">
      <c r="C585" s="303"/>
      <c r="G585" s="317"/>
      <c r="H585" s="303"/>
    </row>
    <row r="586" spans="3:8" ht="15.75" customHeight="1" x14ac:dyDescent="0.2">
      <c r="C586" s="303"/>
      <c r="G586" s="317"/>
      <c r="H586" s="303"/>
    </row>
    <row r="587" spans="3:8" ht="15.75" customHeight="1" x14ac:dyDescent="0.2">
      <c r="C587" s="303"/>
      <c r="G587" s="317"/>
      <c r="H587" s="303"/>
    </row>
    <row r="588" spans="3:8" ht="15.75" customHeight="1" x14ac:dyDescent="0.2">
      <c r="C588" s="303"/>
      <c r="G588" s="317"/>
      <c r="H588" s="303"/>
    </row>
    <row r="589" spans="3:8" ht="15.75" customHeight="1" x14ac:dyDescent="0.2">
      <c r="C589" s="303"/>
      <c r="G589" s="317"/>
      <c r="H589" s="303"/>
    </row>
    <row r="590" spans="3:8" ht="15.75" customHeight="1" x14ac:dyDescent="0.2">
      <c r="C590" s="303"/>
      <c r="G590" s="317"/>
      <c r="H590" s="303"/>
    </row>
    <row r="591" spans="3:8" ht="15.75" customHeight="1" x14ac:dyDescent="0.2">
      <c r="C591" s="303"/>
      <c r="G591" s="317"/>
      <c r="H591" s="303"/>
    </row>
    <row r="592" spans="3:8" ht="15.75" customHeight="1" x14ac:dyDescent="0.2">
      <c r="C592" s="303"/>
      <c r="G592" s="317"/>
      <c r="H592" s="303"/>
    </row>
    <row r="593" spans="3:8" ht="15.75" customHeight="1" x14ac:dyDescent="0.2">
      <c r="C593" s="303"/>
      <c r="G593" s="317"/>
      <c r="H593" s="303"/>
    </row>
    <row r="594" spans="3:8" ht="15.75" customHeight="1" x14ac:dyDescent="0.2">
      <c r="C594" s="303"/>
      <c r="G594" s="317"/>
      <c r="H594" s="303"/>
    </row>
    <row r="595" spans="3:8" ht="15.75" customHeight="1" x14ac:dyDescent="0.2">
      <c r="C595" s="303"/>
      <c r="G595" s="317"/>
      <c r="H595" s="303"/>
    </row>
    <row r="596" spans="3:8" ht="15.75" customHeight="1" x14ac:dyDescent="0.2">
      <c r="C596" s="303"/>
      <c r="G596" s="317"/>
      <c r="H596" s="303"/>
    </row>
    <row r="597" spans="3:8" ht="15.75" customHeight="1" x14ac:dyDescent="0.2">
      <c r="C597" s="303"/>
      <c r="G597" s="317"/>
      <c r="H597" s="303"/>
    </row>
    <row r="598" spans="3:8" ht="15.75" customHeight="1" x14ac:dyDescent="0.2">
      <c r="C598" s="303"/>
      <c r="G598" s="317"/>
      <c r="H598" s="303"/>
    </row>
    <row r="599" spans="3:8" ht="15.75" customHeight="1" x14ac:dyDescent="0.2">
      <c r="C599" s="303"/>
      <c r="G599" s="317"/>
      <c r="H599" s="303"/>
    </row>
    <row r="600" spans="3:8" ht="15.75" customHeight="1" x14ac:dyDescent="0.2">
      <c r="C600" s="303"/>
      <c r="G600" s="317"/>
      <c r="H600" s="303"/>
    </row>
    <row r="601" spans="3:8" ht="15.75" customHeight="1" x14ac:dyDescent="0.2">
      <c r="C601" s="303"/>
      <c r="G601" s="317"/>
      <c r="H601" s="303"/>
    </row>
    <row r="602" spans="3:8" ht="15.75" customHeight="1" x14ac:dyDescent="0.2">
      <c r="C602" s="303"/>
      <c r="G602" s="317"/>
      <c r="H602" s="303"/>
    </row>
    <row r="603" spans="3:8" ht="15.75" customHeight="1" x14ac:dyDescent="0.2">
      <c r="C603" s="303"/>
      <c r="G603" s="317"/>
      <c r="H603" s="303"/>
    </row>
    <row r="604" spans="3:8" ht="15.75" customHeight="1" x14ac:dyDescent="0.2">
      <c r="C604" s="303"/>
      <c r="G604" s="317"/>
      <c r="H604" s="303"/>
    </row>
    <row r="605" spans="3:8" ht="15.75" customHeight="1" x14ac:dyDescent="0.2">
      <c r="C605" s="303"/>
      <c r="G605" s="317"/>
      <c r="H605" s="303"/>
    </row>
    <row r="606" spans="3:8" ht="15.75" customHeight="1" x14ac:dyDescent="0.2">
      <c r="C606" s="303"/>
      <c r="G606" s="317"/>
      <c r="H606" s="303"/>
    </row>
    <row r="607" spans="3:8" ht="15.75" customHeight="1" x14ac:dyDescent="0.2">
      <c r="C607" s="303"/>
      <c r="G607" s="317"/>
      <c r="H607" s="303"/>
    </row>
    <row r="608" spans="3:8" ht="15.75" customHeight="1" x14ac:dyDescent="0.2">
      <c r="C608" s="303"/>
      <c r="G608" s="317"/>
      <c r="H608" s="303"/>
    </row>
    <row r="609" spans="3:8" ht="15.75" customHeight="1" x14ac:dyDescent="0.2">
      <c r="C609" s="303"/>
      <c r="G609" s="317"/>
      <c r="H609" s="303"/>
    </row>
    <row r="610" spans="3:8" ht="15.75" customHeight="1" x14ac:dyDescent="0.2">
      <c r="C610" s="303"/>
      <c r="G610" s="317"/>
      <c r="H610" s="303"/>
    </row>
    <row r="611" spans="3:8" ht="15.75" customHeight="1" x14ac:dyDescent="0.2">
      <c r="C611" s="303"/>
      <c r="G611" s="317"/>
      <c r="H611" s="303"/>
    </row>
    <row r="612" spans="3:8" ht="15.75" customHeight="1" x14ac:dyDescent="0.2">
      <c r="C612" s="303"/>
      <c r="G612" s="317"/>
      <c r="H612" s="303"/>
    </row>
    <row r="613" spans="3:8" ht="15.75" customHeight="1" x14ac:dyDescent="0.2">
      <c r="C613" s="303"/>
      <c r="G613" s="317"/>
      <c r="H613" s="303"/>
    </row>
    <row r="614" spans="3:8" ht="15.75" customHeight="1" x14ac:dyDescent="0.2">
      <c r="C614" s="303"/>
      <c r="G614" s="317"/>
      <c r="H614" s="303"/>
    </row>
    <row r="615" spans="3:8" ht="15.75" customHeight="1" x14ac:dyDescent="0.2">
      <c r="C615" s="303"/>
      <c r="G615" s="317"/>
      <c r="H615" s="303"/>
    </row>
    <row r="616" spans="3:8" ht="15.75" customHeight="1" x14ac:dyDescent="0.2">
      <c r="C616" s="303"/>
      <c r="G616" s="317"/>
      <c r="H616" s="303"/>
    </row>
    <row r="617" spans="3:8" ht="15.75" customHeight="1" x14ac:dyDescent="0.2">
      <c r="C617" s="303"/>
      <c r="G617" s="317"/>
      <c r="H617" s="303"/>
    </row>
    <row r="618" spans="3:8" ht="15.75" customHeight="1" x14ac:dyDescent="0.2">
      <c r="C618" s="303"/>
      <c r="G618" s="317"/>
      <c r="H618" s="303"/>
    </row>
    <row r="619" spans="3:8" ht="15.75" customHeight="1" x14ac:dyDescent="0.2">
      <c r="C619" s="303"/>
      <c r="G619" s="317"/>
      <c r="H619" s="303"/>
    </row>
    <row r="620" spans="3:8" ht="15.75" customHeight="1" x14ac:dyDescent="0.2">
      <c r="C620" s="303"/>
      <c r="G620" s="317"/>
      <c r="H620" s="303"/>
    </row>
    <row r="621" spans="3:8" ht="15.75" customHeight="1" x14ac:dyDescent="0.2">
      <c r="C621" s="303"/>
      <c r="G621" s="317"/>
      <c r="H621" s="303"/>
    </row>
    <row r="622" spans="3:8" ht="15.75" customHeight="1" x14ac:dyDescent="0.2">
      <c r="C622" s="303"/>
      <c r="G622" s="317"/>
      <c r="H622" s="303"/>
    </row>
    <row r="623" spans="3:8" ht="15.75" customHeight="1" x14ac:dyDescent="0.2">
      <c r="C623" s="303"/>
      <c r="G623" s="317"/>
      <c r="H623" s="303"/>
    </row>
    <row r="624" spans="3:8" ht="15.75" customHeight="1" x14ac:dyDescent="0.2">
      <c r="C624" s="303"/>
      <c r="G624" s="317"/>
      <c r="H624" s="303"/>
    </row>
    <row r="625" spans="3:8" ht="15.75" customHeight="1" x14ac:dyDescent="0.2">
      <c r="C625" s="303"/>
      <c r="G625" s="317"/>
      <c r="H625" s="303"/>
    </row>
    <row r="626" spans="3:8" ht="15.75" customHeight="1" x14ac:dyDescent="0.2">
      <c r="C626" s="303"/>
      <c r="G626" s="317"/>
      <c r="H626" s="303"/>
    </row>
    <row r="627" spans="3:8" ht="15.75" customHeight="1" x14ac:dyDescent="0.2">
      <c r="C627" s="303"/>
      <c r="G627" s="317"/>
      <c r="H627" s="303"/>
    </row>
    <row r="628" spans="3:8" ht="15.75" customHeight="1" x14ac:dyDescent="0.2">
      <c r="C628" s="303"/>
      <c r="G628" s="317"/>
      <c r="H628" s="303"/>
    </row>
    <row r="629" spans="3:8" ht="15.75" customHeight="1" x14ac:dyDescent="0.2">
      <c r="C629" s="303"/>
      <c r="G629" s="317"/>
      <c r="H629" s="303"/>
    </row>
    <row r="630" spans="3:8" ht="15.75" customHeight="1" x14ac:dyDescent="0.2">
      <c r="C630" s="303"/>
      <c r="G630" s="317"/>
      <c r="H630" s="303"/>
    </row>
    <row r="631" spans="3:8" ht="15.75" customHeight="1" x14ac:dyDescent="0.2">
      <c r="C631" s="303"/>
      <c r="G631" s="317"/>
      <c r="H631" s="303"/>
    </row>
    <row r="632" spans="3:8" ht="15.75" customHeight="1" x14ac:dyDescent="0.2">
      <c r="C632" s="303"/>
      <c r="G632" s="317"/>
      <c r="H632" s="303"/>
    </row>
    <row r="633" spans="3:8" ht="15.75" customHeight="1" x14ac:dyDescent="0.2">
      <c r="C633" s="303"/>
      <c r="G633" s="317"/>
      <c r="H633" s="303"/>
    </row>
    <row r="634" spans="3:8" ht="15.75" customHeight="1" x14ac:dyDescent="0.2">
      <c r="C634" s="303"/>
      <c r="G634" s="317"/>
      <c r="H634" s="303"/>
    </row>
    <row r="635" spans="3:8" ht="15.75" customHeight="1" x14ac:dyDescent="0.2">
      <c r="C635" s="303"/>
      <c r="G635" s="317"/>
      <c r="H635" s="303"/>
    </row>
    <row r="636" spans="3:8" ht="15.75" customHeight="1" x14ac:dyDescent="0.2">
      <c r="C636" s="303"/>
      <c r="G636" s="317"/>
      <c r="H636" s="303"/>
    </row>
    <row r="637" spans="3:8" ht="15.75" customHeight="1" x14ac:dyDescent="0.2">
      <c r="C637" s="303"/>
      <c r="G637" s="317"/>
      <c r="H637" s="303"/>
    </row>
    <row r="638" spans="3:8" ht="15.75" customHeight="1" x14ac:dyDescent="0.2">
      <c r="C638" s="303"/>
      <c r="G638" s="317"/>
      <c r="H638" s="303"/>
    </row>
    <row r="639" spans="3:8" ht="15.75" customHeight="1" x14ac:dyDescent="0.2">
      <c r="C639" s="303"/>
      <c r="G639" s="317"/>
      <c r="H639" s="303"/>
    </row>
    <row r="640" spans="3:8" ht="15.75" customHeight="1" x14ac:dyDescent="0.2">
      <c r="C640" s="303"/>
      <c r="G640" s="317"/>
      <c r="H640" s="303"/>
    </row>
    <row r="641" spans="3:8" ht="15.75" customHeight="1" x14ac:dyDescent="0.2">
      <c r="C641" s="303"/>
      <c r="G641" s="317"/>
      <c r="H641" s="303"/>
    </row>
    <row r="642" spans="3:8" ht="15.75" customHeight="1" x14ac:dyDescent="0.2">
      <c r="C642" s="303"/>
      <c r="G642" s="317"/>
      <c r="H642" s="303"/>
    </row>
    <row r="643" spans="3:8" ht="15.75" customHeight="1" x14ac:dyDescent="0.2">
      <c r="C643" s="303"/>
      <c r="G643" s="317"/>
      <c r="H643" s="303"/>
    </row>
    <row r="644" spans="3:8" ht="15.75" customHeight="1" x14ac:dyDescent="0.2">
      <c r="C644" s="303"/>
      <c r="G644" s="317"/>
      <c r="H644" s="303"/>
    </row>
    <row r="645" spans="3:8" ht="15.75" customHeight="1" x14ac:dyDescent="0.2">
      <c r="C645" s="303"/>
      <c r="G645" s="317"/>
      <c r="H645" s="303"/>
    </row>
    <row r="646" spans="3:8" ht="15.75" customHeight="1" x14ac:dyDescent="0.2">
      <c r="C646" s="303"/>
      <c r="G646" s="317"/>
      <c r="H646" s="303"/>
    </row>
    <row r="647" spans="3:8" ht="15.75" customHeight="1" x14ac:dyDescent="0.2">
      <c r="C647" s="303"/>
      <c r="G647" s="317"/>
      <c r="H647" s="303"/>
    </row>
    <row r="648" spans="3:8" ht="15.75" customHeight="1" x14ac:dyDescent="0.2">
      <c r="C648" s="303"/>
      <c r="G648" s="317"/>
      <c r="H648" s="303"/>
    </row>
    <row r="649" spans="3:8" ht="15.75" customHeight="1" x14ac:dyDescent="0.2">
      <c r="C649" s="303"/>
      <c r="G649" s="317"/>
      <c r="H649" s="303"/>
    </row>
    <row r="650" spans="3:8" ht="15.75" customHeight="1" x14ac:dyDescent="0.2">
      <c r="C650" s="303"/>
      <c r="G650" s="317"/>
      <c r="H650" s="303"/>
    </row>
    <row r="651" spans="3:8" ht="15.75" customHeight="1" x14ac:dyDescent="0.2">
      <c r="C651" s="303"/>
      <c r="G651" s="317"/>
      <c r="H651" s="303"/>
    </row>
    <row r="652" spans="3:8" ht="15.75" customHeight="1" x14ac:dyDescent="0.2">
      <c r="C652" s="303"/>
      <c r="G652" s="317"/>
      <c r="H652" s="303"/>
    </row>
    <row r="653" spans="3:8" ht="15.75" customHeight="1" x14ac:dyDescent="0.2">
      <c r="C653" s="303"/>
      <c r="G653" s="317"/>
      <c r="H653" s="303"/>
    </row>
    <row r="654" spans="3:8" ht="15.75" customHeight="1" x14ac:dyDescent="0.2">
      <c r="C654" s="303"/>
      <c r="G654" s="317"/>
      <c r="H654" s="303"/>
    </row>
    <row r="655" spans="3:8" ht="15.75" customHeight="1" x14ac:dyDescent="0.2">
      <c r="C655" s="303"/>
      <c r="G655" s="317"/>
      <c r="H655" s="303"/>
    </row>
    <row r="656" spans="3:8" ht="15.75" customHeight="1" x14ac:dyDescent="0.2">
      <c r="C656" s="303"/>
      <c r="G656" s="317"/>
      <c r="H656" s="303"/>
    </row>
    <row r="657" spans="3:8" ht="15.75" customHeight="1" x14ac:dyDescent="0.2">
      <c r="C657" s="303"/>
      <c r="G657" s="317"/>
      <c r="H657" s="303"/>
    </row>
    <row r="658" spans="3:8" ht="15.75" customHeight="1" x14ac:dyDescent="0.2">
      <c r="C658" s="303"/>
      <c r="G658" s="317"/>
      <c r="H658" s="303"/>
    </row>
    <row r="659" spans="3:8" ht="15.75" customHeight="1" x14ac:dyDescent="0.2">
      <c r="C659" s="303"/>
      <c r="G659" s="317"/>
      <c r="H659" s="303"/>
    </row>
    <row r="660" spans="3:8" ht="15.75" customHeight="1" x14ac:dyDescent="0.2">
      <c r="C660" s="303"/>
      <c r="G660" s="317"/>
      <c r="H660" s="303"/>
    </row>
    <row r="661" spans="3:8" ht="15.75" customHeight="1" x14ac:dyDescent="0.2">
      <c r="C661" s="303"/>
      <c r="G661" s="317"/>
      <c r="H661" s="303"/>
    </row>
    <row r="662" spans="3:8" ht="15.75" customHeight="1" x14ac:dyDescent="0.2">
      <c r="C662" s="303"/>
      <c r="G662" s="317"/>
      <c r="H662" s="303"/>
    </row>
    <row r="663" spans="3:8" ht="15.75" customHeight="1" x14ac:dyDescent="0.2">
      <c r="C663" s="303"/>
      <c r="G663" s="317"/>
      <c r="H663" s="303"/>
    </row>
    <row r="664" spans="3:8" ht="15.75" customHeight="1" x14ac:dyDescent="0.2">
      <c r="C664" s="303"/>
      <c r="G664" s="317"/>
      <c r="H664" s="303"/>
    </row>
    <row r="665" spans="3:8" ht="15.75" customHeight="1" x14ac:dyDescent="0.2">
      <c r="C665" s="303"/>
      <c r="G665" s="317"/>
      <c r="H665" s="303"/>
    </row>
    <row r="666" spans="3:8" ht="15.75" customHeight="1" x14ac:dyDescent="0.2">
      <c r="C666" s="303"/>
      <c r="G666" s="317"/>
      <c r="H666" s="303"/>
    </row>
    <row r="667" spans="3:8" ht="15.75" customHeight="1" x14ac:dyDescent="0.2">
      <c r="C667" s="303"/>
      <c r="G667" s="317"/>
      <c r="H667" s="303"/>
    </row>
    <row r="668" spans="3:8" ht="15.75" customHeight="1" x14ac:dyDescent="0.2">
      <c r="C668" s="303"/>
      <c r="G668" s="317"/>
      <c r="H668" s="303"/>
    </row>
    <row r="669" spans="3:8" ht="15.75" customHeight="1" x14ac:dyDescent="0.2">
      <c r="C669" s="303"/>
      <c r="G669" s="317"/>
      <c r="H669" s="303"/>
    </row>
    <row r="670" spans="3:8" ht="15.75" customHeight="1" x14ac:dyDescent="0.2">
      <c r="C670" s="303"/>
      <c r="G670" s="317"/>
      <c r="H670" s="303"/>
    </row>
    <row r="671" spans="3:8" ht="15.75" customHeight="1" x14ac:dyDescent="0.2">
      <c r="C671" s="303"/>
      <c r="G671" s="317"/>
      <c r="H671" s="303"/>
    </row>
    <row r="672" spans="3:8" ht="15.75" customHeight="1" x14ac:dyDescent="0.2">
      <c r="C672" s="303"/>
      <c r="G672" s="317"/>
      <c r="H672" s="303"/>
    </row>
    <row r="673" spans="3:8" ht="15.75" customHeight="1" x14ac:dyDescent="0.2">
      <c r="C673" s="303"/>
      <c r="G673" s="317"/>
      <c r="H673" s="303"/>
    </row>
    <row r="674" spans="3:8" ht="15.75" customHeight="1" x14ac:dyDescent="0.2">
      <c r="C674" s="303"/>
      <c r="G674" s="317"/>
      <c r="H674" s="303"/>
    </row>
    <row r="675" spans="3:8" ht="15.75" customHeight="1" x14ac:dyDescent="0.2">
      <c r="C675" s="303"/>
      <c r="G675" s="317"/>
      <c r="H675" s="303"/>
    </row>
    <row r="676" spans="3:8" ht="15.75" customHeight="1" x14ac:dyDescent="0.2">
      <c r="C676" s="303"/>
      <c r="G676" s="317"/>
      <c r="H676" s="303"/>
    </row>
    <row r="677" spans="3:8" ht="15.75" customHeight="1" x14ac:dyDescent="0.2">
      <c r="C677" s="303"/>
      <c r="G677" s="317"/>
      <c r="H677" s="303"/>
    </row>
    <row r="678" spans="3:8" ht="15.75" customHeight="1" x14ac:dyDescent="0.2">
      <c r="C678" s="303"/>
      <c r="G678" s="317"/>
      <c r="H678" s="303"/>
    </row>
    <row r="679" spans="3:8" ht="15.75" customHeight="1" x14ac:dyDescent="0.2">
      <c r="C679" s="303"/>
      <c r="G679" s="317"/>
      <c r="H679" s="303"/>
    </row>
    <row r="680" spans="3:8" ht="15.75" customHeight="1" x14ac:dyDescent="0.2">
      <c r="C680" s="303"/>
      <c r="G680" s="317"/>
      <c r="H680" s="303"/>
    </row>
    <row r="681" spans="3:8" ht="15.75" customHeight="1" x14ac:dyDescent="0.2">
      <c r="C681" s="303"/>
      <c r="G681" s="317"/>
      <c r="H681" s="303"/>
    </row>
    <row r="682" spans="3:8" ht="15.75" customHeight="1" x14ac:dyDescent="0.2">
      <c r="C682" s="303"/>
      <c r="G682" s="317"/>
      <c r="H682" s="303"/>
    </row>
    <row r="683" spans="3:8" ht="15.75" customHeight="1" x14ac:dyDescent="0.2">
      <c r="C683" s="303"/>
      <c r="G683" s="317"/>
      <c r="H683" s="303"/>
    </row>
    <row r="684" spans="3:8" ht="15.75" customHeight="1" x14ac:dyDescent="0.2">
      <c r="C684" s="303"/>
      <c r="G684" s="317"/>
      <c r="H684" s="303"/>
    </row>
    <row r="685" spans="3:8" ht="15.75" customHeight="1" x14ac:dyDescent="0.2">
      <c r="C685" s="303"/>
      <c r="G685" s="317"/>
      <c r="H685" s="303"/>
    </row>
    <row r="686" spans="3:8" ht="15.75" customHeight="1" x14ac:dyDescent="0.2">
      <c r="C686" s="303"/>
      <c r="G686" s="317"/>
      <c r="H686" s="303"/>
    </row>
    <row r="687" spans="3:8" ht="15.75" customHeight="1" x14ac:dyDescent="0.2">
      <c r="C687" s="303"/>
      <c r="G687" s="317"/>
      <c r="H687" s="303"/>
    </row>
    <row r="688" spans="3:8" ht="15.75" customHeight="1" x14ac:dyDescent="0.2">
      <c r="C688" s="303"/>
      <c r="G688" s="317"/>
      <c r="H688" s="303"/>
    </row>
    <row r="689" spans="3:8" ht="15.75" customHeight="1" x14ac:dyDescent="0.2">
      <c r="C689" s="303"/>
      <c r="G689" s="317"/>
      <c r="H689" s="303"/>
    </row>
    <row r="690" spans="3:8" ht="15.75" customHeight="1" x14ac:dyDescent="0.2">
      <c r="C690" s="303"/>
      <c r="G690" s="317"/>
      <c r="H690" s="303"/>
    </row>
    <row r="691" spans="3:8" ht="15.75" customHeight="1" x14ac:dyDescent="0.2">
      <c r="C691" s="303"/>
      <c r="G691" s="317"/>
      <c r="H691" s="303"/>
    </row>
    <row r="692" spans="3:8" ht="15.75" customHeight="1" x14ac:dyDescent="0.2">
      <c r="C692" s="303"/>
      <c r="G692" s="317"/>
      <c r="H692" s="303"/>
    </row>
    <row r="693" spans="3:8" ht="15.75" customHeight="1" x14ac:dyDescent="0.2">
      <c r="C693" s="303"/>
      <c r="G693" s="317"/>
      <c r="H693" s="303"/>
    </row>
    <row r="694" spans="3:8" ht="15.75" customHeight="1" x14ac:dyDescent="0.2">
      <c r="C694" s="303"/>
      <c r="G694" s="317"/>
      <c r="H694" s="303"/>
    </row>
    <row r="695" spans="3:8" ht="15.75" customHeight="1" x14ac:dyDescent="0.2">
      <c r="C695" s="303"/>
      <c r="G695" s="317"/>
      <c r="H695" s="303"/>
    </row>
    <row r="696" spans="3:8" ht="15.75" customHeight="1" x14ac:dyDescent="0.2">
      <c r="C696" s="303"/>
      <c r="G696" s="317"/>
      <c r="H696" s="303"/>
    </row>
    <row r="697" spans="3:8" ht="15.75" customHeight="1" x14ac:dyDescent="0.2">
      <c r="C697" s="303"/>
      <c r="G697" s="317"/>
      <c r="H697" s="303"/>
    </row>
    <row r="698" spans="3:8" ht="15.75" customHeight="1" x14ac:dyDescent="0.2">
      <c r="C698" s="303"/>
      <c r="G698" s="317"/>
      <c r="H698" s="303"/>
    </row>
    <row r="699" spans="3:8" ht="15.75" customHeight="1" x14ac:dyDescent="0.2">
      <c r="C699" s="303"/>
      <c r="G699" s="317"/>
      <c r="H699" s="303"/>
    </row>
    <row r="700" spans="3:8" ht="15.75" customHeight="1" x14ac:dyDescent="0.2">
      <c r="C700" s="303"/>
      <c r="G700" s="317"/>
      <c r="H700" s="303"/>
    </row>
    <row r="701" spans="3:8" ht="15.75" customHeight="1" x14ac:dyDescent="0.2">
      <c r="C701" s="303"/>
      <c r="G701" s="317"/>
      <c r="H701" s="303"/>
    </row>
    <row r="702" spans="3:8" ht="15.75" customHeight="1" x14ac:dyDescent="0.2">
      <c r="C702" s="303"/>
      <c r="G702" s="317"/>
      <c r="H702" s="303"/>
    </row>
    <row r="703" spans="3:8" ht="15.75" customHeight="1" x14ac:dyDescent="0.2">
      <c r="C703" s="303"/>
      <c r="G703" s="317"/>
      <c r="H703" s="303"/>
    </row>
    <row r="704" spans="3:8" ht="15.75" customHeight="1" x14ac:dyDescent="0.2">
      <c r="C704" s="303"/>
      <c r="G704" s="317"/>
      <c r="H704" s="303"/>
    </row>
    <row r="705" spans="3:8" ht="15.75" customHeight="1" x14ac:dyDescent="0.2">
      <c r="C705" s="303"/>
      <c r="G705" s="317"/>
      <c r="H705" s="303"/>
    </row>
    <row r="706" spans="3:8" ht="15.75" customHeight="1" x14ac:dyDescent="0.2">
      <c r="C706" s="303"/>
      <c r="G706" s="317"/>
      <c r="H706" s="303"/>
    </row>
    <row r="707" spans="3:8" ht="15.75" customHeight="1" x14ac:dyDescent="0.2">
      <c r="C707" s="303"/>
      <c r="G707" s="317"/>
      <c r="H707" s="303"/>
    </row>
    <row r="708" spans="3:8" ht="15.75" customHeight="1" x14ac:dyDescent="0.2">
      <c r="C708" s="303"/>
      <c r="G708" s="317"/>
      <c r="H708" s="303"/>
    </row>
    <row r="709" spans="3:8" ht="15.75" customHeight="1" x14ac:dyDescent="0.2">
      <c r="C709" s="303"/>
      <c r="G709" s="317"/>
      <c r="H709" s="303"/>
    </row>
    <row r="710" spans="3:8" ht="15.75" customHeight="1" x14ac:dyDescent="0.2">
      <c r="C710" s="303"/>
      <c r="G710" s="317"/>
      <c r="H710" s="303"/>
    </row>
    <row r="711" spans="3:8" ht="15.75" customHeight="1" x14ac:dyDescent="0.2">
      <c r="C711" s="303"/>
      <c r="G711" s="317"/>
      <c r="H711" s="303"/>
    </row>
    <row r="712" spans="3:8" ht="15.75" customHeight="1" x14ac:dyDescent="0.2">
      <c r="C712" s="303"/>
      <c r="G712" s="317"/>
      <c r="H712" s="303"/>
    </row>
    <row r="713" spans="3:8" ht="15.75" customHeight="1" x14ac:dyDescent="0.2">
      <c r="C713" s="303"/>
      <c r="G713" s="317"/>
      <c r="H713" s="303"/>
    </row>
    <row r="714" spans="3:8" ht="15.75" customHeight="1" x14ac:dyDescent="0.2">
      <c r="C714" s="303"/>
      <c r="G714" s="317"/>
      <c r="H714" s="303"/>
    </row>
    <row r="715" spans="3:8" ht="15.75" customHeight="1" x14ac:dyDescent="0.2">
      <c r="C715" s="303"/>
      <c r="G715" s="317"/>
      <c r="H715" s="303"/>
    </row>
    <row r="716" spans="3:8" ht="15.75" customHeight="1" x14ac:dyDescent="0.2">
      <c r="C716" s="303"/>
      <c r="G716" s="317"/>
      <c r="H716" s="303"/>
    </row>
    <row r="717" spans="3:8" ht="15.75" customHeight="1" x14ac:dyDescent="0.2">
      <c r="C717" s="303"/>
      <c r="G717" s="317"/>
      <c r="H717" s="303"/>
    </row>
    <row r="718" spans="3:8" ht="15.75" customHeight="1" x14ac:dyDescent="0.2">
      <c r="C718" s="303"/>
      <c r="G718" s="317"/>
      <c r="H718" s="303"/>
    </row>
    <row r="719" spans="3:8" ht="15.75" customHeight="1" x14ac:dyDescent="0.2">
      <c r="C719" s="303"/>
      <c r="G719" s="317"/>
      <c r="H719" s="303"/>
    </row>
    <row r="720" spans="3:8" ht="15.75" customHeight="1" x14ac:dyDescent="0.2">
      <c r="C720" s="303"/>
      <c r="G720" s="317"/>
      <c r="H720" s="303"/>
    </row>
    <row r="721" spans="3:8" ht="15.75" customHeight="1" x14ac:dyDescent="0.2">
      <c r="C721" s="303"/>
      <c r="G721" s="317"/>
      <c r="H721" s="303"/>
    </row>
    <row r="722" spans="3:8" ht="15.75" customHeight="1" x14ac:dyDescent="0.2">
      <c r="C722" s="303"/>
      <c r="G722" s="317"/>
      <c r="H722" s="303"/>
    </row>
    <row r="723" spans="3:8" ht="15.75" customHeight="1" x14ac:dyDescent="0.2">
      <c r="C723" s="303"/>
      <c r="G723" s="317"/>
      <c r="H723" s="303"/>
    </row>
    <row r="724" spans="3:8" ht="15.75" customHeight="1" x14ac:dyDescent="0.2">
      <c r="C724" s="303"/>
      <c r="G724" s="317"/>
      <c r="H724" s="303"/>
    </row>
    <row r="725" spans="3:8" ht="15.75" customHeight="1" x14ac:dyDescent="0.2">
      <c r="C725" s="303"/>
      <c r="G725" s="317"/>
      <c r="H725" s="303"/>
    </row>
    <row r="726" spans="3:8" ht="15.75" customHeight="1" x14ac:dyDescent="0.2">
      <c r="C726" s="303"/>
      <c r="G726" s="317"/>
      <c r="H726" s="303"/>
    </row>
    <row r="727" spans="3:8" ht="15.75" customHeight="1" x14ac:dyDescent="0.2">
      <c r="C727" s="303"/>
      <c r="G727" s="317"/>
      <c r="H727" s="303"/>
    </row>
    <row r="728" spans="3:8" ht="15.75" customHeight="1" x14ac:dyDescent="0.2">
      <c r="C728" s="303"/>
      <c r="G728" s="317"/>
      <c r="H728" s="303"/>
    </row>
    <row r="729" spans="3:8" ht="15.75" customHeight="1" x14ac:dyDescent="0.2">
      <c r="C729" s="303"/>
      <c r="G729" s="317"/>
      <c r="H729" s="303"/>
    </row>
    <row r="730" spans="3:8" ht="15.75" customHeight="1" x14ac:dyDescent="0.2">
      <c r="C730" s="303"/>
      <c r="G730" s="317"/>
      <c r="H730" s="303"/>
    </row>
    <row r="731" spans="3:8" ht="15.75" customHeight="1" x14ac:dyDescent="0.2">
      <c r="C731" s="303"/>
      <c r="G731" s="317"/>
      <c r="H731" s="303"/>
    </row>
    <row r="732" spans="3:8" ht="15.75" customHeight="1" x14ac:dyDescent="0.2">
      <c r="C732" s="303"/>
      <c r="G732" s="317"/>
      <c r="H732" s="303"/>
    </row>
    <row r="733" spans="3:8" ht="15.75" customHeight="1" x14ac:dyDescent="0.2">
      <c r="C733" s="303"/>
      <c r="G733" s="317"/>
      <c r="H733" s="303"/>
    </row>
    <row r="734" spans="3:8" ht="15.75" customHeight="1" x14ac:dyDescent="0.2">
      <c r="C734" s="303"/>
      <c r="G734" s="317"/>
      <c r="H734" s="303"/>
    </row>
    <row r="735" spans="3:8" ht="15.75" customHeight="1" x14ac:dyDescent="0.2">
      <c r="C735" s="303"/>
      <c r="G735" s="317"/>
      <c r="H735" s="303"/>
    </row>
    <row r="736" spans="3:8" ht="15.75" customHeight="1" x14ac:dyDescent="0.2">
      <c r="C736" s="303"/>
      <c r="G736" s="317"/>
      <c r="H736" s="303"/>
    </row>
    <row r="737" spans="3:8" ht="15.75" customHeight="1" x14ac:dyDescent="0.2">
      <c r="C737" s="303"/>
      <c r="G737" s="317"/>
      <c r="H737" s="303"/>
    </row>
    <row r="738" spans="3:8" ht="15.75" customHeight="1" x14ac:dyDescent="0.2">
      <c r="C738" s="303"/>
      <c r="G738" s="317"/>
      <c r="H738" s="303"/>
    </row>
    <row r="739" spans="3:8" ht="15.75" customHeight="1" x14ac:dyDescent="0.2">
      <c r="C739" s="303"/>
      <c r="G739" s="317"/>
      <c r="H739" s="303"/>
    </row>
    <row r="740" spans="3:8" ht="15.75" customHeight="1" x14ac:dyDescent="0.2">
      <c r="C740" s="303"/>
      <c r="G740" s="317"/>
      <c r="H740" s="303"/>
    </row>
    <row r="741" spans="3:8" ht="15.75" customHeight="1" x14ac:dyDescent="0.2">
      <c r="C741" s="303"/>
      <c r="G741" s="317"/>
      <c r="H741" s="303"/>
    </row>
    <row r="742" spans="3:8" ht="15.75" customHeight="1" x14ac:dyDescent="0.2">
      <c r="C742" s="303"/>
      <c r="G742" s="317"/>
      <c r="H742" s="303"/>
    </row>
    <row r="743" spans="3:8" ht="15.75" customHeight="1" x14ac:dyDescent="0.2">
      <c r="C743" s="303"/>
      <c r="G743" s="317"/>
      <c r="H743" s="303"/>
    </row>
    <row r="744" spans="3:8" ht="15.75" customHeight="1" x14ac:dyDescent="0.2">
      <c r="C744" s="303"/>
      <c r="G744" s="317"/>
      <c r="H744" s="303"/>
    </row>
    <row r="745" spans="3:8" ht="15.75" customHeight="1" x14ac:dyDescent="0.2">
      <c r="C745" s="303"/>
      <c r="G745" s="317"/>
      <c r="H745" s="303"/>
    </row>
    <row r="746" spans="3:8" ht="15.75" customHeight="1" x14ac:dyDescent="0.2">
      <c r="C746" s="303"/>
      <c r="G746" s="317"/>
      <c r="H746" s="303"/>
    </row>
    <row r="747" spans="3:8" ht="15.75" customHeight="1" x14ac:dyDescent="0.2">
      <c r="C747" s="303"/>
      <c r="G747" s="317"/>
      <c r="H747" s="303"/>
    </row>
    <row r="748" spans="3:8" ht="15.75" customHeight="1" x14ac:dyDescent="0.2">
      <c r="C748" s="303"/>
      <c r="G748" s="317"/>
      <c r="H748" s="303"/>
    </row>
    <row r="749" spans="3:8" ht="15.75" customHeight="1" x14ac:dyDescent="0.2">
      <c r="C749" s="303"/>
      <c r="G749" s="317"/>
      <c r="H749" s="303"/>
    </row>
    <row r="750" spans="3:8" ht="15.75" customHeight="1" x14ac:dyDescent="0.2">
      <c r="C750" s="303"/>
      <c r="G750" s="317"/>
      <c r="H750" s="303"/>
    </row>
    <row r="751" spans="3:8" ht="15.75" customHeight="1" x14ac:dyDescent="0.2">
      <c r="C751" s="303"/>
      <c r="G751" s="317"/>
      <c r="H751" s="303"/>
    </row>
    <row r="752" spans="3:8" ht="15.75" customHeight="1" x14ac:dyDescent="0.2">
      <c r="C752" s="303"/>
      <c r="G752" s="317"/>
      <c r="H752" s="303"/>
    </row>
    <row r="753" spans="3:8" ht="15.75" customHeight="1" x14ac:dyDescent="0.2">
      <c r="C753" s="303"/>
      <c r="G753" s="317"/>
      <c r="H753" s="303"/>
    </row>
    <row r="754" spans="3:8" ht="15.75" customHeight="1" x14ac:dyDescent="0.2">
      <c r="C754" s="303"/>
      <c r="G754" s="317"/>
      <c r="H754" s="303"/>
    </row>
    <row r="755" spans="3:8" ht="15.75" customHeight="1" x14ac:dyDescent="0.2">
      <c r="C755" s="303"/>
      <c r="G755" s="317"/>
      <c r="H755" s="303"/>
    </row>
    <row r="756" spans="3:8" ht="15.75" customHeight="1" x14ac:dyDescent="0.2">
      <c r="C756" s="303"/>
      <c r="G756" s="317"/>
      <c r="H756" s="303"/>
    </row>
    <row r="757" spans="3:8" ht="15.75" customHeight="1" x14ac:dyDescent="0.2">
      <c r="C757" s="303"/>
      <c r="G757" s="317"/>
      <c r="H757" s="303"/>
    </row>
    <row r="758" spans="3:8" ht="15.75" customHeight="1" x14ac:dyDescent="0.2">
      <c r="C758" s="303"/>
      <c r="G758" s="317"/>
      <c r="H758" s="303"/>
    </row>
    <row r="759" spans="3:8" ht="15.75" customHeight="1" x14ac:dyDescent="0.2">
      <c r="C759" s="303"/>
      <c r="G759" s="317"/>
      <c r="H759" s="303"/>
    </row>
    <row r="760" spans="3:8" ht="15.75" customHeight="1" x14ac:dyDescent="0.2">
      <c r="C760" s="303"/>
      <c r="G760" s="317"/>
      <c r="H760" s="303"/>
    </row>
    <row r="761" spans="3:8" ht="15.75" customHeight="1" x14ac:dyDescent="0.2">
      <c r="C761" s="303"/>
      <c r="G761" s="317"/>
      <c r="H761" s="303"/>
    </row>
    <row r="762" spans="3:8" ht="15.75" customHeight="1" x14ac:dyDescent="0.2">
      <c r="C762" s="303"/>
      <c r="G762" s="317"/>
      <c r="H762" s="303"/>
    </row>
    <row r="763" spans="3:8" ht="15.75" customHeight="1" x14ac:dyDescent="0.2">
      <c r="C763" s="303"/>
      <c r="G763" s="317"/>
      <c r="H763" s="303"/>
    </row>
    <row r="764" spans="3:8" ht="15.75" customHeight="1" x14ac:dyDescent="0.2">
      <c r="C764" s="303"/>
      <c r="G764" s="317"/>
      <c r="H764" s="303"/>
    </row>
    <row r="765" spans="3:8" ht="15.75" customHeight="1" x14ac:dyDescent="0.2">
      <c r="C765" s="303"/>
      <c r="G765" s="317"/>
      <c r="H765" s="303"/>
    </row>
    <row r="766" spans="3:8" ht="15.75" customHeight="1" x14ac:dyDescent="0.2">
      <c r="C766" s="303"/>
      <c r="G766" s="317"/>
      <c r="H766" s="303"/>
    </row>
    <row r="767" spans="3:8" ht="15.75" customHeight="1" x14ac:dyDescent="0.2">
      <c r="C767" s="303"/>
      <c r="G767" s="317"/>
      <c r="H767" s="303"/>
    </row>
    <row r="768" spans="3:8" ht="15.75" customHeight="1" x14ac:dyDescent="0.2">
      <c r="C768" s="303"/>
      <c r="G768" s="317"/>
      <c r="H768" s="303"/>
    </row>
    <row r="769" spans="3:8" ht="15.75" customHeight="1" x14ac:dyDescent="0.2">
      <c r="C769" s="303"/>
      <c r="G769" s="317"/>
      <c r="H769" s="303"/>
    </row>
    <row r="770" spans="3:8" ht="15.75" customHeight="1" x14ac:dyDescent="0.2">
      <c r="C770" s="303"/>
      <c r="G770" s="317"/>
      <c r="H770" s="303"/>
    </row>
    <row r="771" spans="3:8" ht="15.75" customHeight="1" x14ac:dyDescent="0.2">
      <c r="C771" s="303"/>
      <c r="G771" s="317"/>
      <c r="H771" s="303"/>
    </row>
    <row r="772" spans="3:8" ht="15.75" customHeight="1" x14ac:dyDescent="0.2">
      <c r="C772" s="303"/>
      <c r="G772" s="317"/>
      <c r="H772" s="303"/>
    </row>
    <row r="773" spans="3:8" ht="15.75" customHeight="1" x14ac:dyDescent="0.2">
      <c r="C773" s="303"/>
      <c r="G773" s="317"/>
      <c r="H773" s="303"/>
    </row>
    <row r="774" spans="3:8" ht="15.75" customHeight="1" x14ac:dyDescent="0.2">
      <c r="C774" s="303"/>
      <c r="G774" s="317"/>
      <c r="H774" s="303"/>
    </row>
    <row r="775" spans="3:8" ht="15.75" customHeight="1" x14ac:dyDescent="0.2">
      <c r="C775" s="303"/>
      <c r="G775" s="317"/>
      <c r="H775" s="303"/>
    </row>
    <row r="776" spans="3:8" ht="15.75" customHeight="1" x14ac:dyDescent="0.2">
      <c r="C776" s="303"/>
      <c r="G776" s="317"/>
      <c r="H776" s="303"/>
    </row>
    <row r="777" spans="3:8" ht="15.75" customHeight="1" x14ac:dyDescent="0.2">
      <c r="C777" s="303"/>
      <c r="G777" s="317"/>
      <c r="H777" s="303"/>
    </row>
    <row r="778" spans="3:8" ht="15.75" customHeight="1" x14ac:dyDescent="0.2">
      <c r="C778" s="303"/>
      <c r="G778" s="317"/>
      <c r="H778" s="303"/>
    </row>
    <row r="779" spans="3:8" ht="15.75" customHeight="1" x14ac:dyDescent="0.2">
      <c r="C779" s="303"/>
      <c r="G779" s="317"/>
      <c r="H779" s="303"/>
    </row>
    <row r="780" spans="3:8" ht="15.75" customHeight="1" x14ac:dyDescent="0.2">
      <c r="C780" s="303"/>
      <c r="G780" s="317"/>
      <c r="H780" s="303"/>
    </row>
    <row r="781" spans="3:8" ht="15.75" customHeight="1" x14ac:dyDescent="0.2">
      <c r="C781" s="303"/>
      <c r="G781" s="317"/>
      <c r="H781" s="303"/>
    </row>
    <row r="782" spans="3:8" ht="15.75" customHeight="1" x14ac:dyDescent="0.2">
      <c r="C782" s="303"/>
      <c r="G782" s="317"/>
      <c r="H782" s="303"/>
    </row>
    <row r="783" spans="3:8" ht="15.75" customHeight="1" x14ac:dyDescent="0.2">
      <c r="C783" s="303"/>
      <c r="G783" s="317"/>
      <c r="H783" s="303"/>
    </row>
    <row r="784" spans="3:8" ht="15.75" customHeight="1" x14ac:dyDescent="0.2">
      <c r="C784" s="303"/>
      <c r="G784" s="317"/>
      <c r="H784" s="303"/>
    </row>
    <row r="785" spans="3:8" ht="15.75" customHeight="1" x14ac:dyDescent="0.2">
      <c r="C785" s="303"/>
      <c r="G785" s="317"/>
      <c r="H785" s="303"/>
    </row>
    <row r="786" spans="3:8" ht="15.75" customHeight="1" x14ac:dyDescent="0.2">
      <c r="C786" s="303"/>
      <c r="G786" s="317"/>
      <c r="H786" s="303"/>
    </row>
    <row r="787" spans="3:8" ht="15.75" customHeight="1" x14ac:dyDescent="0.2">
      <c r="C787" s="303"/>
      <c r="G787" s="317"/>
      <c r="H787" s="303"/>
    </row>
    <row r="788" spans="3:8" ht="15.75" customHeight="1" x14ac:dyDescent="0.2">
      <c r="C788" s="303"/>
      <c r="G788" s="317"/>
      <c r="H788" s="303"/>
    </row>
    <row r="789" spans="3:8" ht="15.75" customHeight="1" x14ac:dyDescent="0.2">
      <c r="C789" s="303"/>
      <c r="G789" s="317"/>
      <c r="H789" s="303"/>
    </row>
    <row r="790" spans="3:8" ht="15.75" customHeight="1" x14ac:dyDescent="0.2">
      <c r="C790" s="303"/>
      <c r="G790" s="317"/>
      <c r="H790" s="303"/>
    </row>
    <row r="791" spans="3:8" ht="15.75" customHeight="1" x14ac:dyDescent="0.2">
      <c r="C791" s="303"/>
      <c r="G791" s="317"/>
      <c r="H791" s="303"/>
    </row>
    <row r="792" spans="3:8" ht="15.75" customHeight="1" x14ac:dyDescent="0.2">
      <c r="C792" s="303"/>
      <c r="G792" s="317"/>
      <c r="H792" s="303"/>
    </row>
    <row r="793" spans="3:8" ht="15.75" customHeight="1" x14ac:dyDescent="0.2">
      <c r="C793" s="303"/>
      <c r="G793" s="317"/>
      <c r="H793" s="303"/>
    </row>
    <row r="794" spans="3:8" ht="15.75" customHeight="1" x14ac:dyDescent="0.2">
      <c r="C794" s="303"/>
      <c r="G794" s="317"/>
      <c r="H794" s="303"/>
    </row>
    <row r="795" spans="3:8" ht="15.75" customHeight="1" x14ac:dyDescent="0.2">
      <c r="C795" s="303"/>
      <c r="G795" s="317"/>
      <c r="H795" s="303"/>
    </row>
    <row r="796" spans="3:8" ht="15.75" customHeight="1" x14ac:dyDescent="0.2">
      <c r="C796" s="303"/>
      <c r="G796" s="317"/>
      <c r="H796" s="303"/>
    </row>
    <row r="797" spans="3:8" ht="15.75" customHeight="1" x14ac:dyDescent="0.2">
      <c r="C797" s="303"/>
      <c r="G797" s="317"/>
      <c r="H797" s="303"/>
    </row>
    <row r="798" spans="3:8" ht="15.75" customHeight="1" x14ac:dyDescent="0.2">
      <c r="C798" s="303"/>
      <c r="G798" s="317"/>
      <c r="H798" s="303"/>
    </row>
    <row r="799" spans="3:8" ht="15.75" customHeight="1" x14ac:dyDescent="0.2">
      <c r="C799" s="303"/>
      <c r="G799" s="317"/>
      <c r="H799" s="303"/>
    </row>
    <row r="800" spans="3:8" ht="15.75" customHeight="1" x14ac:dyDescent="0.2">
      <c r="C800" s="303"/>
      <c r="G800" s="317"/>
      <c r="H800" s="303"/>
    </row>
    <row r="801" spans="3:8" ht="15.75" customHeight="1" x14ac:dyDescent="0.2">
      <c r="C801" s="303"/>
      <c r="G801" s="317"/>
      <c r="H801" s="303"/>
    </row>
    <row r="802" spans="3:8" ht="15.75" customHeight="1" x14ac:dyDescent="0.2">
      <c r="C802" s="303"/>
      <c r="G802" s="317"/>
      <c r="H802" s="303"/>
    </row>
    <row r="803" spans="3:8" ht="15.75" customHeight="1" x14ac:dyDescent="0.2">
      <c r="C803" s="303"/>
      <c r="G803" s="317"/>
      <c r="H803" s="303"/>
    </row>
    <row r="804" spans="3:8" ht="15.75" customHeight="1" x14ac:dyDescent="0.2">
      <c r="C804" s="303"/>
      <c r="G804" s="317"/>
      <c r="H804" s="303"/>
    </row>
    <row r="805" spans="3:8" ht="15.75" customHeight="1" x14ac:dyDescent="0.2">
      <c r="C805" s="303"/>
      <c r="G805" s="317"/>
      <c r="H805" s="303"/>
    </row>
    <row r="806" spans="3:8" ht="15.75" customHeight="1" x14ac:dyDescent="0.2">
      <c r="C806" s="303"/>
      <c r="G806" s="317"/>
      <c r="H806" s="303"/>
    </row>
    <row r="807" spans="3:8" ht="15.75" customHeight="1" x14ac:dyDescent="0.2">
      <c r="C807" s="303"/>
      <c r="G807" s="317"/>
      <c r="H807" s="303"/>
    </row>
    <row r="808" spans="3:8" ht="15.75" customHeight="1" x14ac:dyDescent="0.2">
      <c r="C808" s="303"/>
      <c r="G808" s="317"/>
      <c r="H808" s="303"/>
    </row>
    <row r="809" spans="3:8" ht="15.75" customHeight="1" x14ac:dyDescent="0.2">
      <c r="C809" s="303"/>
      <c r="G809" s="317"/>
      <c r="H809" s="303"/>
    </row>
    <row r="810" spans="3:8" ht="15.75" customHeight="1" x14ac:dyDescent="0.2">
      <c r="C810" s="303"/>
      <c r="G810" s="317"/>
      <c r="H810" s="303"/>
    </row>
    <row r="811" spans="3:8" ht="15.75" customHeight="1" x14ac:dyDescent="0.2">
      <c r="C811" s="303"/>
      <c r="G811" s="317"/>
      <c r="H811" s="303"/>
    </row>
    <row r="812" spans="3:8" ht="15.75" customHeight="1" x14ac:dyDescent="0.2">
      <c r="C812" s="303"/>
      <c r="G812" s="317"/>
      <c r="H812" s="303"/>
    </row>
    <row r="813" spans="3:8" ht="15.75" customHeight="1" x14ac:dyDescent="0.2">
      <c r="C813" s="303"/>
      <c r="G813" s="317"/>
      <c r="H813" s="303"/>
    </row>
    <row r="814" spans="3:8" ht="15.75" customHeight="1" x14ac:dyDescent="0.2">
      <c r="C814" s="303"/>
      <c r="G814" s="317"/>
      <c r="H814" s="303"/>
    </row>
    <row r="815" spans="3:8" ht="15.75" customHeight="1" x14ac:dyDescent="0.2">
      <c r="C815" s="303"/>
      <c r="G815" s="317"/>
      <c r="H815" s="303"/>
    </row>
    <row r="816" spans="3:8" ht="15.75" customHeight="1" x14ac:dyDescent="0.2">
      <c r="C816" s="303"/>
      <c r="G816" s="317"/>
      <c r="H816" s="303"/>
    </row>
    <row r="817" spans="3:8" ht="15.75" customHeight="1" x14ac:dyDescent="0.2">
      <c r="C817" s="303"/>
      <c r="G817" s="317"/>
      <c r="H817" s="303"/>
    </row>
    <row r="818" spans="3:8" ht="15.75" customHeight="1" x14ac:dyDescent="0.2">
      <c r="C818" s="303"/>
      <c r="G818" s="317"/>
      <c r="H818" s="303"/>
    </row>
    <row r="819" spans="3:8" ht="15.75" customHeight="1" x14ac:dyDescent="0.2">
      <c r="C819" s="303"/>
      <c r="G819" s="317"/>
      <c r="H819" s="303"/>
    </row>
    <row r="820" spans="3:8" ht="15.75" customHeight="1" x14ac:dyDescent="0.2">
      <c r="C820" s="303"/>
      <c r="G820" s="317"/>
      <c r="H820" s="303"/>
    </row>
    <row r="821" spans="3:8" ht="15.75" customHeight="1" x14ac:dyDescent="0.2">
      <c r="C821" s="303"/>
      <c r="G821" s="317"/>
      <c r="H821" s="303"/>
    </row>
    <row r="822" spans="3:8" ht="15.75" customHeight="1" x14ac:dyDescent="0.2">
      <c r="C822" s="303"/>
      <c r="G822" s="317"/>
      <c r="H822" s="303"/>
    </row>
    <row r="823" spans="3:8" ht="15.75" customHeight="1" x14ac:dyDescent="0.2">
      <c r="C823" s="303"/>
      <c r="G823" s="317"/>
      <c r="H823" s="303"/>
    </row>
    <row r="824" spans="3:8" ht="15.75" customHeight="1" x14ac:dyDescent="0.2">
      <c r="C824" s="303"/>
      <c r="G824" s="317"/>
      <c r="H824" s="303"/>
    </row>
    <row r="825" spans="3:8" ht="15.75" customHeight="1" x14ac:dyDescent="0.2">
      <c r="C825" s="303"/>
      <c r="G825" s="317"/>
      <c r="H825" s="303"/>
    </row>
    <row r="826" spans="3:8" ht="15.75" customHeight="1" x14ac:dyDescent="0.2">
      <c r="C826" s="303"/>
      <c r="G826" s="317"/>
      <c r="H826" s="303"/>
    </row>
    <row r="827" spans="3:8" ht="15.75" customHeight="1" x14ac:dyDescent="0.2">
      <c r="C827" s="303"/>
      <c r="G827" s="317"/>
      <c r="H827" s="303"/>
    </row>
    <row r="828" spans="3:8" ht="15.75" customHeight="1" x14ac:dyDescent="0.2">
      <c r="C828" s="303"/>
      <c r="G828" s="317"/>
      <c r="H828" s="303"/>
    </row>
    <row r="829" spans="3:8" ht="15.75" customHeight="1" x14ac:dyDescent="0.2">
      <c r="C829" s="303"/>
      <c r="G829" s="317"/>
      <c r="H829" s="303"/>
    </row>
    <row r="830" spans="3:8" ht="15.75" customHeight="1" x14ac:dyDescent="0.2">
      <c r="C830" s="303"/>
      <c r="G830" s="317"/>
      <c r="H830" s="303"/>
    </row>
    <row r="831" spans="3:8" ht="15.75" customHeight="1" x14ac:dyDescent="0.2">
      <c r="C831" s="303"/>
      <c r="G831" s="317"/>
      <c r="H831" s="303"/>
    </row>
    <row r="832" spans="3:8" ht="15.75" customHeight="1" x14ac:dyDescent="0.2">
      <c r="C832" s="303"/>
      <c r="G832" s="317"/>
      <c r="H832" s="303"/>
    </row>
    <row r="833" spans="3:8" ht="15.75" customHeight="1" x14ac:dyDescent="0.2">
      <c r="C833" s="303"/>
      <c r="G833" s="317"/>
      <c r="H833" s="303"/>
    </row>
    <row r="834" spans="3:8" ht="15.75" customHeight="1" x14ac:dyDescent="0.2">
      <c r="C834" s="303"/>
      <c r="G834" s="317"/>
      <c r="H834" s="303"/>
    </row>
    <row r="835" spans="3:8" ht="15.75" customHeight="1" x14ac:dyDescent="0.2">
      <c r="C835" s="303"/>
      <c r="G835" s="317"/>
      <c r="H835" s="303"/>
    </row>
    <row r="836" spans="3:8" ht="15.75" customHeight="1" x14ac:dyDescent="0.2">
      <c r="C836" s="303"/>
      <c r="G836" s="317"/>
      <c r="H836" s="303"/>
    </row>
    <row r="837" spans="3:8" ht="15.75" customHeight="1" x14ac:dyDescent="0.2">
      <c r="C837" s="303"/>
      <c r="G837" s="317"/>
      <c r="H837" s="303"/>
    </row>
    <row r="838" spans="3:8" ht="15.75" customHeight="1" x14ac:dyDescent="0.2">
      <c r="C838" s="303"/>
      <c r="G838" s="317"/>
      <c r="H838" s="303"/>
    </row>
    <row r="839" spans="3:8" ht="15.75" customHeight="1" x14ac:dyDescent="0.2">
      <c r="C839" s="303"/>
      <c r="G839" s="317"/>
      <c r="H839" s="303"/>
    </row>
    <row r="840" spans="3:8" ht="15.75" customHeight="1" x14ac:dyDescent="0.2">
      <c r="C840" s="303"/>
      <c r="G840" s="317"/>
      <c r="H840" s="303"/>
    </row>
    <row r="841" spans="3:8" ht="15.75" customHeight="1" x14ac:dyDescent="0.2">
      <c r="C841" s="303"/>
      <c r="G841" s="317"/>
      <c r="H841" s="303"/>
    </row>
    <row r="842" spans="3:8" ht="15.75" customHeight="1" x14ac:dyDescent="0.2">
      <c r="C842" s="303"/>
      <c r="G842" s="317"/>
      <c r="H842" s="303"/>
    </row>
    <row r="843" spans="3:8" ht="15.75" customHeight="1" x14ac:dyDescent="0.2">
      <c r="C843" s="303"/>
      <c r="G843" s="317"/>
      <c r="H843" s="303"/>
    </row>
    <row r="844" spans="3:8" ht="15.75" customHeight="1" x14ac:dyDescent="0.2">
      <c r="C844" s="303"/>
      <c r="G844" s="317"/>
      <c r="H844" s="303"/>
    </row>
    <row r="845" spans="3:8" ht="15.75" customHeight="1" x14ac:dyDescent="0.2">
      <c r="C845" s="303"/>
      <c r="G845" s="317"/>
      <c r="H845" s="303"/>
    </row>
    <row r="846" spans="3:8" ht="15.75" customHeight="1" x14ac:dyDescent="0.2">
      <c r="C846" s="303"/>
      <c r="G846" s="317"/>
      <c r="H846" s="303"/>
    </row>
    <row r="847" spans="3:8" ht="15.75" customHeight="1" x14ac:dyDescent="0.2">
      <c r="C847" s="303"/>
      <c r="G847" s="317"/>
      <c r="H847" s="303"/>
    </row>
    <row r="848" spans="3:8" ht="15.75" customHeight="1" x14ac:dyDescent="0.2">
      <c r="C848" s="303"/>
      <c r="G848" s="317"/>
      <c r="H848" s="303"/>
    </row>
    <row r="849" spans="3:8" ht="15.75" customHeight="1" x14ac:dyDescent="0.2">
      <c r="C849" s="303"/>
      <c r="G849" s="317"/>
      <c r="H849" s="303"/>
    </row>
    <row r="850" spans="3:8" ht="15.75" customHeight="1" x14ac:dyDescent="0.2">
      <c r="C850" s="303"/>
      <c r="G850" s="317"/>
      <c r="H850" s="303"/>
    </row>
    <row r="851" spans="3:8" ht="15.75" customHeight="1" x14ac:dyDescent="0.2">
      <c r="C851" s="303"/>
      <c r="G851" s="317"/>
      <c r="H851" s="303"/>
    </row>
    <row r="852" spans="3:8" ht="15.75" customHeight="1" x14ac:dyDescent="0.2">
      <c r="C852" s="303"/>
      <c r="G852" s="317"/>
      <c r="H852" s="303"/>
    </row>
    <row r="853" spans="3:8" ht="15.75" customHeight="1" x14ac:dyDescent="0.2">
      <c r="C853" s="303"/>
      <c r="G853" s="317"/>
      <c r="H853" s="303"/>
    </row>
    <row r="854" spans="3:8" ht="15.75" customHeight="1" x14ac:dyDescent="0.2">
      <c r="C854" s="303"/>
      <c r="G854" s="317"/>
      <c r="H854" s="303"/>
    </row>
    <row r="855" spans="3:8" ht="15.75" customHeight="1" x14ac:dyDescent="0.2">
      <c r="C855" s="303"/>
      <c r="G855" s="317"/>
      <c r="H855" s="303"/>
    </row>
    <row r="856" spans="3:8" ht="15.75" customHeight="1" x14ac:dyDescent="0.2">
      <c r="C856" s="303"/>
      <c r="G856" s="317"/>
      <c r="H856" s="303"/>
    </row>
    <row r="857" spans="3:8" ht="15.75" customHeight="1" x14ac:dyDescent="0.2">
      <c r="C857" s="303"/>
      <c r="G857" s="317"/>
      <c r="H857" s="303"/>
    </row>
    <row r="858" spans="3:8" ht="15.75" customHeight="1" x14ac:dyDescent="0.2">
      <c r="C858" s="303"/>
      <c r="G858" s="317"/>
      <c r="H858" s="303"/>
    </row>
    <row r="859" spans="3:8" ht="15.75" customHeight="1" x14ac:dyDescent="0.2">
      <c r="C859" s="303"/>
      <c r="G859" s="317"/>
      <c r="H859" s="303"/>
    </row>
    <row r="860" spans="3:8" ht="15.75" customHeight="1" x14ac:dyDescent="0.2">
      <c r="C860" s="303"/>
      <c r="G860" s="317"/>
      <c r="H860" s="303"/>
    </row>
    <row r="861" spans="3:8" ht="15.75" customHeight="1" x14ac:dyDescent="0.2">
      <c r="C861" s="303"/>
      <c r="G861" s="317"/>
      <c r="H861" s="303"/>
    </row>
    <row r="862" spans="3:8" ht="15.75" customHeight="1" x14ac:dyDescent="0.2">
      <c r="C862" s="303"/>
      <c r="G862" s="317"/>
      <c r="H862" s="303"/>
    </row>
    <row r="863" spans="3:8" ht="15.75" customHeight="1" x14ac:dyDescent="0.2">
      <c r="C863" s="303"/>
      <c r="G863" s="317"/>
      <c r="H863" s="303"/>
    </row>
    <row r="864" spans="3:8" ht="15.75" customHeight="1" x14ac:dyDescent="0.2">
      <c r="C864" s="303"/>
      <c r="G864" s="317"/>
      <c r="H864" s="303"/>
    </row>
    <row r="865" spans="3:8" ht="15.75" customHeight="1" x14ac:dyDescent="0.2">
      <c r="C865" s="303"/>
      <c r="G865" s="317"/>
      <c r="H865" s="303"/>
    </row>
    <row r="866" spans="3:8" ht="15.75" customHeight="1" x14ac:dyDescent="0.2">
      <c r="C866" s="303"/>
      <c r="G866" s="317"/>
      <c r="H866" s="303"/>
    </row>
    <row r="867" spans="3:8" ht="15.75" customHeight="1" x14ac:dyDescent="0.2">
      <c r="C867" s="303"/>
      <c r="G867" s="317"/>
      <c r="H867" s="303"/>
    </row>
    <row r="868" spans="3:8" ht="15.75" customHeight="1" x14ac:dyDescent="0.2">
      <c r="C868" s="303"/>
      <c r="G868" s="317"/>
      <c r="H868" s="303"/>
    </row>
    <row r="869" spans="3:8" ht="15.75" customHeight="1" x14ac:dyDescent="0.2">
      <c r="C869" s="303"/>
      <c r="G869" s="317"/>
      <c r="H869" s="303"/>
    </row>
    <row r="870" spans="3:8" ht="15.75" customHeight="1" x14ac:dyDescent="0.2">
      <c r="C870" s="303"/>
      <c r="G870" s="317"/>
      <c r="H870" s="303"/>
    </row>
    <row r="871" spans="3:8" ht="15.75" customHeight="1" x14ac:dyDescent="0.2">
      <c r="C871" s="303"/>
      <c r="G871" s="317"/>
      <c r="H871" s="303"/>
    </row>
    <row r="872" spans="3:8" ht="15.75" customHeight="1" x14ac:dyDescent="0.2">
      <c r="C872" s="303"/>
      <c r="G872" s="317"/>
      <c r="H872" s="303"/>
    </row>
    <row r="873" spans="3:8" ht="15.75" customHeight="1" x14ac:dyDescent="0.2">
      <c r="C873" s="303"/>
      <c r="G873" s="317"/>
      <c r="H873" s="303"/>
    </row>
    <row r="874" spans="3:8" ht="15.75" customHeight="1" x14ac:dyDescent="0.2">
      <c r="C874" s="303"/>
      <c r="G874" s="317"/>
      <c r="H874" s="303"/>
    </row>
    <row r="875" spans="3:8" ht="15.75" customHeight="1" x14ac:dyDescent="0.2">
      <c r="C875" s="303"/>
      <c r="G875" s="317"/>
      <c r="H875" s="303"/>
    </row>
    <row r="876" spans="3:8" ht="15.75" customHeight="1" x14ac:dyDescent="0.2">
      <c r="C876" s="303"/>
      <c r="G876" s="317"/>
      <c r="H876" s="303"/>
    </row>
    <row r="877" spans="3:8" ht="15.75" customHeight="1" x14ac:dyDescent="0.2">
      <c r="C877" s="303"/>
      <c r="G877" s="317"/>
      <c r="H877" s="303"/>
    </row>
    <row r="878" spans="3:8" ht="15.75" customHeight="1" x14ac:dyDescent="0.2">
      <c r="C878" s="303"/>
      <c r="G878" s="317"/>
      <c r="H878" s="303"/>
    </row>
    <row r="879" spans="3:8" ht="15.75" customHeight="1" x14ac:dyDescent="0.2">
      <c r="C879" s="303"/>
      <c r="G879" s="317"/>
      <c r="H879" s="303"/>
    </row>
    <row r="880" spans="3:8" ht="15.75" customHeight="1" x14ac:dyDescent="0.2">
      <c r="C880" s="303"/>
      <c r="G880" s="317"/>
      <c r="H880" s="303"/>
    </row>
    <row r="881" spans="3:8" ht="15.75" customHeight="1" x14ac:dyDescent="0.2">
      <c r="C881" s="303"/>
      <c r="G881" s="317"/>
      <c r="H881" s="303"/>
    </row>
    <row r="882" spans="3:8" ht="15.75" customHeight="1" x14ac:dyDescent="0.2">
      <c r="C882" s="303"/>
      <c r="G882" s="317"/>
      <c r="H882" s="303"/>
    </row>
    <row r="883" spans="3:8" ht="15.75" customHeight="1" x14ac:dyDescent="0.2">
      <c r="C883" s="303"/>
      <c r="G883" s="317"/>
      <c r="H883" s="303"/>
    </row>
    <row r="884" spans="3:8" ht="15.75" customHeight="1" x14ac:dyDescent="0.2">
      <c r="C884" s="303"/>
      <c r="G884" s="317"/>
      <c r="H884" s="303"/>
    </row>
    <row r="885" spans="3:8" ht="15.75" customHeight="1" x14ac:dyDescent="0.2">
      <c r="C885" s="303"/>
      <c r="G885" s="317"/>
      <c r="H885" s="303"/>
    </row>
    <row r="886" spans="3:8" ht="15.75" customHeight="1" x14ac:dyDescent="0.2">
      <c r="C886" s="303"/>
      <c r="G886" s="317"/>
      <c r="H886" s="303"/>
    </row>
    <row r="887" spans="3:8" ht="15.75" customHeight="1" x14ac:dyDescent="0.2">
      <c r="C887" s="303"/>
      <c r="G887" s="317"/>
      <c r="H887" s="303"/>
    </row>
    <row r="888" spans="3:8" ht="15.75" customHeight="1" x14ac:dyDescent="0.2">
      <c r="C888" s="303"/>
      <c r="G888" s="317"/>
      <c r="H888" s="303"/>
    </row>
    <row r="889" spans="3:8" ht="15.75" customHeight="1" x14ac:dyDescent="0.2">
      <c r="C889" s="303"/>
      <c r="G889" s="317"/>
      <c r="H889" s="303"/>
    </row>
    <row r="890" spans="3:8" ht="15.75" customHeight="1" x14ac:dyDescent="0.2">
      <c r="C890" s="303"/>
      <c r="G890" s="317"/>
      <c r="H890" s="303"/>
    </row>
    <row r="891" spans="3:8" ht="15.75" customHeight="1" x14ac:dyDescent="0.2">
      <c r="C891" s="303"/>
      <c r="G891" s="317"/>
      <c r="H891" s="303"/>
    </row>
    <row r="892" spans="3:8" ht="15.75" customHeight="1" x14ac:dyDescent="0.2">
      <c r="C892" s="303"/>
      <c r="G892" s="317"/>
      <c r="H892" s="303"/>
    </row>
    <row r="893" spans="3:8" ht="15.75" customHeight="1" x14ac:dyDescent="0.2">
      <c r="C893" s="303"/>
      <c r="G893" s="317"/>
      <c r="H893" s="303"/>
    </row>
    <row r="894" spans="3:8" ht="15.75" customHeight="1" x14ac:dyDescent="0.2">
      <c r="C894" s="303"/>
      <c r="G894" s="317"/>
      <c r="H894" s="303"/>
    </row>
    <row r="895" spans="3:8" ht="15.75" customHeight="1" x14ac:dyDescent="0.2">
      <c r="C895" s="303"/>
      <c r="G895" s="317"/>
      <c r="H895" s="303"/>
    </row>
    <row r="896" spans="3:8" ht="15.75" customHeight="1" x14ac:dyDescent="0.2">
      <c r="C896" s="303"/>
      <c r="G896" s="317"/>
      <c r="H896" s="303"/>
    </row>
    <row r="897" spans="3:8" ht="15.75" customHeight="1" x14ac:dyDescent="0.2">
      <c r="C897" s="303"/>
      <c r="G897" s="317"/>
      <c r="H897" s="303"/>
    </row>
    <row r="898" spans="3:8" ht="15.75" customHeight="1" x14ac:dyDescent="0.2">
      <c r="C898" s="303"/>
      <c r="G898" s="317"/>
      <c r="H898" s="303"/>
    </row>
    <row r="899" spans="3:8" ht="15.75" customHeight="1" x14ac:dyDescent="0.2">
      <c r="C899" s="303"/>
      <c r="G899" s="317"/>
      <c r="H899" s="303"/>
    </row>
    <row r="900" spans="3:8" ht="15.75" customHeight="1" x14ac:dyDescent="0.2">
      <c r="C900" s="303"/>
      <c r="G900" s="317"/>
      <c r="H900" s="303"/>
    </row>
    <row r="901" spans="3:8" ht="15.75" customHeight="1" x14ac:dyDescent="0.2">
      <c r="C901" s="303"/>
      <c r="G901" s="317"/>
      <c r="H901" s="303"/>
    </row>
    <row r="902" spans="3:8" ht="15.75" customHeight="1" x14ac:dyDescent="0.2">
      <c r="C902" s="303"/>
      <c r="G902" s="317"/>
      <c r="H902" s="303"/>
    </row>
    <row r="903" spans="3:8" ht="15.75" customHeight="1" x14ac:dyDescent="0.2">
      <c r="C903" s="303"/>
      <c r="G903" s="317"/>
      <c r="H903" s="303"/>
    </row>
    <row r="904" spans="3:8" ht="15.75" customHeight="1" x14ac:dyDescent="0.2">
      <c r="C904" s="303"/>
      <c r="G904" s="317"/>
      <c r="H904" s="303"/>
    </row>
    <row r="905" spans="3:8" ht="15.75" customHeight="1" x14ac:dyDescent="0.2">
      <c r="C905" s="303"/>
      <c r="G905" s="317"/>
      <c r="H905" s="303"/>
    </row>
    <row r="906" spans="3:8" ht="15.75" customHeight="1" x14ac:dyDescent="0.2">
      <c r="C906" s="303"/>
      <c r="G906" s="317"/>
      <c r="H906" s="303"/>
    </row>
    <row r="907" spans="3:8" ht="15.75" customHeight="1" x14ac:dyDescent="0.2">
      <c r="C907" s="303"/>
      <c r="G907" s="317"/>
      <c r="H907" s="303"/>
    </row>
    <row r="908" spans="3:8" ht="15.75" customHeight="1" x14ac:dyDescent="0.2">
      <c r="C908" s="303"/>
      <c r="G908" s="317"/>
      <c r="H908" s="303"/>
    </row>
    <row r="909" spans="3:8" ht="15.75" customHeight="1" x14ac:dyDescent="0.2">
      <c r="C909" s="303"/>
      <c r="G909" s="317"/>
      <c r="H909" s="303"/>
    </row>
    <row r="910" spans="3:8" ht="15.75" customHeight="1" x14ac:dyDescent="0.2">
      <c r="C910" s="303"/>
      <c r="G910" s="317"/>
      <c r="H910" s="303"/>
    </row>
    <row r="911" spans="3:8" ht="15.75" customHeight="1" x14ac:dyDescent="0.2">
      <c r="C911" s="303"/>
      <c r="G911" s="317"/>
      <c r="H911" s="303"/>
    </row>
    <row r="912" spans="3:8" ht="15.75" customHeight="1" x14ac:dyDescent="0.2">
      <c r="C912" s="303"/>
      <c r="G912" s="317"/>
      <c r="H912" s="303"/>
    </row>
    <row r="913" spans="3:8" ht="15.75" customHeight="1" x14ac:dyDescent="0.2">
      <c r="C913" s="303"/>
      <c r="G913" s="317"/>
      <c r="H913" s="303"/>
    </row>
    <row r="914" spans="3:8" ht="15.75" customHeight="1" x14ac:dyDescent="0.2">
      <c r="C914" s="303"/>
      <c r="G914" s="317"/>
      <c r="H914" s="303"/>
    </row>
    <row r="915" spans="3:8" ht="15.75" customHeight="1" x14ac:dyDescent="0.2">
      <c r="C915" s="303"/>
      <c r="G915" s="317"/>
      <c r="H915" s="303"/>
    </row>
    <row r="916" spans="3:8" ht="15.75" customHeight="1" x14ac:dyDescent="0.2">
      <c r="C916" s="303"/>
      <c r="G916" s="317"/>
      <c r="H916" s="303"/>
    </row>
    <row r="917" spans="3:8" ht="15.75" customHeight="1" x14ac:dyDescent="0.2">
      <c r="C917" s="303"/>
      <c r="G917" s="317"/>
      <c r="H917" s="303"/>
    </row>
    <row r="918" spans="3:8" ht="15.75" customHeight="1" x14ac:dyDescent="0.2">
      <c r="C918" s="303"/>
      <c r="G918" s="317"/>
      <c r="H918" s="303"/>
    </row>
    <row r="919" spans="3:8" ht="15.75" customHeight="1" x14ac:dyDescent="0.2">
      <c r="C919" s="303"/>
      <c r="G919" s="317"/>
      <c r="H919" s="303"/>
    </row>
    <row r="920" spans="3:8" ht="15.75" customHeight="1" x14ac:dyDescent="0.2">
      <c r="C920" s="303"/>
      <c r="G920" s="317"/>
      <c r="H920" s="303"/>
    </row>
    <row r="921" spans="3:8" ht="15.75" customHeight="1" x14ac:dyDescent="0.2">
      <c r="C921" s="303"/>
      <c r="G921" s="317"/>
      <c r="H921" s="303"/>
    </row>
    <row r="922" spans="3:8" ht="15.75" customHeight="1" x14ac:dyDescent="0.2">
      <c r="C922" s="303"/>
      <c r="G922" s="317"/>
      <c r="H922" s="303"/>
    </row>
    <row r="923" spans="3:8" ht="15.75" customHeight="1" x14ac:dyDescent="0.2">
      <c r="C923" s="303"/>
      <c r="G923" s="317"/>
      <c r="H923" s="303"/>
    </row>
    <row r="924" spans="3:8" ht="15.75" customHeight="1" x14ac:dyDescent="0.2">
      <c r="C924" s="303"/>
      <c r="G924" s="317"/>
      <c r="H924" s="303"/>
    </row>
    <row r="925" spans="3:8" ht="15.75" customHeight="1" x14ac:dyDescent="0.2">
      <c r="C925" s="303"/>
      <c r="G925" s="317"/>
      <c r="H925" s="303"/>
    </row>
    <row r="926" spans="3:8" ht="15.75" customHeight="1" x14ac:dyDescent="0.2">
      <c r="C926" s="303"/>
      <c r="G926" s="317"/>
      <c r="H926" s="303"/>
    </row>
    <row r="927" spans="3:8" ht="15.75" customHeight="1" x14ac:dyDescent="0.2">
      <c r="C927" s="303"/>
      <c r="G927" s="317"/>
      <c r="H927" s="303"/>
    </row>
    <row r="928" spans="3:8" ht="15.75" customHeight="1" x14ac:dyDescent="0.2">
      <c r="C928" s="303"/>
      <c r="G928" s="317"/>
      <c r="H928" s="303"/>
    </row>
    <row r="929" spans="3:8" ht="15.75" customHeight="1" x14ac:dyDescent="0.2">
      <c r="C929" s="303"/>
      <c r="G929" s="317"/>
      <c r="H929" s="303"/>
    </row>
    <row r="930" spans="3:8" ht="15.75" customHeight="1" x14ac:dyDescent="0.2">
      <c r="C930" s="303"/>
      <c r="G930" s="317"/>
      <c r="H930" s="303"/>
    </row>
    <row r="931" spans="3:8" ht="15.75" customHeight="1" x14ac:dyDescent="0.2">
      <c r="C931" s="303"/>
      <c r="G931" s="317"/>
      <c r="H931" s="303"/>
    </row>
    <row r="932" spans="3:8" ht="15.75" customHeight="1" x14ac:dyDescent="0.2">
      <c r="C932" s="303"/>
      <c r="G932" s="317"/>
      <c r="H932" s="303"/>
    </row>
    <row r="933" spans="3:8" ht="15.75" customHeight="1" x14ac:dyDescent="0.2">
      <c r="C933" s="303"/>
      <c r="G933" s="317"/>
      <c r="H933" s="303"/>
    </row>
    <row r="934" spans="3:8" ht="15.75" customHeight="1" x14ac:dyDescent="0.2">
      <c r="C934" s="303"/>
      <c r="G934" s="317"/>
      <c r="H934" s="303"/>
    </row>
    <row r="935" spans="3:8" ht="15.75" customHeight="1" x14ac:dyDescent="0.2">
      <c r="C935" s="303"/>
      <c r="G935" s="317"/>
      <c r="H935" s="303"/>
    </row>
    <row r="936" spans="3:8" ht="15.75" customHeight="1" x14ac:dyDescent="0.2">
      <c r="C936" s="303"/>
      <c r="G936" s="317"/>
      <c r="H936" s="303"/>
    </row>
    <row r="937" spans="3:8" ht="15.75" customHeight="1" x14ac:dyDescent="0.2">
      <c r="C937" s="303"/>
      <c r="G937" s="317"/>
      <c r="H937" s="303"/>
    </row>
    <row r="938" spans="3:8" ht="15.75" customHeight="1" x14ac:dyDescent="0.2">
      <c r="C938" s="303"/>
      <c r="G938" s="317"/>
      <c r="H938" s="303"/>
    </row>
    <row r="939" spans="3:8" ht="15.75" customHeight="1" x14ac:dyDescent="0.2">
      <c r="C939" s="303"/>
      <c r="G939" s="317"/>
      <c r="H939" s="303"/>
    </row>
    <row r="940" spans="3:8" ht="15.75" customHeight="1" x14ac:dyDescent="0.2">
      <c r="C940" s="303"/>
      <c r="G940" s="317"/>
      <c r="H940" s="303"/>
    </row>
    <row r="941" spans="3:8" ht="15.75" customHeight="1" x14ac:dyDescent="0.2">
      <c r="C941" s="303"/>
      <c r="G941" s="317"/>
      <c r="H941" s="303"/>
    </row>
    <row r="942" spans="3:8" ht="15.75" customHeight="1" x14ac:dyDescent="0.2">
      <c r="C942" s="303"/>
      <c r="G942" s="317"/>
      <c r="H942" s="303"/>
    </row>
    <row r="943" spans="3:8" ht="15.75" customHeight="1" x14ac:dyDescent="0.2">
      <c r="C943" s="303"/>
      <c r="G943" s="317"/>
      <c r="H943" s="303"/>
    </row>
    <row r="944" spans="3:8" ht="15.75" customHeight="1" x14ac:dyDescent="0.2">
      <c r="C944" s="303"/>
      <c r="G944" s="317"/>
      <c r="H944" s="303"/>
    </row>
    <row r="945" spans="3:8" ht="15.75" customHeight="1" x14ac:dyDescent="0.2">
      <c r="C945" s="303"/>
      <c r="G945" s="317"/>
      <c r="H945" s="303"/>
    </row>
    <row r="946" spans="3:8" ht="15.75" customHeight="1" x14ac:dyDescent="0.2">
      <c r="C946" s="303"/>
      <c r="G946" s="317"/>
      <c r="H946" s="303"/>
    </row>
    <row r="947" spans="3:8" ht="15.75" customHeight="1" x14ac:dyDescent="0.2">
      <c r="C947" s="303"/>
      <c r="G947" s="317"/>
      <c r="H947" s="303"/>
    </row>
    <row r="948" spans="3:8" ht="15.75" customHeight="1" x14ac:dyDescent="0.2">
      <c r="C948" s="303"/>
      <c r="G948" s="317"/>
      <c r="H948" s="303"/>
    </row>
    <row r="949" spans="3:8" ht="15.75" customHeight="1" x14ac:dyDescent="0.2">
      <c r="C949" s="303"/>
      <c r="G949" s="317"/>
      <c r="H949" s="303"/>
    </row>
    <row r="950" spans="3:8" ht="15.75" customHeight="1" x14ac:dyDescent="0.2">
      <c r="C950" s="303"/>
      <c r="G950" s="317"/>
      <c r="H950" s="303"/>
    </row>
    <row r="951" spans="3:8" ht="15.75" customHeight="1" x14ac:dyDescent="0.2">
      <c r="C951" s="303"/>
      <c r="G951" s="317"/>
      <c r="H951" s="303"/>
    </row>
    <row r="952" spans="3:8" ht="15.75" customHeight="1" x14ac:dyDescent="0.2">
      <c r="C952" s="303"/>
      <c r="G952" s="317"/>
      <c r="H952" s="303"/>
    </row>
    <row r="953" spans="3:8" ht="15.75" customHeight="1" x14ac:dyDescent="0.2">
      <c r="C953" s="303"/>
      <c r="G953" s="317"/>
      <c r="H953" s="303"/>
    </row>
    <row r="954" spans="3:8" ht="15.75" customHeight="1" x14ac:dyDescent="0.2">
      <c r="C954" s="303"/>
      <c r="G954" s="317"/>
      <c r="H954" s="303"/>
    </row>
    <row r="955" spans="3:8" ht="15.75" customHeight="1" x14ac:dyDescent="0.2">
      <c r="C955" s="303"/>
      <c r="G955" s="317"/>
      <c r="H955" s="303"/>
    </row>
    <row r="956" spans="3:8" ht="15.75" customHeight="1" x14ac:dyDescent="0.2">
      <c r="C956" s="303"/>
      <c r="G956" s="317"/>
      <c r="H956" s="303"/>
    </row>
    <row r="957" spans="3:8" ht="15.75" customHeight="1" x14ac:dyDescent="0.2">
      <c r="C957" s="303"/>
      <c r="G957" s="317"/>
      <c r="H957" s="303"/>
    </row>
    <row r="958" spans="3:8" ht="15.75" customHeight="1" x14ac:dyDescent="0.2">
      <c r="C958" s="303"/>
      <c r="G958" s="317"/>
      <c r="H958" s="303"/>
    </row>
    <row r="959" spans="3:8" ht="15.75" customHeight="1" x14ac:dyDescent="0.2">
      <c r="C959" s="303"/>
      <c r="G959" s="317"/>
      <c r="H959" s="303"/>
    </row>
    <row r="960" spans="3:8" ht="15.75" customHeight="1" x14ac:dyDescent="0.2">
      <c r="C960" s="303"/>
      <c r="G960" s="317"/>
      <c r="H960" s="303"/>
    </row>
    <row r="961" spans="3:8" ht="15.75" customHeight="1" x14ac:dyDescent="0.2">
      <c r="C961" s="303"/>
      <c r="G961" s="317"/>
      <c r="H961" s="303"/>
    </row>
    <row r="962" spans="3:8" ht="15.75" customHeight="1" x14ac:dyDescent="0.2">
      <c r="C962" s="303"/>
      <c r="G962" s="317"/>
      <c r="H962" s="303"/>
    </row>
    <row r="963" spans="3:8" ht="15.75" customHeight="1" x14ac:dyDescent="0.2">
      <c r="C963" s="303"/>
      <c r="G963" s="317"/>
      <c r="H963" s="303"/>
    </row>
    <row r="964" spans="3:8" ht="15.75" customHeight="1" x14ac:dyDescent="0.2">
      <c r="C964" s="303"/>
      <c r="G964" s="317"/>
      <c r="H964" s="303"/>
    </row>
    <row r="965" spans="3:8" ht="15.75" customHeight="1" x14ac:dyDescent="0.2">
      <c r="C965" s="303"/>
      <c r="G965" s="317"/>
      <c r="H965" s="303"/>
    </row>
    <row r="966" spans="3:8" ht="15.75" customHeight="1" x14ac:dyDescent="0.2">
      <c r="C966" s="303"/>
      <c r="G966" s="317"/>
      <c r="H966" s="303"/>
    </row>
    <row r="967" spans="3:8" ht="15.75" customHeight="1" x14ac:dyDescent="0.2">
      <c r="C967" s="303"/>
      <c r="G967" s="317"/>
      <c r="H967" s="303"/>
    </row>
    <row r="968" spans="3:8" ht="15.75" customHeight="1" x14ac:dyDescent="0.2">
      <c r="C968" s="303"/>
      <c r="G968" s="317"/>
      <c r="H968" s="303"/>
    </row>
    <row r="969" spans="3:8" ht="15.75" customHeight="1" x14ac:dyDescent="0.2">
      <c r="C969" s="303"/>
      <c r="G969" s="317"/>
      <c r="H969" s="303"/>
    </row>
    <row r="970" spans="3:8" ht="15.75" customHeight="1" x14ac:dyDescent="0.2">
      <c r="C970" s="303"/>
      <c r="G970" s="317"/>
      <c r="H970" s="303"/>
    </row>
    <row r="971" spans="3:8" ht="15.75" customHeight="1" x14ac:dyDescent="0.2">
      <c r="C971" s="303"/>
      <c r="G971" s="317"/>
      <c r="H971" s="303"/>
    </row>
    <row r="972" spans="3:8" ht="15.75" customHeight="1" x14ac:dyDescent="0.2">
      <c r="C972" s="303"/>
      <c r="G972" s="317"/>
      <c r="H972" s="303"/>
    </row>
    <row r="973" spans="3:8" ht="15.75" customHeight="1" x14ac:dyDescent="0.2">
      <c r="C973" s="303"/>
      <c r="G973" s="317"/>
      <c r="H973" s="303"/>
    </row>
    <row r="974" spans="3:8" ht="15.75" customHeight="1" x14ac:dyDescent="0.2">
      <c r="C974" s="303"/>
      <c r="G974" s="317"/>
      <c r="H974" s="303"/>
    </row>
    <row r="975" spans="3:8" ht="15.75" customHeight="1" x14ac:dyDescent="0.2">
      <c r="C975" s="303"/>
      <c r="G975" s="317"/>
      <c r="H975" s="303"/>
    </row>
    <row r="976" spans="3:8" ht="15.75" customHeight="1" x14ac:dyDescent="0.2">
      <c r="C976" s="303"/>
      <c r="G976" s="317"/>
      <c r="H976" s="303"/>
    </row>
    <row r="977" spans="3:8" ht="15.75" customHeight="1" x14ac:dyDescent="0.2">
      <c r="C977" s="303"/>
      <c r="G977" s="317"/>
      <c r="H977" s="303"/>
    </row>
    <row r="978" spans="3:8" ht="15.75" customHeight="1" x14ac:dyDescent="0.2">
      <c r="C978" s="303"/>
      <c r="G978" s="317"/>
      <c r="H978" s="303"/>
    </row>
    <row r="979" spans="3:8" ht="15.75" customHeight="1" x14ac:dyDescent="0.2">
      <c r="C979" s="303"/>
      <c r="G979" s="317"/>
      <c r="H979" s="303"/>
    </row>
    <row r="980" spans="3:8" ht="15.75" customHeight="1" x14ac:dyDescent="0.2">
      <c r="C980" s="303"/>
      <c r="G980" s="317"/>
      <c r="H980" s="303"/>
    </row>
    <row r="981" spans="3:8" ht="15.75" customHeight="1" x14ac:dyDescent="0.2">
      <c r="C981" s="303"/>
      <c r="G981" s="317"/>
      <c r="H981" s="303"/>
    </row>
    <row r="982" spans="3:8" ht="15.75" customHeight="1" x14ac:dyDescent="0.2">
      <c r="C982" s="303"/>
      <c r="G982" s="317"/>
      <c r="H982" s="303"/>
    </row>
    <row r="983" spans="3:8" ht="15.75" customHeight="1" x14ac:dyDescent="0.2">
      <c r="C983" s="303"/>
      <c r="G983" s="317"/>
      <c r="H983" s="303"/>
    </row>
    <row r="984" spans="3:8" ht="15.75" customHeight="1" x14ac:dyDescent="0.2">
      <c r="C984" s="303"/>
      <c r="G984" s="317"/>
      <c r="H984" s="303"/>
    </row>
    <row r="985" spans="3:8" ht="15.75" customHeight="1" x14ac:dyDescent="0.2">
      <c r="C985" s="303"/>
      <c r="G985" s="317"/>
      <c r="H985" s="303"/>
    </row>
    <row r="986" spans="3:8" ht="15.75" customHeight="1" x14ac:dyDescent="0.2">
      <c r="C986" s="303"/>
      <c r="G986" s="317"/>
      <c r="H986" s="303"/>
    </row>
    <row r="987" spans="3:8" ht="15.75" customHeight="1" x14ac:dyDescent="0.2">
      <c r="C987" s="303"/>
      <c r="G987" s="317"/>
      <c r="H987" s="303"/>
    </row>
    <row r="988" spans="3:8" ht="15.75" customHeight="1" x14ac:dyDescent="0.2">
      <c r="C988" s="303"/>
      <c r="G988" s="317"/>
      <c r="H988" s="303"/>
    </row>
    <row r="989" spans="3:8" ht="15.75" customHeight="1" x14ac:dyDescent="0.2">
      <c r="C989" s="303"/>
      <c r="G989" s="317"/>
      <c r="H989" s="303"/>
    </row>
    <row r="990" spans="3:8" ht="15.75" customHeight="1" x14ac:dyDescent="0.2">
      <c r="C990" s="303"/>
      <c r="G990" s="317"/>
      <c r="H990" s="303"/>
    </row>
    <row r="991" spans="3:8" ht="15.75" customHeight="1" x14ac:dyDescent="0.2">
      <c r="C991" s="303"/>
      <c r="G991" s="317"/>
      <c r="H991" s="303"/>
    </row>
    <row r="992" spans="3:8" ht="15.75" customHeight="1" x14ac:dyDescent="0.2">
      <c r="C992" s="303"/>
      <c r="G992" s="317"/>
      <c r="H992" s="303"/>
    </row>
    <row r="993" spans="3:8" ht="15.75" customHeight="1" x14ac:dyDescent="0.2">
      <c r="C993" s="303"/>
      <c r="G993" s="317"/>
      <c r="H993" s="303"/>
    </row>
    <row r="994" spans="3:8" ht="15.75" customHeight="1" x14ac:dyDescent="0.2">
      <c r="C994" s="303"/>
      <c r="G994" s="317"/>
      <c r="H994" s="303"/>
    </row>
    <row r="995" spans="3:8" ht="15.75" customHeight="1" x14ac:dyDescent="0.2">
      <c r="C995" s="303"/>
      <c r="G995" s="317"/>
      <c r="H995" s="303"/>
    </row>
    <row r="996" spans="3:8" ht="15.75" customHeight="1" x14ac:dyDescent="0.2">
      <c r="C996" s="303"/>
      <c r="G996" s="317"/>
      <c r="H996" s="303"/>
    </row>
    <row r="997" spans="3:8" ht="15.75" customHeight="1" x14ac:dyDescent="0.2">
      <c r="C997" s="303"/>
      <c r="G997" s="317"/>
      <c r="H997" s="303"/>
    </row>
    <row r="998" spans="3:8" ht="15.75" customHeight="1" x14ac:dyDescent="0.2">
      <c r="C998" s="303"/>
      <c r="G998" s="317"/>
      <c r="H998" s="303"/>
    </row>
    <row r="999" spans="3:8" ht="15.75" customHeight="1" x14ac:dyDescent="0.2">
      <c r="C999" s="303"/>
      <c r="G999" s="317"/>
      <c r="H999" s="303"/>
    </row>
    <row r="1000" spans="3:8" ht="15.75" customHeight="1" x14ac:dyDescent="0.2">
      <c r="C1000" s="303"/>
      <c r="G1000" s="317"/>
      <c r="H1000" s="303"/>
    </row>
  </sheetData>
  <autoFilter ref="A3:P3" xr:uid="{00000000-0009-0000-0000-000001000000}"/>
  <mergeCells count="1">
    <mergeCell ref="K1:O1"/>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28"/>
  <sheetViews>
    <sheetView workbookViewId="0"/>
  </sheetViews>
  <sheetFormatPr baseColWidth="10" defaultColWidth="11.1640625" defaultRowHeight="15" customHeight="1" outlineLevelCol="1" x14ac:dyDescent="0.2"/>
  <cols>
    <col min="1" max="1" width="20.5" customWidth="1"/>
    <col min="2" max="2" width="12.6640625" customWidth="1"/>
    <col min="3" max="3" width="59.1640625" customWidth="1"/>
    <col min="4" max="4" width="17.1640625" hidden="1" customWidth="1" outlineLevel="1"/>
    <col min="5" max="5" width="14.5" hidden="1" customWidth="1" outlineLevel="1"/>
    <col min="6" max="6" width="15.33203125" hidden="1" customWidth="1" outlineLevel="1"/>
    <col min="7" max="7" width="14" hidden="1" customWidth="1" outlineLevel="1"/>
    <col min="8" max="8" width="16.83203125" hidden="1" customWidth="1" outlineLevel="1"/>
    <col min="9" max="9" width="29" hidden="1" customWidth="1" outlineLevel="1"/>
    <col min="10" max="10" width="14.1640625" hidden="1" customWidth="1" outlineLevel="1"/>
    <col min="11" max="11" width="22.5" hidden="1" customWidth="1" outlineLevel="1"/>
    <col min="12" max="12" width="28.6640625" hidden="1" customWidth="1" outlineLevel="1"/>
    <col min="13" max="13" width="14" hidden="1" customWidth="1" outlineLevel="1"/>
    <col min="14" max="14" width="10.6640625" hidden="1" customWidth="1" outlineLevel="1"/>
    <col min="15" max="15" width="12.5" hidden="1" customWidth="1" outlineLevel="1"/>
    <col min="16" max="16" width="10.6640625" hidden="1" customWidth="1" outlineLevel="1"/>
    <col min="17" max="17" width="55.5" hidden="1" customWidth="1" outlineLevel="1"/>
    <col min="18" max="18" width="10.6640625" hidden="1" customWidth="1" outlineLevel="1"/>
    <col min="19" max="19" width="15.6640625" hidden="1" customWidth="1" outlineLevel="1"/>
    <col min="20" max="20" width="7.6640625" hidden="1" customWidth="1" outlineLevel="1"/>
    <col min="21" max="21" width="11.1640625" hidden="1" customWidth="1" outlineLevel="1"/>
    <col min="22" max="22" width="14.6640625" hidden="1" customWidth="1" outlineLevel="1"/>
    <col min="23" max="23" width="19.6640625" hidden="1" customWidth="1" outlineLevel="1"/>
    <col min="24" max="24" width="18.83203125" hidden="1" customWidth="1" outlineLevel="1"/>
    <col min="25" max="25" width="27" hidden="1" customWidth="1" outlineLevel="1"/>
    <col min="26" max="26" width="24" hidden="1" customWidth="1" outlineLevel="1"/>
    <col min="27" max="27" width="26.1640625" hidden="1" customWidth="1" outlineLevel="1"/>
    <col min="28" max="28" width="3" customWidth="1" collapsed="1"/>
    <col min="29" max="33" width="11.1640625" customWidth="1"/>
    <col min="34" max="34" width="21.1640625" customWidth="1"/>
    <col min="35" max="35" width="11.1640625" customWidth="1"/>
  </cols>
  <sheetData>
    <row r="1" spans="1:35" ht="15.75" customHeight="1" x14ac:dyDescent="0.25">
      <c r="A1" s="321"/>
      <c r="B1" s="321"/>
      <c r="C1" s="321"/>
      <c r="D1" s="321"/>
      <c r="E1" s="321"/>
      <c r="F1" s="322"/>
      <c r="G1" s="323"/>
      <c r="H1" s="322"/>
      <c r="I1" s="322"/>
      <c r="J1" s="322"/>
      <c r="K1" s="322"/>
      <c r="L1" s="322"/>
      <c r="M1" s="322"/>
      <c r="N1" s="322"/>
      <c r="O1" s="322"/>
      <c r="P1" s="322"/>
      <c r="Q1" s="322"/>
      <c r="R1" s="322"/>
      <c r="S1" s="321"/>
      <c r="T1" s="322"/>
      <c r="U1" s="321"/>
      <c r="V1" s="321"/>
      <c r="W1" s="609"/>
      <c r="X1" s="573"/>
      <c r="Y1" s="321"/>
      <c r="Z1" s="321"/>
      <c r="AA1" s="324"/>
      <c r="AB1" s="325"/>
    </row>
    <row r="2" spans="1:35" ht="15.75" customHeight="1" x14ac:dyDescent="0.25">
      <c r="A2" s="321"/>
      <c r="B2" s="321"/>
      <c r="C2" s="321"/>
      <c r="D2" s="321"/>
      <c r="E2" s="321"/>
      <c r="F2" s="326" t="s">
        <v>305</v>
      </c>
      <c r="G2" s="327" t="s">
        <v>306</v>
      </c>
      <c r="H2" s="328"/>
      <c r="I2" s="328"/>
      <c r="J2" s="328"/>
      <c r="K2" s="328"/>
      <c r="L2" s="328"/>
      <c r="M2" s="328"/>
      <c r="N2" s="328"/>
      <c r="O2" s="328"/>
      <c r="P2" s="329"/>
      <c r="Q2" s="610" t="s">
        <v>307</v>
      </c>
      <c r="R2" s="565"/>
      <c r="S2" s="554"/>
      <c r="T2" s="610" t="s">
        <v>308</v>
      </c>
      <c r="U2" s="554"/>
      <c r="V2" s="330" t="s">
        <v>309</v>
      </c>
      <c r="W2" s="321"/>
      <c r="X2" s="610" t="s">
        <v>268</v>
      </c>
      <c r="Y2" s="565"/>
      <c r="Z2" s="554"/>
      <c r="AA2" s="311"/>
      <c r="AB2" s="325"/>
    </row>
    <row r="3" spans="1:35" ht="177" customHeight="1" x14ac:dyDescent="0.25">
      <c r="A3" s="321"/>
      <c r="B3" s="331" t="s">
        <v>310</v>
      </c>
      <c r="C3" s="331"/>
      <c r="D3" s="321"/>
      <c r="E3" s="332" t="s">
        <v>311</v>
      </c>
      <c r="F3" s="333" t="s">
        <v>312</v>
      </c>
      <c r="G3" s="333" t="s">
        <v>313</v>
      </c>
      <c r="H3" s="333" t="s">
        <v>313</v>
      </c>
      <c r="I3" s="333" t="s">
        <v>314</v>
      </c>
      <c r="J3" s="605" t="s">
        <v>315</v>
      </c>
      <c r="K3" s="605" t="s">
        <v>316</v>
      </c>
      <c r="L3" s="605" t="s">
        <v>317</v>
      </c>
      <c r="M3" s="605" t="s">
        <v>318</v>
      </c>
      <c r="N3" s="605" t="s">
        <v>319</v>
      </c>
      <c r="O3" s="605" t="s">
        <v>320</v>
      </c>
      <c r="P3" s="605" t="s">
        <v>321</v>
      </c>
      <c r="Q3" s="605" t="s">
        <v>322</v>
      </c>
      <c r="R3" s="605" t="s">
        <v>323</v>
      </c>
      <c r="S3" s="608" t="s">
        <v>324</v>
      </c>
      <c r="T3" s="605" t="s">
        <v>308</v>
      </c>
      <c r="U3" s="608" t="s">
        <v>325</v>
      </c>
      <c r="V3" s="608" t="s">
        <v>326</v>
      </c>
      <c r="W3" s="611"/>
      <c r="X3" s="608" t="s">
        <v>327</v>
      </c>
      <c r="Y3" s="608" t="s">
        <v>328</v>
      </c>
      <c r="Z3" s="608" t="s">
        <v>329</v>
      </c>
      <c r="AA3" s="311"/>
      <c r="AB3" s="325"/>
    </row>
    <row r="4" spans="1:35" ht="15.75" customHeight="1" x14ac:dyDescent="0.25">
      <c r="A4" s="321"/>
      <c r="B4" s="331"/>
      <c r="C4" s="331"/>
      <c r="D4" s="321"/>
      <c r="E4" s="332"/>
      <c r="F4" s="334"/>
      <c r="G4" s="334" t="s">
        <v>330</v>
      </c>
      <c r="H4" s="334" t="s">
        <v>331</v>
      </c>
      <c r="I4" s="334"/>
      <c r="J4" s="600"/>
      <c r="K4" s="600"/>
      <c r="L4" s="600"/>
      <c r="M4" s="600"/>
      <c r="N4" s="600"/>
      <c r="O4" s="600"/>
      <c r="P4" s="600"/>
      <c r="Q4" s="600"/>
      <c r="R4" s="600"/>
      <c r="S4" s="600"/>
      <c r="T4" s="600"/>
      <c r="U4" s="600"/>
      <c r="V4" s="600"/>
      <c r="W4" s="607"/>
      <c r="X4" s="600"/>
      <c r="Y4" s="600"/>
      <c r="Z4" s="600"/>
      <c r="AA4" s="335"/>
      <c r="AB4" s="325"/>
    </row>
    <row r="5" spans="1:35" ht="15.75" customHeight="1" x14ac:dyDescent="0.25">
      <c r="A5" s="321"/>
      <c r="B5" s="321"/>
      <c r="C5" s="321"/>
      <c r="D5" s="321"/>
      <c r="E5" s="321" t="s">
        <v>332</v>
      </c>
      <c r="F5" s="336" t="s">
        <v>333</v>
      </c>
      <c r="G5" s="336" t="s">
        <v>334</v>
      </c>
      <c r="H5" s="336" t="s">
        <v>335</v>
      </c>
      <c r="I5" s="336" t="s">
        <v>336</v>
      </c>
      <c r="J5" s="336" t="s">
        <v>337</v>
      </c>
      <c r="K5" s="336" t="s">
        <v>338</v>
      </c>
      <c r="L5" s="336" t="s">
        <v>334</v>
      </c>
      <c r="M5" s="336" t="s">
        <v>339</v>
      </c>
      <c r="N5" s="336" t="s">
        <v>340</v>
      </c>
      <c r="O5" s="336" t="s">
        <v>341</v>
      </c>
      <c r="P5" s="336" t="s">
        <v>342</v>
      </c>
      <c r="Q5" s="336" t="s">
        <v>343</v>
      </c>
      <c r="R5" s="336" t="s">
        <v>344</v>
      </c>
      <c r="S5" s="337"/>
      <c r="T5" s="336" t="s">
        <v>345</v>
      </c>
      <c r="U5" s="330" t="s">
        <v>346</v>
      </c>
      <c r="V5" s="338" t="s">
        <v>346</v>
      </c>
      <c r="W5" s="339"/>
      <c r="X5" s="338"/>
      <c r="Y5" s="338"/>
      <c r="Z5" s="338"/>
      <c r="AB5" s="325"/>
    </row>
    <row r="6" spans="1:35" ht="15.75" customHeight="1" x14ac:dyDescent="0.25">
      <c r="A6" s="321"/>
      <c r="B6" s="321"/>
      <c r="C6" s="321"/>
      <c r="D6" s="321" t="s">
        <v>347</v>
      </c>
      <c r="E6" s="332" t="s">
        <v>348</v>
      </c>
      <c r="F6" s="340"/>
      <c r="G6" s="341" t="s">
        <v>349</v>
      </c>
      <c r="H6" s="340"/>
      <c r="I6" s="340"/>
      <c r="J6" s="342" t="s">
        <v>350</v>
      </c>
      <c r="K6" s="601"/>
      <c r="L6" s="601"/>
      <c r="M6" s="601"/>
      <c r="N6" s="601"/>
      <c r="O6" s="601"/>
      <c r="P6" s="601"/>
      <c r="Q6" s="603" t="s">
        <v>351</v>
      </c>
      <c r="R6" s="603"/>
      <c r="S6" s="604" t="s">
        <v>352</v>
      </c>
      <c r="T6" s="601"/>
      <c r="U6" s="599"/>
      <c r="V6" s="599"/>
      <c r="W6" s="606"/>
      <c r="X6" s="599"/>
      <c r="Y6" s="599"/>
      <c r="Z6" s="599"/>
      <c r="AB6" s="325"/>
    </row>
    <row r="7" spans="1:35" ht="15.75" customHeight="1" x14ac:dyDescent="0.25">
      <c r="A7" s="343"/>
      <c r="B7" s="343"/>
      <c r="C7" s="343"/>
      <c r="D7" s="343"/>
      <c r="E7" s="344"/>
      <c r="F7" s="345"/>
      <c r="G7" s="346"/>
      <c r="H7" s="345"/>
      <c r="I7" s="345"/>
      <c r="J7" s="347" t="s">
        <v>353</v>
      </c>
      <c r="K7" s="602"/>
      <c r="L7" s="602"/>
      <c r="M7" s="602"/>
      <c r="N7" s="602"/>
      <c r="O7" s="602"/>
      <c r="P7" s="602"/>
      <c r="Q7" s="602"/>
      <c r="R7" s="602"/>
      <c r="S7" s="602"/>
      <c r="T7" s="602"/>
      <c r="U7" s="602"/>
      <c r="V7" s="602"/>
      <c r="W7" s="607"/>
      <c r="X7" s="600"/>
      <c r="Y7" s="600"/>
      <c r="Z7" s="600"/>
      <c r="AB7" s="325"/>
    </row>
    <row r="8" spans="1:35" ht="15.75" customHeight="1" x14ac:dyDescent="0.25">
      <c r="A8" s="348" t="s">
        <v>354</v>
      </c>
      <c r="B8" s="349" t="s">
        <v>355</v>
      </c>
      <c r="C8" s="349" t="s">
        <v>356</v>
      </c>
      <c r="D8" s="349"/>
      <c r="E8" s="349" t="s">
        <v>357</v>
      </c>
      <c r="F8" s="350"/>
      <c r="G8" s="351"/>
      <c r="H8" s="350"/>
      <c r="I8" s="350"/>
      <c r="J8" s="350"/>
      <c r="K8" s="350"/>
      <c r="L8" s="350"/>
      <c r="M8" s="350"/>
      <c r="N8" s="350"/>
      <c r="O8" s="350"/>
      <c r="P8" s="350"/>
      <c r="Q8" s="350"/>
      <c r="R8" s="350"/>
      <c r="S8" s="352"/>
      <c r="T8" s="350"/>
      <c r="U8" s="353"/>
      <c r="V8" s="353"/>
      <c r="W8" s="321"/>
      <c r="X8" s="338"/>
      <c r="Y8" s="338"/>
      <c r="Z8" s="338"/>
      <c r="AA8" s="325"/>
      <c r="AB8" s="325"/>
      <c r="AC8" s="311" t="s">
        <v>358</v>
      </c>
      <c r="AD8" s="311" t="s">
        <v>359</v>
      </c>
      <c r="AE8" s="311" t="s">
        <v>32</v>
      </c>
      <c r="AF8" s="311" t="s">
        <v>360</v>
      </c>
      <c r="AG8" s="37" t="s">
        <v>15</v>
      </c>
      <c r="AH8" s="38" t="s">
        <v>16</v>
      </c>
      <c r="AI8" s="38" t="s">
        <v>17</v>
      </c>
    </row>
    <row r="9" spans="1:35" ht="15.75" customHeight="1" x14ac:dyDescent="0.2">
      <c r="A9" s="354" t="s">
        <v>361</v>
      </c>
      <c r="B9" s="355"/>
      <c r="C9" s="356" t="s">
        <v>22</v>
      </c>
      <c r="D9" s="356">
        <v>8</v>
      </c>
      <c r="E9" s="355" t="s">
        <v>362</v>
      </c>
      <c r="F9" s="357" t="s">
        <v>363</v>
      </c>
      <c r="G9" s="358"/>
      <c r="H9" s="357" t="s">
        <v>363</v>
      </c>
      <c r="I9" s="357" t="s">
        <v>363</v>
      </c>
      <c r="J9" s="359"/>
      <c r="K9" s="357" t="s">
        <v>363</v>
      </c>
      <c r="L9" s="357" t="s">
        <v>363</v>
      </c>
      <c r="M9" s="359"/>
      <c r="N9" s="359"/>
      <c r="O9" s="359"/>
      <c r="P9" s="359"/>
      <c r="Q9" s="359"/>
      <c r="R9" s="357" t="s">
        <v>363</v>
      </c>
      <c r="S9" s="360"/>
      <c r="T9" s="357" t="s">
        <v>363</v>
      </c>
      <c r="U9" s="355"/>
      <c r="V9" s="357" t="s">
        <v>363</v>
      </c>
      <c r="W9" s="321"/>
      <c r="X9" s="338"/>
      <c r="Y9" s="338"/>
      <c r="Z9" s="338"/>
      <c r="AC9" s="311" t="s">
        <v>364</v>
      </c>
      <c r="AD9" s="277">
        <v>1</v>
      </c>
      <c r="AE9" s="277">
        <v>30</v>
      </c>
      <c r="AF9" s="278">
        <f>TIME(0,AD9,AE9)</f>
        <v>1.0416666666666667E-3</v>
      </c>
      <c r="AG9" s="311" t="s">
        <v>365</v>
      </c>
      <c r="AH9" s="361" t="e">
        <f>AC9+"_"+TIME(0,AD9,AE9)</f>
        <v>#VALUE!</v>
      </c>
    </row>
    <row r="10" spans="1:35" ht="15.75" customHeight="1" x14ac:dyDescent="0.2">
      <c r="A10" s="354" t="s">
        <v>361</v>
      </c>
      <c r="B10" s="355"/>
      <c r="C10" s="356" t="s">
        <v>366</v>
      </c>
      <c r="D10" s="356"/>
      <c r="E10" s="355" t="s">
        <v>362</v>
      </c>
      <c r="F10" s="359"/>
      <c r="G10" s="358"/>
      <c r="H10" s="359"/>
      <c r="I10" s="359"/>
      <c r="J10" s="359"/>
      <c r="K10" s="359"/>
      <c r="L10" s="359"/>
      <c r="M10" s="359"/>
      <c r="N10" s="359"/>
      <c r="O10" s="359"/>
      <c r="P10" s="359"/>
      <c r="Q10" s="359"/>
      <c r="R10" s="359"/>
      <c r="S10" s="360"/>
      <c r="T10" s="357" t="s">
        <v>363</v>
      </c>
      <c r="U10" s="355"/>
      <c r="V10" s="355"/>
      <c r="W10" s="321"/>
      <c r="X10" s="338" t="s">
        <v>367</v>
      </c>
      <c r="Y10" s="338"/>
      <c r="Z10" s="338"/>
    </row>
    <row r="11" spans="1:35" ht="15.75" customHeight="1" x14ac:dyDescent="0.2">
      <c r="A11" s="362" t="s">
        <v>361</v>
      </c>
      <c r="B11" s="338"/>
      <c r="C11" s="363" t="s">
        <v>368</v>
      </c>
      <c r="D11" s="364">
        <v>10</v>
      </c>
      <c r="E11" s="338" t="s">
        <v>362</v>
      </c>
      <c r="F11" s="336"/>
      <c r="G11" s="365"/>
      <c r="H11" s="336"/>
      <c r="I11" s="336"/>
      <c r="J11" s="366" t="s">
        <v>369</v>
      </c>
      <c r="K11" s="366" t="s">
        <v>363</v>
      </c>
      <c r="L11" s="366" t="s">
        <v>363</v>
      </c>
      <c r="M11" s="367" t="s">
        <v>363</v>
      </c>
      <c r="N11" s="367" t="s">
        <v>363</v>
      </c>
      <c r="O11" s="367" t="s">
        <v>363</v>
      </c>
      <c r="P11" s="367" t="s">
        <v>363</v>
      </c>
      <c r="Q11" s="336"/>
      <c r="R11" s="366" t="s">
        <v>363</v>
      </c>
      <c r="S11" s="368"/>
      <c r="T11" s="367" t="s">
        <v>363</v>
      </c>
      <c r="U11" s="338"/>
      <c r="V11" s="357" t="s">
        <v>363</v>
      </c>
      <c r="W11" s="321"/>
      <c r="X11" s="338"/>
      <c r="Y11" s="338"/>
      <c r="Z11" s="338"/>
    </row>
    <row r="12" spans="1:35" ht="15.75" customHeight="1" x14ac:dyDescent="0.2">
      <c r="A12" s="362" t="s">
        <v>361</v>
      </c>
      <c r="B12" s="338"/>
      <c r="C12" s="363" t="s">
        <v>370</v>
      </c>
      <c r="D12" s="364">
        <v>7</v>
      </c>
      <c r="E12" s="338" t="s">
        <v>362</v>
      </c>
      <c r="F12" s="367" t="s">
        <v>363</v>
      </c>
      <c r="G12" s="365"/>
      <c r="H12" s="367" t="s">
        <v>363</v>
      </c>
      <c r="I12" s="367" t="s">
        <v>363</v>
      </c>
      <c r="J12" s="336"/>
      <c r="K12" s="367" t="s">
        <v>363</v>
      </c>
      <c r="L12" s="367" t="s">
        <v>363</v>
      </c>
      <c r="M12" s="336"/>
      <c r="N12" s="336"/>
      <c r="O12" s="336"/>
      <c r="P12" s="336"/>
      <c r="Q12" s="336"/>
      <c r="R12" s="336"/>
      <c r="S12" s="368"/>
      <c r="T12" s="367" t="s">
        <v>363</v>
      </c>
      <c r="U12" s="338"/>
      <c r="V12" s="357" t="s">
        <v>363</v>
      </c>
      <c r="W12" s="321"/>
      <c r="X12" s="338"/>
      <c r="Y12" s="338"/>
      <c r="Z12" s="338"/>
    </row>
    <row r="13" spans="1:35" ht="15.75" customHeight="1" x14ac:dyDescent="0.2">
      <c r="A13" s="362" t="s">
        <v>361</v>
      </c>
      <c r="B13" s="338"/>
      <c r="C13" s="363" t="s">
        <v>371</v>
      </c>
      <c r="D13" s="364">
        <v>12</v>
      </c>
      <c r="E13" s="338" t="s">
        <v>362</v>
      </c>
      <c r="F13" s="369" t="s">
        <v>363</v>
      </c>
      <c r="G13" s="365"/>
      <c r="H13" s="367" t="s">
        <v>363</v>
      </c>
      <c r="I13" s="367" t="s">
        <v>363</v>
      </c>
      <c r="J13" s="336"/>
      <c r="K13" s="367" t="s">
        <v>363</v>
      </c>
      <c r="L13" s="367" t="s">
        <v>363</v>
      </c>
      <c r="M13" s="367" t="s">
        <v>363</v>
      </c>
      <c r="N13" s="367" t="s">
        <v>363</v>
      </c>
      <c r="O13" s="367" t="s">
        <v>363</v>
      </c>
      <c r="P13" s="367" t="s">
        <v>363</v>
      </c>
      <c r="Q13" s="336"/>
      <c r="R13" s="367" t="s">
        <v>363</v>
      </c>
      <c r="S13" s="368"/>
      <c r="T13" s="367" t="s">
        <v>363</v>
      </c>
      <c r="U13" s="338"/>
      <c r="V13" s="357" t="s">
        <v>363</v>
      </c>
      <c r="W13" s="321"/>
      <c r="X13" s="338"/>
      <c r="Y13" s="338"/>
      <c r="Z13" s="338"/>
    </row>
    <row r="14" spans="1:35" ht="15.75" customHeight="1" x14ac:dyDescent="0.2">
      <c r="A14" s="362" t="s">
        <v>361</v>
      </c>
      <c r="B14" s="338"/>
      <c r="C14" s="363" t="s">
        <v>372</v>
      </c>
      <c r="D14" s="364">
        <v>12</v>
      </c>
      <c r="E14" s="338" t="s">
        <v>362</v>
      </c>
      <c r="F14" s="367" t="s">
        <v>363</v>
      </c>
      <c r="G14" s="365"/>
      <c r="H14" s="367" t="s">
        <v>363</v>
      </c>
      <c r="I14" s="367" t="s">
        <v>363</v>
      </c>
      <c r="J14" s="336"/>
      <c r="K14" s="367" t="s">
        <v>363</v>
      </c>
      <c r="L14" s="367" t="s">
        <v>363</v>
      </c>
      <c r="M14" s="367" t="s">
        <v>363</v>
      </c>
      <c r="N14" s="367" t="s">
        <v>363</v>
      </c>
      <c r="O14" s="367" t="s">
        <v>363</v>
      </c>
      <c r="P14" s="367" t="s">
        <v>363</v>
      </c>
      <c r="Q14" s="336"/>
      <c r="R14" s="367" t="s">
        <v>363</v>
      </c>
      <c r="S14" s="368"/>
      <c r="T14" s="367" t="s">
        <v>363</v>
      </c>
      <c r="U14" s="338"/>
      <c r="V14" s="357" t="s">
        <v>363</v>
      </c>
      <c r="W14" s="321"/>
      <c r="X14" s="338"/>
      <c r="Y14" s="338"/>
      <c r="Z14" s="338"/>
    </row>
    <row r="15" spans="1:35" ht="15.75" customHeight="1" x14ac:dyDescent="0.2">
      <c r="A15" s="362" t="s">
        <v>361</v>
      </c>
      <c r="B15" s="338"/>
      <c r="C15" s="364" t="s">
        <v>373</v>
      </c>
      <c r="D15" s="364">
        <v>12</v>
      </c>
      <c r="E15" s="338" t="s">
        <v>362</v>
      </c>
      <c r="F15" s="367" t="s">
        <v>363</v>
      </c>
      <c r="G15" s="365"/>
      <c r="H15" s="367" t="s">
        <v>363</v>
      </c>
      <c r="I15" s="367" t="s">
        <v>363</v>
      </c>
      <c r="J15" s="336"/>
      <c r="K15" s="367" t="s">
        <v>363</v>
      </c>
      <c r="L15" s="367" t="s">
        <v>363</v>
      </c>
      <c r="M15" s="367" t="s">
        <v>363</v>
      </c>
      <c r="N15" s="367" t="s">
        <v>363</v>
      </c>
      <c r="O15" s="367" t="s">
        <v>363</v>
      </c>
      <c r="P15" s="367" t="s">
        <v>363</v>
      </c>
      <c r="Q15" s="336"/>
      <c r="R15" s="367" t="s">
        <v>363</v>
      </c>
      <c r="S15" s="368"/>
      <c r="T15" s="367" t="s">
        <v>363</v>
      </c>
      <c r="U15" s="338"/>
      <c r="V15" s="357" t="s">
        <v>363</v>
      </c>
      <c r="W15" s="321"/>
      <c r="X15" s="338"/>
      <c r="Y15" s="338"/>
      <c r="Z15" s="338"/>
    </row>
    <row r="16" spans="1:35" ht="15.75" customHeight="1" x14ac:dyDescent="0.2">
      <c r="A16" s="362" t="s">
        <v>361</v>
      </c>
      <c r="B16" s="338"/>
      <c r="C16" s="364" t="s">
        <v>374</v>
      </c>
      <c r="D16" s="364">
        <v>12</v>
      </c>
      <c r="E16" s="338" t="s">
        <v>362</v>
      </c>
      <c r="F16" s="367" t="s">
        <v>363</v>
      </c>
      <c r="G16" s="365"/>
      <c r="H16" s="367" t="s">
        <v>363</v>
      </c>
      <c r="I16" s="367" t="s">
        <v>363</v>
      </c>
      <c r="J16" s="336"/>
      <c r="K16" s="367" t="s">
        <v>363</v>
      </c>
      <c r="L16" s="367" t="s">
        <v>363</v>
      </c>
      <c r="M16" s="367" t="s">
        <v>363</v>
      </c>
      <c r="N16" s="367" t="s">
        <v>363</v>
      </c>
      <c r="O16" s="367" t="s">
        <v>363</v>
      </c>
      <c r="P16" s="367" t="s">
        <v>363</v>
      </c>
      <c r="Q16" s="336"/>
      <c r="R16" s="367" t="s">
        <v>363</v>
      </c>
      <c r="S16" s="368"/>
      <c r="T16" s="367" t="s">
        <v>363</v>
      </c>
      <c r="U16" s="338"/>
      <c r="V16" s="357" t="s">
        <v>363</v>
      </c>
      <c r="W16" s="321"/>
      <c r="X16" s="338"/>
      <c r="Y16" s="338"/>
      <c r="Z16" s="338"/>
    </row>
    <row r="17" spans="1:26" ht="15.75" customHeight="1" x14ac:dyDescent="0.2">
      <c r="A17" s="362" t="s">
        <v>361</v>
      </c>
      <c r="B17" s="338"/>
      <c r="C17" s="364" t="s">
        <v>375</v>
      </c>
      <c r="D17" s="364">
        <v>12</v>
      </c>
      <c r="E17" s="338" t="s">
        <v>376</v>
      </c>
      <c r="F17" s="370" t="s">
        <v>363</v>
      </c>
      <c r="G17" s="365"/>
      <c r="H17" s="370" t="s">
        <v>363</v>
      </c>
      <c r="I17" s="370" t="s">
        <v>363</v>
      </c>
      <c r="J17" s="336"/>
      <c r="K17" s="370" t="s">
        <v>363</v>
      </c>
      <c r="L17" s="370" t="s">
        <v>363</v>
      </c>
      <c r="M17" s="370" t="s">
        <v>363</v>
      </c>
      <c r="N17" s="370" t="s">
        <v>363</v>
      </c>
      <c r="O17" s="370" t="s">
        <v>363</v>
      </c>
      <c r="P17" s="370" t="s">
        <v>363</v>
      </c>
      <c r="Q17" s="336"/>
      <c r="R17" s="370" t="s">
        <v>363</v>
      </c>
      <c r="S17" s="368"/>
      <c r="T17" s="370" t="s">
        <v>363</v>
      </c>
      <c r="U17" s="338"/>
      <c r="V17" s="370" t="s">
        <v>363</v>
      </c>
      <c r="W17" s="321"/>
      <c r="X17" s="338"/>
      <c r="Y17" s="338"/>
      <c r="Z17" s="338"/>
    </row>
    <row r="18" spans="1:26" ht="15.75" customHeight="1" x14ac:dyDescent="0.2">
      <c r="A18" s="362" t="s">
        <v>361</v>
      </c>
      <c r="B18" s="338"/>
      <c r="C18" s="371" t="s">
        <v>377</v>
      </c>
      <c r="D18" s="364">
        <v>1</v>
      </c>
      <c r="E18" s="338" t="s">
        <v>362</v>
      </c>
      <c r="F18" s="367" t="s">
        <v>363</v>
      </c>
      <c r="G18" s="365"/>
      <c r="H18" s="336"/>
      <c r="I18" s="336"/>
      <c r="J18" s="336"/>
      <c r="K18" s="336"/>
      <c r="L18" s="336"/>
      <c r="M18" s="336"/>
      <c r="N18" s="336"/>
      <c r="O18" s="336"/>
      <c r="P18" s="336"/>
      <c r="Q18" s="336"/>
      <c r="R18" s="336"/>
      <c r="S18" s="368"/>
      <c r="T18" s="336"/>
      <c r="U18" s="338"/>
      <c r="V18" s="338"/>
      <c r="W18" s="321"/>
      <c r="X18" s="338"/>
      <c r="Y18" s="338"/>
      <c r="Z18" s="338"/>
    </row>
    <row r="19" spans="1:26" ht="15.75" customHeight="1" x14ac:dyDescent="0.2">
      <c r="A19" s="362" t="s">
        <v>361</v>
      </c>
      <c r="B19" s="338"/>
      <c r="C19" s="364" t="s">
        <v>378</v>
      </c>
      <c r="D19" s="364">
        <v>5</v>
      </c>
      <c r="E19" s="338" t="s">
        <v>362</v>
      </c>
      <c r="F19" s="369" t="s">
        <v>363</v>
      </c>
      <c r="G19" s="365"/>
      <c r="H19" s="367" t="s">
        <v>363</v>
      </c>
      <c r="I19" s="367" t="s">
        <v>363</v>
      </c>
      <c r="J19" s="336"/>
      <c r="K19" s="367" t="s">
        <v>363</v>
      </c>
      <c r="L19" s="367" t="s">
        <v>363</v>
      </c>
      <c r="M19" s="336"/>
      <c r="N19" s="336"/>
      <c r="O19" s="336"/>
      <c r="P19" s="336"/>
      <c r="Q19" s="336"/>
      <c r="R19" s="336"/>
      <c r="S19" s="368"/>
      <c r="T19" s="336"/>
      <c r="U19" s="338"/>
      <c r="V19" s="338"/>
      <c r="W19" s="321"/>
      <c r="X19" s="338"/>
      <c r="Y19" s="338"/>
      <c r="Z19" s="338"/>
    </row>
    <row r="20" spans="1:26" ht="15.75" customHeight="1" x14ac:dyDescent="0.2">
      <c r="A20" s="362" t="s">
        <v>361</v>
      </c>
      <c r="B20" s="338"/>
      <c r="C20" s="364" t="s">
        <v>379</v>
      </c>
      <c r="D20" s="364">
        <v>5</v>
      </c>
      <c r="E20" s="338" t="s">
        <v>362</v>
      </c>
      <c r="F20" s="367" t="s">
        <v>363</v>
      </c>
      <c r="G20" s="365"/>
      <c r="H20" s="367" t="s">
        <v>363</v>
      </c>
      <c r="I20" s="367" t="s">
        <v>363</v>
      </c>
      <c r="J20" s="336"/>
      <c r="K20" s="367" t="s">
        <v>363</v>
      </c>
      <c r="L20" s="367" t="s">
        <v>363</v>
      </c>
      <c r="M20" s="336"/>
      <c r="N20" s="336"/>
      <c r="O20" s="336"/>
      <c r="P20" s="336"/>
      <c r="Q20" s="336"/>
      <c r="R20" s="336"/>
      <c r="S20" s="368"/>
      <c r="T20" s="336"/>
      <c r="U20" s="338"/>
      <c r="V20" s="338"/>
      <c r="W20" s="321"/>
      <c r="X20" s="338"/>
      <c r="Y20" s="338"/>
      <c r="Z20" s="338"/>
    </row>
    <row r="21" spans="1:26" ht="15.75" customHeight="1" x14ac:dyDescent="0.2">
      <c r="A21" s="362" t="s">
        <v>361</v>
      </c>
      <c r="B21" s="338"/>
      <c r="C21" s="364" t="s">
        <v>380</v>
      </c>
      <c r="D21" s="364">
        <v>5</v>
      </c>
      <c r="E21" s="338" t="s">
        <v>362</v>
      </c>
      <c r="F21" s="367" t="s">
        <v>363</v>
      </c>
      <c r="G21" s="365"/>
      <c r="H21" s="367" t="s">
        <v>363</v>
      </c>
      <c r="I21" s="367" t="s">
        <v>363</v>
      </c>
      <c r="J21" s="336"/>
      <c r="K21" s="367" t="s">
        <v>363</v>
      </c>
      <c r="L21" s="367" t="s">
        <v>363</v>
      </c>
      <c r="M21" s="336"/>
      <c r="N21" s="336"/>
      <c r="O21" s="336"/>
      <c r="P21" s="336"/>
      <c r="Q21" s="336"/>
      <c r="R21" s="336"/>
      <c r="S21" s="368"/>
      <c r="T21" s="336"/>
      <c r="U21" s="338"/>
      <c r="V21" s="338"/>
      <c r="W21" s="321"/>
      <c r="X21" s="338"/>
      <c r="Y21" s="338"/>
      <c r="Z21" s="338"/>
    </row>
    <row r="22" spans="1:26" ht="15.75" customHeight="1" x14ac:dyDescent="0.2">
      <c r="A22" s="362" t="s">
        <v>361</v>
      </c>
      <c r="B22" s="338"/>
      <c r="C22" s="364" t="s">
        <v>381</v>
      </c>
      <c r="D22" s="364">
        <v>5</v>
      </c>
      <c r="E22" s="338" t="s">
        <v>362</v>
      </c>
      <c r="F22" s="367" t="s">
        <v>363</v>
      </c>
      <c r="G22" s="365"/>
      <c r="H22" s="367" t="s">
        <v>363</v>
      </c>
      <c r="I22" s="367" t="s">
        <v>363</v>
      </c>
      <c r="J22" s="336"/>
      <c r="K22" s="367" t="s">
        <v>363</v>
      </c>
      <c r="L22" s="367" t="s">
        <v>363</v>
      </c>
      <c r="M22" s="336"/>
      <c r="N22" s="336"/>
      <c r="O22" s="336"/>
      <c r="P22" s="336"/>
      <c r="Q22" s="336"/>
      <c r="R22" s="336"/>
      <c r="S22" s="368"/>
      <c r="T22" s="336"/>
      <c r="U22" s="338"/>
      <c r="V22" s="338"/>
      <c r="W22" s="321"/>
      <c r="X22" s="338"/>
      <c r="Y22" s="338"/>
      <c r="Z22" s="338"/>
    </row>
    <row r="23" spans="1:26" ht="15.75" customHeight="1" x14ac:dyDescent="0.2">
      <c r="A23" s="362" t="s">
        <v>361</v>
      </c>
      <c r="B23" s="338"/>
      <c r="C23" s="363" t="s">
        <v>382</v>
      </c>
      <c r="D23" s="364">
        <v>1</v>
      </c>
      <c r="E23" s="338" t="s">
        <v>362</v>
      </c>
      <c r="F23" s="369" t="s">
        <v>363</v>
      </c>
      <c r="G23" s="365"/>
      <c r="H23" s="336"/>
      <c r="I23" s="336"/>
      <c r="J23" s="336"/>
      <c r="K23" s="336"/>
      <c r="L23" s="336"/>
      <c r="M23" s="336"/>
      <c r="N23" s="336"/>
      <c r="O23" s="336"/>
      <c r="P23" s="336"/>
      <c r="Q23" s="336"/>
      <c r="R23" s="336"/>
      <c r="S23" s="368"/>
      <c r="T23" s="336"/>
      <c r="U23" s="338"/>
      <c r="V23" s="338"/>
      <c r="W23" s="321"/>
      <c r="X23" s="338"/>
      <c r="Y23" s="338"/>
      <c r="Z23" s="338"/>
    </row>
    <row r="24" spans="1:26" ht="15.75" customHeight="1" x14ac:dyDescent="0.2">
      <c r="A24" s="362" t="s">
        <v>361</v>
      </c>
      <c r="B24" s="338"/>
      <c r="C24" s="363" t="s">
        <v>383</v>
      </c>
      <c r="D24" s="364">
        <v>1</v>
      </c>
      <c r="E24" s="338" t="s">
        <v>362</v>
      </c>
      <c r="F24" s="367" t="s">
        <v>363</v>
      </c>
      <c r="G24" s="365"/>
      <c r="H24" s="336"/>
      <c r="I24" s="336"/>
      <c r="J24" s="336"/>
      <c r="K24" s="336"/>
      <c r="L24" s="336"/>
      <c r="M24" s="336"/>
      <c r="N24" s="336"/>
      <c r="O24" s="336"/>
      <c r="P24" s="336"/>
      <c r="Q24" s="336"/>
      <c r="R24" s="336"/>
      <c r="S24" s="368"/>
      <c r="T24" s="336"/>
      <c r="U24" s="338"/>
      <c r="V24" s="338"/>
      <c r="W24" s="321"/>
      <c r="X24" s="338"/>
      <c r="Y24" s="338"/>
      <c r="Z24" s="338"/>
    </row>
    <row r="25" spans="1:26" ht="15.75" customHeight="1" x14ac:dyDescent="0.2">
      <c r="A25" s="362" t="s">
        <v>361</v>
      </c>
      <c r="B25" s="338"/>
      <c r="C25" s="363" t="s">
        <v>384</v>
      </c>
      <c r="D25" s="364">
        <v>1</v>
      </c>
      <c r="E25" s="338" t="s">
        <v>362</v>
      </c>
      <c r="F25" s="367" t="s">
        <v>363</v>
      </c>
      <c r="G25" s="365"/>
      <c r="H25" s="336"/>
      <c r="I25" s="336"/>
      <c r="J25" s="336"/>
      <c r="K25" s="336"/>
      <c r="L25" s="336"/>
      <c r="M25" s="336"/>
      <c r="N25" s="336"/>
      <c r="O25" s="336"/>
      <c r="P25" s="336"/>
      <c r="Q25" s="336"/>
      <c r="R25" s="336"/>
      <c r="S25" s="368"/>
      <c r="T25" s="336"/>
      <c r="U25" s="338"/>
      <c r="V25" s="338"/>
      <c r="W25" s="321"/>
      <c r="X25" s="338"/>
      <c r="Y25" s="338"/>
      <c r="Z25" s="338"/>
    </row>
    <row r="26" spans="1:26" ht="15.75" customHeight="1" x14ac:dyDescent="0.2">
      <c r="A26" s="362" t="s">
        <v>361</v>
      </c>
      <c r="B26" s="338"/>
      <c r="C26" s="363" t="s">
        <v>385</v>
      </c>
      <c r="D26" s="364">
        <v>1</v>
      </c>
      <c r="E26" s="338" t="s">
        <v>362</v>
      </c>
      <c r="F26" s="367" t="s">
        <v>363</v>
      </c>
      <c r="G26" s="365"/>
      <c r="H26" s="336"/>
      <c r="I26" s="336"/>
      <c r="J26" s="336"/>
      <c r="K26" s="336"/>
      <c r="L26" s="336"/>
      <c r="M26" s="336"/>
      <c r="N26" s="336"/>
      <c r="O26" s="336"/>
      <c r="P26" s="336"/>
      <c r="Q26" s="336"/>
      <c r="R26" s="336"/>
      <c r="S26" s="368"/>
      <c r="T26" s="336"/>
      <c r="U26" s="338"/>
      <c r="V26" s="338"/>
      <c r="W26" s="321"/>
      <c r="X26" s="338"/>
      <c r="Y26" s="338"/>
      <c r="Z26" s="338"/>
    </row>
    <row r="27" spans="1:26" ht="15.75" customHeight="1" x14ac:dyDescent="0.2">
      <c r="A27" s="362" t="s">
        <v>361</v>
      </c>
      <c r="B27" s="338"/>
      <c r="C27" s="364" t="s">
        <v>386</v>
      </c>
      <c r="D27" s="364">
        <v>10</v>
      </c>
      <c r="E27" s="338" t="s">
        <v>362</v>
      </c>
      <c r="F27" s="367" t="s">
        <v>363</v>
      </c>
      <c r="G27" s="365"/>
      <c r="H27" s="367" t="s">
        <v>363</v>
      </c>
      <c r="I27" s="367" t="s">
        <v>363</v>
      </c>
      <c r="J27" s="336"/>
      <c r="K27" s="367" t="s">
        <v>363</v>
      </c>
      <c r="L27" s="367" t="s">
        <v>363</v>
      </c>
      <c r="M27" s="367" t="s">
        <v>363</v>
      </c>
      <c r="N27" s="367" t="s">
        <v>363</v>
      </c>
      <c r="O27" s="367" t="s">
        <v>363</v>
      </c>
      <c r="P27" s="367" t="s">
        <v>363</v>
      </c>
      <c r="Q27" s="336"/>
      <c r="R27" s="336"/>
      <c r="S27" s="368"/>
      <c r="T27" s="336"/>
      <c r="U27" s="338"/>
      <c r="V27" s="357" t="s">
        <v>363</v>
      </c>
      <c r="W27" s="321"/>
      <c r="X27" s="338"/>
      <c r="Y27" s="338"/>
      <c r="Z27" s="338"/>
    </row>
    <row r="28" spans="1:26" ht="15.75" customHeight="1" x14ac:dyDescent="0.2">
      <c r="A28" s="362" t="s">
        <v>361</v>
      </c>
      <c r="B28" s="338"/>
      <c r="C28" s="363" t="s">
        <v>387</v>
      </c>
      <c r="D28" s="364">
        <v>1</v>
      </c>
      <c r="E28" s="338" t="s">
        <v>376</v>
      </c>
      <c r="F28" s="370" t="s">
        <v>363</v>
      </c>
      <c r="G28" s="365"/>
      <c r="H28" s="336"/>
      <c r="I28" s="336"/>
      <c r="J28" s="336"/>
      <c r="K28" s="336"/>
      <c r="L28" s="336"/>
      <c r="M28" s="336"/>
      <c r="N28" s="336"/>
      <c r="O28" s="336"/>
      <c r="P28" s="336"/>
      <c r="Q28" s="336"/>
      <c r="R28" s="336"/>
      <c r="S28" s="368"/>
      <c r="T28" s="336"/>
      <c r="U28" s="338"/>
      <c r="V28" s="338"/>
      <c r="W28" s="321"/>
      <c r="X28" s="338"/>
      <c r="Y28" s="338"/>
      <c r="Z28" s="338"/>
    </row>
    <row r="29" spans="1:26" ht="15.75" customHeight="1" x14ac:dyDescent="0.2">
      <c r="A29" s="362" t="s">
        <v>361</v>
      </c>
      <c r="B29" s="338"/>
      <c r="C29" s="363" t="s">
        <v>388</v>
      </c>
      <c r="D29" s="364">
        <v>10</v>
      </c>
      <c r="E29" s="338" t="s">
        <v>362</v>
      </c>
      <c r="F29" s="367" t="s">
        <v>363</v>
      </c>
      <c r="G29" s="365"/>
      <c r="H29" s="367" t="s">
        <v>363</v>
      </c>
      <c r="I29" s="367" t="s">
        <v>363</v>
      </c>
      <c r="J29" s="336"/>
      <c r="K29" s="367" t="s">
        <v>363</v>
      </c>
      <c r="L29" s="367" t="s">
        <v>363</v>
      </c>
      <c r="M29" s="367" t="s">
        <v>363</v>
      </c>
      <c r="N29" s="367" t="s">
        <v>363</v>
      </c>
      <c r="O29" s="367" t="s">
        <v>363</v>
      </c>
      <c r="P29" s="367" t="s">
        <v>363</v>
      </c>
      <c r="Q29" s="336"/>
      <c r="R29" s="336"/>
      <c r="S29" s="368"/>
      <c r="T29" s="367" t="s">
        <v>363</v>
      </c>
      <c r="U29" s="338"/>
      <c r="V29" s="338"/>
      <c r="W29" s="321"/>
      <c r="X29" s="338"/>
      <c r="Y29" s="338"/>
      <c r="Z29" s="338"/>
    </row>
    <row r="30" spans="1:26" ht="15.75" customHeight="1" x14ac:dyDescent="0.2">
      <c r="A30" s="362" t="s">
        <v>361</v>
      </c>
      <c r="B30" s="338"/>
      <c r="C30" s="363" t="s">
        <v>389</v>
      </c>
      <c r="D30" s="364">
        <v>10</v>
      </c>
      <c r="E30" s="338" t="s">
        <v>362</v>
      </c>
      <c r="F30" s="367" t="s">
        <v>363</v>
      </c>
      <c r="G30" s="365"/>
      <c r="H30" s="367" t="s">
        <v>363</v>
      </c>
      <c r="I30" s="367" t="s">
        <v>363</v>
      </c>
      <c r="J30" s="336"/>
      <c r="K30" s="367" t="s">
        <v>363</v>
      </c>
      <c r="L30" s="367" t="s">
        <v>363</v>
      </c>
      <c r="M30" s="367" t="s">
        <v>363</v>
      </c>
      <c r="N30" s="367" t="s">
        <v>363</v>
      </c>
      <c r="O30" s="367" t="s">
        <v>363</v>
      </c>
      <c r="P30" s="367" t="s">
        <v>363</v>
      </c>
      <c r="Q30" s="336"/>
      <c r="R30" s="336"/>
      <c r="S30" s="368"/>
      <c r="T30" s="367" t="s">
        <v>363</v>
      </c>
      <c r="U30" s="338"/>
      <c r="V30" s="338"/>
      <c r="W30" s="321"/>
      <c r="X30" s="338"/>
      <c r="Y30" s="338"/>
      <c r="Z30" s="338"/>
    </row>
    <row r="31" spans="1:26" ht="15.75" customHeight="1" x14ac:dyDescent="0.2">
      <c r="A31" s="362" t="s">
        <v>361</v>
      </c>
      <c r="B31" s="338"/>
      <c r="C31" s="372" t="s">
        <v>107</v>
      </c>
      <c r="D31" s="364">
        <v>3</v>
      </c>
      <c r="E31" s="338" t="s">
        <v>390</v>
      </c>
      <c r="F31" s="367" t="s">
        <v>363</v>
      </c>
      <c r="G31" s="365"/>
      <c r="H31" s="336"/>
      <c r="I31" s="336"/>
      <c r="J31" s="336"/>
      <c r="K31" s="336"/>
      <c r="L31" s="336"/>
      <c r="M31" s="336"/>
      <c r="N31" s="336"/>
      <c r="O31" s="336"/>
      <c r="P31" s="336"/>
      <c r="Q31" s="336"/>
      <c r="R31" s="336"/>
      <c r="S31" s="368"/>
      <c r="T31" s="336"/>
      <c r="U31" s="338"/>
      <c r="V31" s="338"/>
      <c r="W31" s="321"/>
      <c r="X31" s="338" t="s">
        <v>391</v>
      </c>
      <c r="Y31" s="338"/>
      <c r="Z31" s="338"/>
    </row>
    <row r="32" spans="1:26" ht="15.75" customHeight="1" x14ac:dyDescent="0.2">
      <c r="A32" s="362" t="s">
        <v>361</v>
      </c>
      <c r="B32" s="338"/>
      <c r="C32" s="372" t="s">
        <v>392</v>
      </c>
      <c r="D32" s="364">
        <v>2</v>
      </c>
      <c r="E32" s="338" t="s">
        <v>362</v>
      </c>
      <c r="F32" s="336"/>
      <c r="G32" s="365"/>
      <c r="H32" s="367" t="s">
        <v>363</v>
      </c>
      <c r="I32" s="367" t="s">
        <v>363</v>
      </c>
      <c r="J32" s="336"/>
      <c r="K32" s="367" t="s">
        <v>363</v>
      </c>
      <c r="L32" s="367" t="s">
        <v>363</v>
      </c>
      <c r="M32" s="367" t="s">
        <v>363</v>
      </c>
      <c r="N32" s="367" t="s">
        <v>363</v>
      </c>
      <c r="O32" s="367" t="s">
        <v>363</v>
      </c>
      <c r="P32" s="367" t="s">
        <v>363</v>
      </c>
      <c r="Q32" s="336"/>
      <c r="R32" s="336"/>
      <c r="S32" s="368"/>
      <c r="T32" s="336"/>
      <c r="U32" s="338"/>
      <c r="V32" s="338"/>
      <c r="W32" s="321"/>
      <c r="X32" s="338" t="s">
        <v>391</v>
      </c>
      <c r="Y32" s="338"/>
      <c r="Z32" s="338"/>
    </row>
    <row r="33" spans="1:26" ht="15.75" customHeight="1" x14ac:dyDescent="0.2">
      <c r="A33" s="362"/>
      <c r="B33" s="338" t="s">
        <v>393</v>
      </c>
      <c r="C33" s="372" t="s">
        <v>188</v>
      </c>
      <c r="D33" s="364">
        <v>1</v>
      </c>
      <c r="E33" s="338" t="s">
        <v>390</v>
      </c>
      <c r="F33" s="367" t="s">
        <v>363</v>
      </c>
      <c r="G33" s="365"/>
      <c r="H33" s="336"/>
      <c r="I33" s="336"/>
      <c r="J33" s="336"/>
      <c r="K33" s="336"/>
      <c r="L33" s="336"/>
      <c r="M33" s="336"/>
      <c r="N33" s="336"/>
      <c r="O33" s="336"/>
      <c r="P33" s="336"/>
      <c r="Q33" s="336"/>
      <c r="R33" s="336"/>
      <c r="S33" s="368"/>
      <c r="T33" s="336"/>
      <c r="U33" s="338"/>
      <c r="V33" s="355"/>
      <c r="W33" s="321"/>
      <c r="X33" s="338"/>
      <c r="Y33" s="338"/>
      <c r="Z33" s="338"/>
    </row>
    <row r="34" spans="1:26" ht="15.75" customHeight="1" x14ac:dyDescent="0.2">
      <c r="A34" s="362"/>
      <c r="B34" s="338" t="s">
        <v>393</v>
      </c>
      <c r="C34" s="372" t="s">
        <v>394</v>
      </c>
      <c r="D34" s="364">
        <v>1</v>
      </c>
      <c r="E34" s="338" t="s">
        <v>390</v>
      </c>
      <c r="F34" s="367" t="s">
        <v>363</v>
      </c>
      <c r="G34" s="365"/>
      <c r="H34" s="336"/>
      <c r="I34" s="336"/>
      <c r="J34" s="336"/>
      <c r="K34" s="336"/>
      <c r="L34" s="336"/>
      <c r="M34" s="336"/>
      <c r="N34" s="336"/>
      <c r="O34" s="336"/>
      <c r="P34" s="336"/>
      <c r="Q34" s="336"/>
      <c r="R34" s="336"/>
      <c r="S34" s="368"/>
      <c r="T34" s="336"/>
      <c r="U34" s="338"/>
      <c r="V34" s="355"/>
      <c r="W34" s="321"/>
      <c r="X34" s="338"/>
      <c r="Y34" s="338"/>
      <c r="Z34" s="338"/>
    </row>
    <row r="35" spans="1:26" ht="15.75" customHeight="1" x14ac:dyDescent="0.2">
      <c r="A35" s="362"/>
      <c r="B35" s="338" t="s">
        <v>393</v>
      </c>
      <c r="C35" s="372" t="s">
        <v>395</v>
      </c>
      <c r="D35" s="364">
        <v>1</v>
      </c>
      <c r="E35" s="338" t="s">
        <v>390</v>
      </c>
      <c r="F35" s="367" t="s">
        <v>363</v>
      </c>
      <c r="G35" s="365"/>
      <c r="H35" s="336"/>
      <c r="I35" s="336"/>
      <c r="J35" s="336"/>
      <c r="K35" s="336"/>
      <c r="L35" s="336"/>
      <c r="M35" s="336"/>
      <c r="N35" s="336"/>
      <c r="O35" s="336"/>
      <c r="P35" s="336"/>
      <c r="Q35" s="336"/>
      <c r="R35" s="336"/>
      <c r="S35" s="368"/>
      <c r="T35" s="336"/>
      <c r="U35" s="338"/>
      <c r="V35" s="355"/>
      <c r="W35" s="321"/>
      <c r="X35" s="338"/>
      <c r="Y35" s="338"/>
      <c r="Z35" s="338"/>
    </row>
    <row r="36" spans="1:26" ht="15.75" customHeight="1" x14ac:dyDescent="0.2">
      <c r="A36" s="362"/>
      <c r="B36" s="338" t="s">
        <v>393</v>
      </c>
      <c r="C36" s="372" t="s">
        <v>201</v>
      </c>
      <c r="D36" s="364">
        <v>1</v>
      </c>
      <c r="E36" s="338" t="s">
        <v>390</v>
      </c>
      <c r="F36" s="367" t="s">
        <v>363</v>
      </c>
      <c r="G36" s="365"/>
      <c r="H36" s="336"/>
      <c r="I36" s="336"/>
      <c r="J36" s="336"/>
      <c r="K36" s="336"/>
      <c r="L36" s="336"/>
      <c r="M36" s="336"/>
      <c r="N36" s="336"/>
      <c r="O36" s="336"/>
      <c r="P36" s="336"/>
      <c r="Q36" s="336"/>
      <c r="R36" s="336"/>
      <c r="S36" s="368"/>
      <c r="T36" s="336"/>
      <c r="U36" s="338"/>
      <c r="V36" s="355"/>
      <c r="W36" s="321"/>
      <c r="X36" s="338"/>
      <c r="Y36" s="338"/>
      <c r="Z36" s="338"/>
    </row>
    <row r="37" spans="1:26" ht="15.75" customHeight="1" x14ac:dyDescent="0.2">
      <c r="A37" s="362"/>
      <c r="B37" s="338" t="s">
        <v>393</v>
      </c>
      <c r="C37" s="372" t="s">
        <v>195</v>
      </c>
      <c r="D37" s="364">
        <v>1</v>
      </c>
      <c r="E37" s="338" t="s">
        <v>390</v>
      </c>
      <c r="F37" s="367" t="s">
        <v>363</v>
      </c>
      <c r="G37" s="365"/>
      <c r="H37" s="336"/>
      <c r="I37" s="336"/>
      <c r="J37" s="336"/>
      <c r="K37" s="336"/>
      <c r="L37" s="336"/>
      <c r="M37" s="336"/>
      <c r="N37" s="336"/>
      <c r="O37" s="336"/>
      <c r="P37" s="336"/>
      <c r="Q37" s="336"/>
      <c r="R37" s="336"/>
      <c r="S37" s="368"/>
      <c r="T37" s="336"/>
      <c r="U37" s="338"/>
      <c r="V37" s="355"/>
      <c r="W37" s="321"/>
      <c r="X37" s="338"/>
      <c r="Y37" s="338"/>
      <c r="Z37" s="338"/>
    </row>
    <row r="38" spans="1:26" ht="15.75" customHeight="1" x14ac:dyDescent="0.2">
      <c r="A38" s="362"/>
      <c r="B38" s="338" t="s">
        <v>393</v>
      </c>
      <c r="C38" s="372" t="s">
        <v>396</v>
      </c>
      <c r="D38" s="364">
        <v>23</v>
      </c>
      <c r="E38" s="338" t="s">
        <v>390</v>
      </c>
      <c r="F38" s="367" t="s">
        <v>363</v>
      </c>
      <c r="G38" s="365"/>
      <c r="H38" s="336"/>
      <c r="I38" s="336"/>
      <c r="J38" s="336"/>
      <c r="K38" s="336"/>
      <c r="L38" s="336"/>
      <c r="M38" s="336"/>
      <c r="N38" s="336"/>
      <c r="O38" s="336"/>
      <c r="P38" s="336"/>
      <c r="Q38" s="336"/>
      <c r="R38" s="336"/>
      <c r="S38" s="368"/>
      <c r="T38" s="336"/>
      <c r="U38" s="338"/>
      <c r="V38" s="355"/>
      <c r="W38" s="321"/>
      <c r="X38" s="338"/>
      <c r="Y38" s="338"/>
      <c r="Z38" s="338"/>
    </row>
    <row r="39" spans="1:26" ht="15.75" customHeight="1" x14ac:dyDescent="0.2">
      <c r="A39" s="362"/>
      <c r="B39" s="338" t="s">
        <v>393</v>
      </c>
      <c r="C39" s="372" t="s">
        <v>397</v>
      </c>
      <c r="D39" s="364">
        <v>23</v>
      </c>
      <c r="E39" s="338" t="s">
        <v>390</v>
      </c>
      <c r="F39" s="367" t="s">
        <v>363</v>
      </c>
      <c r="G39" s="365"/>
      <c r="H39" s="336"/>
      <c r="I39" s="336"/>
      <c r="J39" s="336"/>
      <c r="K39" s="336"/>
      <c r="L39" s="336"/>
      <c r="M39" s="336"/>
      <c r="N39" s="336"/>
      <c r="O39" s="336"/>
      <c r="P39" s="336"/>
      <c r="Q39" s="336"/>
      <c r="R39" s="336"/>
      <c r="S39" s="368"/>
      <c r="T39" s="336"/>
      <c r="U39" s="338"/>
      <c r="V39" s="355"/>
      <c r="W39" s="321"/>
      <c r="X39" s="338"/>
      <c r="Y39" s="338"/>
      <c r="Z39" s="338"/>
    </row>
    <row r="40" spans="1:26" ht="15.75" customHeight="1" x14ac:dyDescent="0.2">
      <c r="A40" s="362"/>
      <c r="B40" s="338" t="s">
        <v>393</v>
      </c>
      <c r="C40" s="372" t="s">
        <v>398</v>
      </c>
      <c r="D40" s="364">
        <v>23</v>
      </c>
      <c r="E40" s="338" t="s">
        <v>390</v>
      </c>
      <c r="F40" s="367" t="s">
        <v>363</v>
      </c>
      <c r="G40" s="365"/>
      <c r="H40" s="336"/>
      <c r="I40" s="336"/>
      <c r="J40" s="336"/>
      <c r="K40" s="336"/>
      <c r="L40" s="336"/>
      <c r="M40" s="336"/>
      <c r="N40" s="336"/>
      <c r="O40" s="336"/>
      <c r="P40" s="336"/>
      <c r="Q40" s="336"/>
      <c r="R40" s="336"/>
      <c r="S40" s="368"/>
      <c r="T40" s="336"/>
      <c r="U40" s="338"/>
      <c r="V40" s="355"/>
      <c r="W40" s="321"/>
      <c r="X40" s="338"/>
      <c r="Y40" s="338"/>
      <c r="Z40" s="338"/>
    </row>
    <row r="41" spans="1:26" ht="15.75" customHeight="1" x14ac:dyDescent="0.2">
      <c r="A41" s="362"/>
      <c r="B41" s="338" t="s">
        <v>393</v>
      </c>
      <c r="C41" s="372" t="s">
        <v>399</v>
      </c>
      <c r="D41" s="364">
        <v>23</v>
      </c>
      <c r="E41" s="338" t="s">
        <v>390</v>
      </c>
      <c r="F41" s="367" t="s">
        <v>363</v>
      </c>
      <c r="G41" s="365"/>
      <c r="H41" s="336"/>
      <c r="I41" s="336"/>
      <c r="J41" s="336"/>
      <c r="K41" s="336"/>
      <c r="L41" s="336"/>
      <c r="M41" s="336"/>
      <c r="N41" s="336"/>
      <c r="O41" s="336"/>
      <c r="P41" s="336"/>
      <c r="Q41" s="336"/>
      <c r="R41" s="336"/>
      <c r="S41" s="368"/>
      <c r="T41" s="336"/>
      <c r="U41" s="338"/>
      <c r="V41" s="355"/>
      <c r="W41" s="321"/>
      <c r="X41" s="338"/>
      <c r="Y41" s="338"/>
      <c r="Z41" s="338"/>
    </row>
    <row r="42" spans="1:26" ht="15.75" customHeight="1" x14ac:dyDescent="0.2">
      <c r="A42" s="362" t="s">
        <v>361</v>
      </c>
      <c r="B42" s="338"/>
      <c r="C42" s="364" t="s">
        <v>400</v>
      </c>
      <c r="D42" s="364">
        <v>10</v>
      </c>
      <c r="E42" s="338" t="s">
        <v>401</v>
      </c>
      <c r="F42" s="367" t="s">
        <v>363</v>
      </c>
      <c r="G42" s="365"/>
      <c r="H42" s="367" t="s">
        <v>363</v>
      </c>
      <c r="I42" s="367" t="s">
        <v>363</v>
      </c>
      <c r="J42" s="336"/>
      <c r="K42" s="367" t="s">
        <v>363</v>
      </c>
      <c r="L42" s="367" t="s">
        <v>363</v>
      </c>
      <c r="M42" s="367" t="s">
        <v>363</v>
      </c>
      <c r="N42" s="367" t="s">
        <v>363</v>
      </c>
      <c r="O42" s="367" t="s">
        <v>363</v>
      </c>
      <c r="P42" s="367" t="s">
        <v>363</v>
      </c>
      <c r="Q42" s="336"/>
      <c r="R42" s="336"/>
      <c r="S42" s="368"/>
      <c r="T42" s="336"/>
      <c r="U42" s="338"/>
      <c r="V42" s="357" t="s">
        <v>363</v>
      </c>
      <c r="W42" s="321"/>
      <c r="X42" s="338" t="s">
        <v>402</v>
      </c>
      <c r="Y42" s="338"/>
      <c r="Z42" s="338"/>
    </row>
    <row r="43" spans="1:26" ht="15.75" customHeight="1" x14ac:dyDescent="0.2">
      <c r="A43" s="362" t="s">
        <v>361</v>
      </c>
      <c r="B43" s="338"/>
      <c r="C43" s="363" t="s">
        <v>403</v>
      </c>
      <c r="D43" s="364">
        <v>1</v>
      </c>
      <c r="E43" s="338" t="s">
        <v>376</v>
      </c>
      <c r="F43" s="370" t="s">
        <v>363</v>
      </c>
      <c r="G43" s="365"/>
      <c r="H43" s="336"/>
      <c r="I43" s="336"/>
      <c r="J43" s="336"/>
      <c r="K43" s="336"/>
      <c r="L43" s="336"/>
      <c r="M43" s="336"/>
      <c r="N43" s="336"/>
      <c r="O43" s="336"/>
      <c r="P43" s="336"/>
      <c r="Q43" s="336"/>
      <c r="R43" s="336"/>
      <c r="S43" s="368"/>
      <c r="T43" s="336"/>
      <c r="U43" s="338"/>
      <c r="V43" s="338"/>
      <c r="W43" s="321"/>
      <c r="X43" s="338" t="s">
        <v>404</v>
      </c>
      <c r="Y43" s="338"/>
      <c r="Z43" s="338"/>
    </row>
    <row r="44" spans="1:26" ht="15.75" customHeight="1" x14ac:dyDescent="0.2">
      <c r="A44" s="362" t="s">
        <v>361</v>
      </c>
      <c r="B44" s="338"/>
      <c r="C44" s="363" t="s">
        <v>405</v>
      </c>
      <c r="D44" s="364">
        <v>1</v>
      </c>
      <c r="E44" s="338" t="s">
        <v>376</v>
      </c>
      <c r="F44" s="370" t="s">
        <v>363</v>
      </c>
      <c r="G44" s="365"/>
      <c r="H44" s="336"/>
      <c r="I44" s="336"/>
      <c r="J44" s="336"/>
      <c r="K44" s="336"/>
      <c r="L44" s="336"/>
      <c r="M44" s="336"/>
      <c r="N44" s="336"/>
      <c r="O44" s="336"/>
      <c r="P44" s="336"/>
      <c r="Q44" s="336"/>
      <c r="R44" s="336"/>
      <c r="S44" s="368"/>
      <c r="T44" s="336"/>
      <c r="U44" s="338"/>
      <c r="V44" s="338"/>
      <c r="W44" s="321"/>
      <c r="X44" s="338"/>
      <c r="Y44" s="338"/>
      <c r="Z44" s="338"/>
    </row>
    <row r="45" spans="1:26" ht="15.75" customHeight="1" x14ac:dyDescent="0.2">
      <c r="A45" s="362" t="s">
        <v>361</v>
      </c>
      <c r="B45" s="338"/>
      <c r="C45" s="363" t="s">
        <v>406</v>
      </c>
      <c r="D45" s="364">
        <v>1</v>
      </c>
      <c r="E45" s="338" t="s">
        <v>376</v>
      </c>
      <c r="F45" s="370" t="s">
        <v>363</v>
      </c>
      <c r="G45" s="365"/>
      <c r="H45" s="336"/>
      <c r="I45" s="336"/>
      <c r="J45" s="336"/>
      <c r="K45" s="336"/>
      <c r="L45" s="336"/>
      <c r="M45" s="336"/>
      <c r="N45" s="336"/>
      <c r="O45" s="336"/>
      <c r="P45" s="336"/>
      <c r="Q45" s="336"/>
      <c r="R45" s="336"/>
      <c r="S45" s="368"/>
      <c r="T45" s="336"/>
      <c r="U45" s="338"/>
      <c r="V45" s="338"/>
      <c r="W45" s="321"/>
      <c r="X45" s="338"/>
      <c r="Y45" s="338"/>
      <c r="Z45" s="338"/>
    </row>
    <row r="46" spans="1:26" ht="15.75" customHeight="1" x14ac:dyDescent="0.2">
      <c r="A46" s="362" t="s">
        <v>361</v>
      </c>
      <c r="B46" s="338"/>
      <c r="C46" s="363" t="s">
        <v>407</v>
      </c>
      <c r="D46" s="364">
        <v>1</v>
      </c>
      <c r="E46" s="338" t="s">
        <v>376</v>
      </c>
      <c r="F46" s="370" t="s">
        <v>363</v>
      </c>
      <c r="G46" s="365"/>
      <c r="H46" s="336"/>
      <c r="I46" s="336"/>
      <c r="J46" s="336"/>
      <c r="K46" s="336"/>
      <c r="L46" s="336"/>
      <c r="M46" s="336"/>
      <c r="N46" s="336"/>
      <c r="O46" s="336"/>
      <c r="P46" s="336"/>
      <c r="Q46" s="336"/>
      <c r="R46" s="336"/>
      <c r="S46" s="368"/>
      <c r="T46" s="336"/>
      <c r="U46" s="338"/>
      <c r="V46" s="338"/>
      <c r="W46" s="321"/>
      <c r="X46" s="338"/>
      <c r="Y46" s="338"/>
      <c r="Z46" s="338"/>
    </row>
    <row r="47" spans="1:26" ht="15.75" customHeight="1" x14ac:dyDescent="0.2">
      <c r="A47" s="362" t="s">
        <v>361</v>
      </c>
      <c r="B47" s="338"/>
      <c r="C47" s="373" t="s">
        <v>408</v>
      </c>
      <c r="D47" s="364">
        <v>0</v>
      </c>
      <c r="E47" s="338" t="s">
        <v>376</v>
      </c>
      <c r="F47" s="336"/>
      <c r="G47" s="365"/>
      <c r="H47" s="336"/>
      <c r="I47" s="336"/>
      <c r="J47" s="336"/>
      <c r="K47" s="336"/>
      <c r="L47" s="336"/>
      <c r="M47" s="336"/>
      <c r="N47" s="336"/>
      <c r="O47" s="336"/>
      <c r="P47" s="336"/>
      <c r="Q47" s="336"/>
      <c r="R47" s="336"/>
      <c r="S47" s="368"/>
      <c r="T47" s="336"/>
      <c r="U47" s="338"/>
      <c r="V47" s="338"/>
      <c r="W47" s="321"/>
      <c r="X47" s="338"/>
      <c r="Y47" s="338"/>
      <c r="Z47" s="338"/>
    </row>
    <row r="48" spans="1:26" ht="15.75" customHeight="1" x14ac:dyDescent="0.2">
      <c r="A48" s="362" t="s">
        <v>361</v>
      </c>
      <c r="B48" s="338"/>
      <c r="C48" s="374" t="s">
        <v>409</v>
      </c>
      <c r="D48" s="364">
        <v>1</v>
      </c>
      <c r="E48" s="338" t="s">
        <v>376</v>
      </c>
      <c r="F48" s="370" t="s">
        <v>363</v>
      </c>
      <c r="G48" s="365"/>
      <c r="H48" s="336"/>
      <c r="I48" s="336"/>
      <c r="J48" s="336"/>
      <c r="K48" s="336"/>
      <c r="L48" s="336"/>
      <c r="M48" s="336"/>
      <c r="N48" s="336"/>
      <c r="O48" s="336"/>
      <c r="P48" s="336"/>
      <c r="Q48" s="336"/>
      <c r="R48" s="336"/>
      <c r="S48" s="368"/>
      <c r="T48" s="336"/>
      <c r="U48" s="338"/>
      <c r="V48" s="338"/>
      <c r="W48" s="321"/>
      <c r="X48" s="338" t="s">
        <v>410</v>
      </c>
      <c r="Y48" s="338"/>
      <c r="Z48" s="338"/>
    </row>
    <row r="49" spans="1:26" ht="15.75" customHeight="1" x14ac:dyDescent="0.2">
      <c r="A49" s="362" t="s">
        <v>361</v>
      </c>
      <c r="B49" s="338"/>
      <c r="C49" s="374" t="s">
        <v>411</v>
      </c>
      <c r="D49" s="364">
        <v>1</v>
      </c>
      <c r="E49" s="338" t="s">
        <v>376</v>
      </c>
      <c r="F49" s="370" t="s">
        <v>363</v>
      </c>
      <c r="G49" s="365"/>
      <c r="H49" s="336"/>
      <c r="I49" s="336"/>
      <c r="J49" s="336"/>
      <c r="K49" s="336"/>
      <c r="L49" s="336"/>
      <c r="M49" s="336"/>
      <c r="N49" s="336"/>
      <c r="O49" s="336"/>
      <c r="P49" s="336"/>
      <c r="Q49" s="336"/>
      <c r="R49" s="336"/>
      <c r="S49" s="368"/>
      <c r="T49" s="336"/>
      <c r="U49" s="338"/>
      <c r="V49" s="338"/>
      <c r="W49" s="321"/>
      <c r="X49" s="338"/>
      <c r="Y49" s="338"/>
      <c r="Z49" s="338"/>
    </row>
    <row r="50" spans="1:26" ht="15.75" customHeight="1" x14ac:dyDescent="0.2">
      <c r="A50" s="362" t="s">
        <v>361</v>
      </c>
      <c r="B50" s="338"/>
      <c r="C50" s="374" t="s">
        <v>412</v>
      </c>
      <c r="D50" s="364">
        <v>1</v>
      </c>
      <c r="E50" s="338" t="s">
        <v>376</v>
      </c>
      <c r="F50" s="370" t="s">
        <v>363</v>
      </c>
      <c r="G50" s="365"/>
      <c r="H50" s="336"/>
      <c r="I50" s="336"/>
      <c r="J50" s="336"/>
      <c r="K50" s="336"/>
      <c r="L50" s="336"/>
      <c r="M50" s="336"/>
      <c r="N50" s="336"/>
      <c r="O50" s="336"/>
      <c r="P50" s="336"/>
      <c r="Q50" s="336"/>
      <c r="R50" s="336"/>
      <c r="S50" s="368"/>
      <c r="T50" s="336"/>
      <c r="U50" s="338"/>
      <c r="V50" s="338"/>
      <c r="W50" s="321"/>
      <c r="X50" s="338"/>
      <c r="Y50" s="338"/>
      <c r="Z50" s="338"/>
    </row>
    <row r="51" spans="1:26" ht="15.75" customHeight="1" x14ac:dyDescent="0.2">
      <c r="A51" s="362" t="s">
        <v>361</v>
      </c>
      <c r="B51" s="338"/>
      <c r="C51" s="374" t="s">
        <v>413</v>
      </c>
      <c r="D51" s="364">
        <v>1</v>
      </c>
      <c r="E51" s="338" t="s">
        <v>376</v>
      </c>
      <c r="F51" s="370" t="s">
        <v>363</v>
      </c>
      <c r="G51" s="365"/>
      <c r="H51" s="336"/>
      <c r="I51" s="336"/>
      <c r="J51" s="336"/>
      <c r="K51" s="336"/>
      <c r="L51" s="336"/>
      <c r="M51" s="336"/>
      <c r="N51" s="336"/>
      <c r="O51" s="336"/>
      <c r="P51" s="336"/>
      <c r="Q51" s="336"/>
      <c r="R51" s="336"/>
      <c r="S51" s="368"/>
      <c r="T51" s="336"/>
      <c r="U51" s="338"/>
      <c r="V51" s="338"/>
      <c r="W51" s="321"/>
      <c r="X51" s="338"/>
      <c r="Y51" s="338"/>
      <c r="Z51" s="338"/>
    </row>
    <row r="52" spans="1:26" ht="15.75" customHeight="1" x14ac:dyDescent="0.2">
      <c r="A52" s="362" t="s">
        <v>361</v>
      </c>
      <c r="B52" s="338"/>
      <c r="C52" s="374" t="s">
        <v>184</v>
      </c>
      <c r="D52" s="364">
        <v>1</v>
      </c>
      <c r="E52" s="338" t="s">
        <v>414</v>
      </c>
      <c r="F52" s="370"/>
      <c r="G52" s="365"/>
      <c r="H52" s="336"/>
      <c r="I52" s="336"/>
      <c r="J52" s="336"/>
      <c r="K52" s="336"/>
      <c r="L52" s="336"/>
      <c r="M52" s="336"/>
      <c r="N52" s="336"/>
      <c r="O52" s="336"/>
      <c r="P52" s="336"/>
      <c r="Q52" s="336"/>
      <c r="R52" s="336"/>
      <c r="S52" s="368"/>
      <c r="T52" s="336"/>
      <c r="U52" s="338"/>
      <c r="V52" s="338"/>
      <c r="W52" s="321"/>
      <c r="X52" s="338"/>
      <c r="Y52" s="338"/>
      <c r="Z52" s="338"/>
    </row>
    <row r="53" spans="1:26" ht="15.75" customHeight="1" x14ac:dyDescent="0.2">
      <c r="A53" s="362" t="s">
        <v>361</v>
      </c>
      <c r="B53" s="338"/>
      <c r="C53" s="374" t="s">
        <v>209</v>
      </c>
      <c r="D53" s="364">
        <v>1</v>
      </c>
      <c r="E53" s="338" t="s">
        <v>414</v>
      </c>
      <c r="F53" s="370"/>
      <c r="G53" s="365"/>
      <c r="H53" s="336"/>
      <c r="I53" s="336"/>
      <c r="J53" s="336"/>
      <c r="K53" s="336"/>
      <c r="L53" s="336"/>
      <c r="M53" s="336"/>
      <c r="N53" s="336"/>
      <c r="O53" s="336"/>
      <c r="P53" s="336"/>
      <c r="Q53" s="336"/>
      <c r="R53" s="336"/>
      <c r="S53" s="368"/>
      <c r="T53" s="336"/>
      <c r="U53" s="338"/>
      <c r="V53" s="338"/>
      <c r="W53" s="321"/>
      <c r="X53" s="338"/>
      <c r="Y53" s="338"/>
      <c r="Z53" s="338"/>
    </row>
    <row r="54" spans="1:26" ht="15.75" customHeight="1" x14ac:dyDescent="0.2">
      <c r="A54" s="362" t="s">
        <v>361</v>
      </c>
      <c r="B54" s="338" t="s">
        <v>393</v>
      </c>
      <c r="C54" s="374" t="s">
        <v>415</v>
      </c>
      <c r="D54" s="364">
        <v>1</v>
      </c>
      <c r="E54" s="321" t="s">
        <v>390</v>
      </c>
      <c r="F54" s="370"/>
      <c r="G54" s="365"/>
      <c r="H54" s="336"/>
      <c r="I54" s="336"/>
      <c r="J54" s="336"/>
      <c r="K54" s="336"/>
      <c r="L54" s="336"/>
      <c r="M54" s="336"/>
      <c r="N54" s="336"/>
      <c r="O54" s="336"/>
      <c r="P54" s="336"/>
      <c r="Q54" s="336"/>
      <c r="R54" s="336"/>
      <c r="S54" s="368"/>
      <c r="T54" s="336"/>
      <c r="U54" s="338"/>
      <c r="V54" s="338"/>
      <c r="W54" s="321"/>
      <c r="X54" s="338"/>
      <c r="Y54" s="338"/>
      <c r="Z54" s="338"/>
    </row>
    <row r="55" spans="1:26" ht="15.75" customHeight="1" x14ac:dyDescent="0.2">
      <c r="A55" s="362" t="s">
        <v>361</v>
      </c>
      <c r="B55" s="338"/>
      <c r="C55" s="374" t="s">
        <v>416</v>
      </c>
      <c r="D55" s="364">
        <v>2</v>
      </c>
      <c r="E55" s="321" t="s">
        <v>390</v>
      </c>
      <c r="F55" s="370"/>
      <c r="G55" s="365"/>
      <c r="H55" s="336"/>
      <c r="I55" s="336"/>
      <c r="J55" s="336"/>
      <c r="K55" s="336"/>
      <c r="L55" s="336"/>
      <c r="M55" s="336"/>
      <c r="N55" s="336"/>
      <c r="O55" s="336"/>
      <c r="P55" s="336"/>
      <c r="Q55" s="336"/>
      <c r="R55" s="336"/>
      <c r="S55" s="368"/>
      <c r="T55" s="336"/>
      <c r="U55" s="338"/>
      <c r="V55" s="338"/>
      <c r="W55" s="321"/>
      <c r="X55" s="338"/>
      <c r="Y55" s="338"/>
      <c r="Z55" s="338"/>
    </row>
    <row r="56" spans="1:26" ht="15.75" customHeight="1" x14ac:dyDescent="0.2">
      <c r="A56" s="362" t="s">
        <v>361</v>
      </c>
      <c r="B56" s="338"/>
      <c r="C56" s="374" t="s">
        <v>417</v>
      </c>
      <c r="D56" s="364">
        <v>1</v>
      </c>
      <c r="E56" s="321" t="s">
        <v>390</v>
      </c>
      <c r="F56" s="370"/>
      <c r="G56" s="365"/>
      <c r="H56" s="336"/>
      <c r="I56" s="336"/>
      <c r="J56" s="336"/>
      <c r="K56" s="336"/>
      <c r="L56" s="336"/>
      <c r="M56" s="336"/>
      <c r="N56" s="336"/>
      <c r="O56" s="336"/>
      <c r="P56" s="336"/>
      <c r="Q56" s="336"/>
      <c r="R56" s="336"/>
      <c r="S56" s="368"/>
      <c r="T56" s="336"/>
      <c r="U56" s="338"/>
      <c r="V56" s="338"/>
      <c r="W56" s="321"/>
      <c r="X56" s="338"/>
      <c r="Y56" s="338"/>
      <c r="Z56" s="338"/>
    </row>
    <row r="57" spans="1:26" ht="15.75" customHeight="1" x14ac:dyDescent="0.2">
      <c r="A57" s="362" t="s">
        <v>361</v>
      </c>
      <c r="B57" s="338"/>
      <c r="C57" s="374" t="s">
        <v>143</v>
      </c>
      <c r="D57" s="364">
        <v>2</v>
      </c>
      <c r="E57" s="321" t="s">
        <v>390</v>
      </c>
      <c r="F57" s="370"/>
      <c r="G57" s="365"/>
      <c r="H57" s="336"/>
      <c r="I57" s="336"/>
      <c r="J57" s="336"/>
      <c r="K57" s="336"/>
      <c r="L57" s="336"/>
      <c r="M57" s="336"/>
      <c r="N57" s="336"/>
      <c r="O57" s="336"/>
      <c r="P57" s="336"/>
      <c r="Q57" s="336"/>
      <c r="R57" s="336"/>
      <c r="S57" s="368"/>
      <c r="T57" s="336"/>
      <c r="U57" s="338"/>
      <c r="V57" s="338"/>
      <c r="W57" s="321"/>
      <c r="X57" s="338"/>
      <c r="Y57" s="338"/>
      <c r="Z57" s="338"/>
    </row>
    <row r="58" spans="1:26" ht="15.75" customHeight="1" x14ac:dyDescent="0.2">
      <c r="A58" s="362" t="s">
        <v>361</v>
      </c>
      <c r="B58" s="338"/>
      <c r="C58" s="374" t="s">
        <v>418</v>
      </c>
      <c r="D58" s="364">
        <v>1</v>
      </c>
      <c r="F58" s="370" t="s">
        <v>363</v>
      </c>
      <c r="G58" s="365"/>
      <c r="H58" s="336"/>
      <c r="I58" s="336"/>
      <c r="J58" s="336"/>
      <c r="K58" s="336"/>
      <c r="L58" s="336"/>
      <c r="M58" s="336"/>
      <c r="N58" s="336"/>
      <c r="O58" s="336"/>
      <c r="P58" s="336"/>
      <c r="Q58" s="336"/>
      <c r="R58" s="336"/>
      <c r="S58" s="368"/>
      <c r="T58" s="336"/>
      <c r="U58" s="338"/>
      <c r="V58" s="338"/>
      <c r="W58" s="321"/>
      <c r="X58" s="338"/>
      <c r="Y58" s="338"/>
      <c r="Z58" s="338"/>
    </row>
    <row r="59" spans="1:26" ht="15.75" customHeight="1" x14ac:dyDescent="0.2">
      <c r="A59" s="362" t="s">
        <v>419</v>
      </c>
      <c r="B59" s="338"/>
      <c r="C59" s="363" t="s">
        <v>420</v>
      </c>
      <c r="D59" s="364">
        <v>1</v>
      </c>
      <c r="E59" s="338" t="s">
        <v>376</v>
      </c>
      <c r="F59" s="370" t="s">
        <v>363</v>
      </c>
      <c r="G59" s="365"/>
      <c r="H59" s="336"/>
      <c r="I59" s="336"/>
      <c r="J59" s="336"/>
      <c r="K59" s="336"/>
      <c r="L59" s="336"/>
      <c r="M59" s="336"/>
      <c r="N59" s="336"/>
      <c r="O59" s="336"/>
      <c r="P59" s="336"/>
      <c r="Q59" s="336"/>
      <c r="R59" s="336"/>
      <c r="S59" s="368"/>
      <c r="T59" s="336"/>
      <c r="U59" s="338"/>
      <c r="V59" s="338"/>
      <c r="W59" s="321"/>
      <c r="X59" s="338"/>
      <c r="Y59" s="338"/>
      <c r="Z59" s="338"/>
    </row>
    <row r="60" spans="1:26" ht="15.75" customHeight="1" x14ac:dyDescent="0.2">
      <c r="A60" s="362" t="s">
        <v>419</v>
      </c>
      <c r="B60" s="338"/>
      <c r="C60" s="364" t="s">
        <v>421</v>
      </c>
      <c r="D60" s="364">
        <v>0</v>
      </c>
      <c r="E60" s="338" t="s">
        <v>376</v>
      </c>
      <c r="F60" s="336"/>
      <c r="G60" s="365"/>
      <c r="H60" s="336"/>
      <c r="I60" s="336"/>
      <c r="J60" s="336"/>
      <c r="K60" s="336"/>
      <c r="L60" s="336"/>
      <c r="M60" s="336"/>
      <c r="N60" s="336"/>
      <c r="O60" s="336"/>
      <c r="P60" s="336"/>
      <c r="Q60" s="336"/>
      <c r="R60" s="336"/>
      <c r="S60" s="368"/>
      <c r="T60" s="336"/>
      <c r="U60" s="338"/>
      <c r="V60" s="338"/>
      <c r="W60" s="321"/>
      <c r="X60" s="338"/>
      <c r="Y60" s="338"/>
      <c r="Z60" s="338"/>
    </row>
    <row r="61" spans="1:26" ht="15.75" customHeight="1" x14ac:dyDescent="0.2">
      <c r="A61" s="362" t="s">
        <v>419</v>
      </c>
      <c r="B61" s="338"/>
      <c r="C61" s="363" t="s">
        <v>422</v>
      </c>
      <c r="D61" s="364">
        <v>1</v>
      </c>
      <c r="E61" s="338" t="s">
        <v>376</v>
      </c>
      <c r="F61" s="370" t="s">
        <v>363</v>
      </c>
      <c r="G61" s="365"/>
      <c r="H61" s="336"/>
      <c r="I61" s="336"/>
      <c r="J61" s="336"/>
      <c r="K61" s="336"/>
      <c r="L61" s="336"/>
      <c r="M61" s="336"/>
      <c r="N61" s="336"/>
      <c r="O61" s="336"/>
      <c r="P61" s="336"/>
      <c r="Q61" s="336"/>
      <c r="R61" s="336"/>
      <c r="S61" s="368"/>
      <c r="T61" s="336"/>
      <c r="U61" s="338"/>
      <c r="V61" s="338"/>
      <c r="W61" s="321"/>
      <c r="X61" s="338"/>
      <c r="Y61" s="338"/>
      <c r="Z61" s="338"/>
    </row>
    <row r="62" spans="1:26" ht="15.75" customHeight="1" x14ac:dyDescent="0.2">
      <c r="A62" s="362" t="s">
        <v>419</v>
      </c>
      <c r="B62" s="338"/>
      <c r="C62" s="363" t="s">
        <v>423</v>
      </c>
      <c r="D62" s="364">
        <v>1</v>
      </c>
      <c r="E62" s="338" t="s">
        <v>376</v>
      </c>
      <c r="F62" s="370" t="s">
        <v>363</v>
      </c>
      <c r="G62" s="365"/>
      <c r="H62" s="336"/>
      <c r="I62" s="336"/>
      <c r="J62" s="336"/>
      <c r="K62" s="336"/>
      <c r="L62" s="336"/>
      <c r="M62" s="336"/>
      <c r="N62" s="336"/>
      <c r="O62" s="336"/>
      <c r="P62" s="336"/>
      <c r="Q62" s="336"/>
      <c r="R62" s="336"/>
      <c r="S62" s="368"/>
      <c r="T62" s="336"/>
      <c r="U62" s="338"/>
      <c r="V62" s="338"/>
      <c r="W62" s="321"/>
      <c r="X62" s="338"/>
      <c r="Y62" s="338"/>
      <c r="Z62" s="338"/>
    </row>
    <row r="63" spans="1:26" ht="15.75" customHeight="1" x14ac:dyDescent="0.2">
      <c r="A63" s="362" t="s">
        <v>419</v>
      </c>
      <c r="B63" s="338"/>
      <c r="C63" s="363" t="s">
        <v>424</v>
      </c>
      <c r="D63" s="364">
        <v>1</v>
      </c>
      <c r="E63" s="338" t="s">
        <v>376</v>
      </c>
      <c r="F63" s="370" t="s">
        <v>363</v>
      </c>
      <c r="G63" s="365"/>
      <c r="H63" s="336"/>
      <c r="I63" s="336"/>
      <c r="J63" s="336"/>
      <c r="K63" s="336"/>
      <c r="L63" s="336"/>
      <c r="M63" s="336"/>
      <c r="N63" s="336"/>
      <c r="O63" s="336"/>
      <c r="P63" s="336"/>
      <c r="Q63" s="336"/>
      <c r="R63" s="336"/>
      <c r="S63" s="368"/>
      <c r="T63" s="336"/>
      <c r="U63" s="338"/>
      <c r="V63" s="338"/>
      <c r="W63" s="321"/>
      <c r="X63" s="338"/>
      <c r="Y63" s="338"/>
      <c r="Z63" s="338"/>
    </row>
    <row r="64" spans="1:26" ht="15.75" customHeight="1" x14ac:dyDescent="0.2">
      <c r="A64" s="362" t="s">
        <v>419</v>
      </c>
      <c r="B64" s="338"/>
      <c r="C64" s="363" t="s">
        <v>425</v>
      </c>
      <c r="D64" s="364">
        <v>1</v>
      </c>
      <c r="E64" s="338" t="s">
        <v>376</v>
      </c>
      <c r="F64" s="370" t="s">
        <v>363</v>
      </c>
      <c r="G64" s="365"/>
      <c r="H64" s="336"/>
      <c r="I64" s="336"/>
      <c r="J64" s="336"/>
      <c r="K64" s="336"/>
      <c r="L64" s="336"/>
      <c r="M64" s="336"/>
      <c r="N64" s="336"/>
      <c r="O64" s="336"/>
      <c r="P64" s="336"/>
      <c r="Q64" s="336"/>
      <c r="R64" s="336"/>
      <c r="S64" s="368"/>
      <c r="T64" s="336"/>
      <c r="U64" s="338"/>
      <c r="V64" s="338"/>
      <c r="W64" s="321"/>
      <c r="X64" s="338" t="s">
        <v>426</v>
      </c>
      <c r="Y64" s="338"/>
      <c r="Z64" s="338"/>
    </row>
    <row r="65" spans="1:26" ht="15.75" customHeight="1" x14ac:dyDescent="0.2">
      <c r="A65" s="362" t="s">
        <v>419</v>
      </c>
      <c r="B65" s="338"/>
      <c r="C65" s="363" t="s">
        <v>427</v>
      </c>
      <c r="D65" s="364">
        <v>7</v>
      </c>
      <c r="E65" s="338" t="s">
        <v>362</v>
      </c>
      <c r="F65" s="369" t="s">
        <v>363</v>
      </c>
      <c r="G65" s="365"/>
      <c r="H65" s="367" t="s">
        <v>363</v>
      </c>
      <c r="I65" s="367" t="s">
        <v>363</v>
      </c>
      <c r="J65" s="336"/>
      <c r="K65" s="367" t="s">
        <v>363</v>
      </c>
      <c r="L65" s="367" t="s">
        <v>363</v>
      </c>
      <c r="M65" s="336"/>
      <c r="N65" s="336"/>
      <c r="O65" s="336"/>
      <c r="P65" s="336"/>
      <c r="Q65" s="336"/>
      <c r="R65" s="336"/>
      <c r="S65" s="368"/>
      <c r="T65" s="367" t="s">
        <v>363</v>
      </c>
      <c r="U65" s="338"/>
      <c r="V65" s="357" t="s">
        <v>363</v>
      </c>
      <c r="W65" s="321"/>
      <c r="X65" s="338"/>
      <c r="Y65" s="338"/>
      <c r="Z65" s="338"/>
    </row>
    <row r="66" spans="1:26" ht="15.75" customHeight="1" x14ac:dyDescent="0.2">
      <c r="A66" s="362" t="s">
        <v>419</v>
      </c>
      <c r="B66" s="338"/>
      <c r="C66" s="363" t="s">
        <v>428</v>
      </c>
      <c r="D66" s="364">
        <v>7</v>
      </c>
      <c r="E66" s="338" t="s">
        <v>362</v>
      </c>
      <c r="F66" s="367" t="s">
        <v>363</v>
      </c>
      <c r="G66" s="365"/>
      <c r="H66" s="367" t="s">
        <v>363</v>
      </c>
      <c r="I66" s="367" t="s">
        <v>363</v>
      </c>
      <c r="J66" s="336"/>
      <c r="K66" s="367" t="s">
        <v>363</v>
      </c>
      <c r="L66" s="367" t="s">
        <v>363</v>
      </c>
      <c r="M66" s="336"/>
      <c r="N66" s="336"/>
      <c r="O66" s="336"/>
      <c r="P66" s="336"/>
      <c r="Q66" s="336"/>
      <c r="R66" s="336"/>
      <c r="S66" s="368"/>
      <c r="T66" s="367" t="s">
        <v>363</v>
      </c>
      <c r="U66" s="338"/>
      <c r="V66" s="357" t="s">
        <v>363</v>
      </c>
      <c r="W66" s="321"/>
      <c r="X66" s="338"/>
      <c r="Y66" s="338"/>
      <c r="Z66" s="338"/>
    </row>
    <row r="67" spans="1:26" ht="15.75" customHeight="1" x14ac:dyDescent="0.2">
      <c r="A67" s="362" t="s">
        <v>419</v>
      </c>
      <c r="B67" s="338"/>
      <c r="C67" s="363" t="s">
        <v>429</v>
      </c>
      <c r="D67" s="364">
        <v>6</v>
      </c>
      <c r="E67" s="338" t="s">
        <v>362</v>
      </c>
      <c r="F67" s="367" t="s">
        <v>363</v>
      </c>
      <c r="G67" s="365"/>
      <c r="H67" s="367" t="s">
        <v>363</v>
      </c>
      <c r="I67" s="367" t="s">
        <v>363</v>
      </c>
      <c r="J67" s="336"/>
      <c r="K67" s="367" t="s">
        <v>363</v>
      </c>
      <c r="L67" s="367"/>
      <c r="M67" s="336"/>
      <c r="N67" s="336"/>
      <c r="O67" s="336"/>
      <c r="P67" s="336"/>
      <c r="Q67" s="336"/>
      <c r="R67" s="336"/>
      <c r="S67" s="368"/>
      <c r="T67" s="367" t="s">
        <v>363</v>
      </c>
      <c r="U67" s="338"/>
      <c r="V67" s="357" t="s">
        <v>363</v>
      </c>
      <c r="W67" s="321"/>
      <c r="X67" s="338"/>
      <c r="Y67" s="338"/>
      <c r="Z67" s="338"/>
    </row>
    <row r="68" spans="1:26" ht="15.75" customHeight="1" x14ac:dyDescent="0.2">
      <c r="A68" s="362" t="s">
        <v>419</v>
      </c>
      <c r="B68" s="338"/>
      <c r="C68" s="363" t="s">
        <v>430</v>
      </c>
      <c r="D68" s="364">
        <v>7</v>
      </c>
      <c r="E68" s="338" t="s">
        <v>362</v>
      </c>
      <c r="F68" s="367" t="s">
        <v>363</v>
      </c>
      <c r="G68" s="365"/>
      <c r="H68" s="367" t="s">
        <v>363</v>
      </c>
      <c r="I68" s="367" t="s">
        <v>363</v>
      </c>
      <c r="J68" s="336"/>
      <c r="K68" s="367" t="s">
        <v>363</v>
      </c>
      <c r="L68" s="367" t="s">
        <v>363</v>
      </c>
      <c r="M68" s="336"/>
      <c r="N68" s="336"/>
      <c r="O68" s="336"/>
      <c r="P68" s="336"/>
      <c r="Q68" s="336"/>
      <c r="R68" s="336"/>
      <c r="S68" s="368"/>
      <c r="T68" s="367" t="s">
        <v>363</v>
      </c>
      <c r="U68" s="338"/>
      <c r="V68" s="357" t="s">
        <v>363</v>
      </c>
      <c r="W68" s="321"/>
      <c r="X68" s="338"/>
      <c r="Y68" s="338"/>
      <c r="Z68" s="338"/>
    </row>
    <row r="69" spans="1:26" ht="15.75" customHeight="1" x14ac:dyDescent="0.2">
      <c r="A69" s="362" t="s">
        <v>419</v>
      </c>
      <c r="B69" s="338"/>
      <c r="C69" s="363" t="s">
        <v>431</v>
      </c>
      <c r="D69" s="364">
        <v>1</v>
      </c>
      <c r="E69" s="338" t="s">
        <v>376</v>
      </c>
      <c r="F69" s="370" t="s">
        <v>363</v>
      </c>
      <c r="G69" s="365"/>
      <c r="H69" s="336"/>
      <c r="I69" s="336"/>
      <c r="J69" s="336"/>
      <c r="K69" s="336"/>
      <c r="L69" s="336"/>
      <c r="M69" s="336"/>
      <c r="N69" s="336"/>
      <c r="O69" s="336"/>
      <c r="P69" s="336"/>
      <c r="Q69" s="336"/>
      <c r="R69" s="336"/>
      <c r="S69" s="368"/>
      <c r="T69" s="336"/>
      <c r="U69" s="338"/>
      <c r="V69" s="338"/>
      <c r="W69" s="321"/>
      <c r="X69" s="338"/>
      <c r="Y69" s="338"/>
      <c r="Z69" s="338"/>
    </row>
    <row r="70" spans="1:26" ht="15.75" customHeight="1" x14ac:dyDescent="0.2">
      <c r="A70" s="362" t="s">
        <v>419</v>
      </c>
      <c r="B70" s="338"/>
      <c r="C70" s="363" t="s">
        <v>432</v>
      </c>
      <c r="D70" s="364">
        <v>1</v>
      </c>
      <c r="E70" s="338" t="s">
        <v>376</v>
      </c>
      <c r="F70" s="370" t="s">
        <v>363</v>
      </c>
      <c r="G70" s="365"/>
      <c r="H70" s="336"/>
      <c r="I70" s="336"/>
      <c r="J70" s="336"/>
      <c r="K70" s="336"/>
      <c r="L70" s="336"/>
      <c r="M70" s="336"/>
      <c r="N70" s="336"/>
      <c r="O70" s="336"/>
      <c r="P70" s="336"/>
      <c r="Q70" s="336"/>
      <c r="R70" s="336"/>
      <c r="S70" s="368"/>
      <c r="T70" s="336"/>
      <c r="U70" s="338"/>
      <c r="V70" s="338"/>
      <c r="W70" s="321"/>
      <c r="X70" s="338"/>
      <c r="Y70" s="338"/>
      <c r="Z70" s="338"/>
    </row>
    <row r="71" spans="1:26" ht="15.75" customHeight="1" x14ac:dyDescent="0.2">
      <c r="A71" s="362" t="s">
        <v>419</v>
      </c>
      <c r="B71" s="375"/>
      <c r="C71" s="363" t="s">
        <v>433</v>
      </c>
      <c r="D71" s="364">
        <v>1</v>
      </c>
      <c r="E71" s="338" t="s">
        <v>376</v>
      </c>
      <c r="F71" s="370" t="s">
        <v>363</v>
      </c>
      <c r="G71" s="365"/>
      <c r="H71" s="336"/>
      <c r="I71" s="336"/>
      <c r="J71" s="336"/>
      <c r="K71" s="336"/>
      <c r="L71" s="336"/>
      <c r="M71" s="336"/>
      <c r="N71" s="336"/>
      <c r="O71" s="336"/>
      <c r="P71" s="336"/>
      <c r="Q71" s="336"/>
      <c r="R71" s="336"/>
      <c r="S71" s="368"/>
      <c r="T71" s="336"/>
      <c r="U71" s="338"/>
      <c r="V71" s="338"/>
      <c r="W71" s="321"/>
      <c r="X71" s="338" t="s">
        <v>434</v>
      </c>
      <c r="Y71" s="338"/>
      <c r="Z71" s="338"/>
    </row>
    <row r="72" spans="1:26" ht="15.75" customHeight="1" x14ac:dyDescent="0.2">
      <c r="A72" s="362" t="s">
        <v>419</v>
      </c>
      <c r="B72" s="375"/>
      <c r="C72" s="363" t="s">
        <v>435</v>
      </c>
      <c r="D72" s="364">
        <v>1</v>
      </c>
      <c r="E72" s="338" t="s">
        <v>376</v>
      </c>
      <c r="F72" s="370" t="s">
        <v>363</v>
      </c>
      <c r="G72" s="365"/>
      <c r="H72" s="336"/>
      <c r="I72" s="336"/>
      <c r="J72" s="336"/>
      <c r="K72" s="336"/>
      <c r="L72" s="336"/>
      <c r="M72" s="336"/>
      <c r="N72" s="336"/>
      <c r="O72" s="336"/>
      <c r="P72" s="336"/>
      <c r="Q72" s="336"/>
      <c r="R72" s="336"/>
      <c r="S72" s="368"/>
      <c r="T72" s="336"/>
      <c r="U72" s="338"/>
      <c r="V72" s="338"/>
      <c r="W72" s="321"/>
      <c r="X72" s="338" t="s">
        <v>434</v>
      </c>
      <c r="Y72" s="338"/>
      <c r="Z72" s="338"/>
    </row>
    <row r="73" spans="1:26" ht="15.75" customHeight="1" x14ac:dyDescent="0.2">
      <c r="A73" s="362" t="s">
        <v>419</v>
      </c>
      <c r="B73" s="338"/>
      <c r="C73" s="364" t="s">
        <v>436</v>
      </c>
      <c r="D73" s="364">
        <v>1</v>
      </c>
      <c r="E73" s="338" t="s">
        <v>376</v>
      </c>
      <c r="F73" s="370" t="s">
        <v>363</v>
      </c>
      <c r="G73" s="365"/>
      <c r="H73" s="336"/>
      <c r="I73" s="336"/>
      <c r="J73" s="336"/>
      <c r="K73" s="336"/>
      <c r="L73" s="336"/>
      <c r="M73" s="336"/>
      <c r="N73" s="336"/>
      <c r="O73" s="336"/>
      <c r="P73" s="336"/>
      <c r="Q73" s="336"/>
      <c r="R73" s="336"/>
      <c r="S73" s="368"/>
      <c r="T73" s="336"/>
      <c r="U73" s="338"/>
      <c r="V73" s="338"/>
      <c r="W73" s="321"/>
      <c r="X73" s="338" t="s">
        <v>437</v>
      </c>
      <c r="Y73" s="338"/>
      <c r="Z73" s="338"/>
    </row>
    <row r="74" spans="1:26" ht="15.75" customHeight="1" x14ac:dyDescent="0.2">
      <c r="A74" s="362" t="s">
        <v>438</v>
      </c>
      <c r="B74" s="338"/>
      <c r="C74" s="363" t="s">
        <v>439</v>
      </c>
      <c r="D74" s="364">
        <v>6</v>
      </c>
      <c r="E74" s="338" t="s">
        <v>362</v>
      </c>
      <c r="F74" s="367" t="s">
        <v>363</v>
      </c>
      <c r="G74" s="365"/>
      <c r="H74" s="367" t="s">
        <v>363</v>
      </c>
      <c r="I74" s="367" t="s">
        <v>363</v>
      </c>
      <c r="J74" s="336"/>
      <c r="K74" s="367" t="s">
        <v>363</v>
      </c>
      <c r="L74" s="367" t="s">
        <v>363</v>
      </c>
      <c r="M74" s="336"/>
      <c r="N74" s="336"/>
      <c r="O74" s="336"/>
      <c r="P74" s="336"/>
      <c r="Q74" s="336"/>
      <c r="R74" s="336"/>
      <c r="S74" s="368"/>
      <c r="T74" s="367" t="s">
        <v>363</v>
      </c>
      <c r="U74" s="338"/>
      <c r="V74" s="338"/>
      <c r="W74" s="321"/>
      <c r="X74" s="338"/>
      <c r="Y74" s="338" t="s">
        <v>440</v>
      </c>
      <c r="Z74" s="338"/>
    </row>
    <row r="75" spans="1:26" ht="15.75" customHeight="1" x14ac:dyDescent="0.2">
      <c r="A75" s="362" t="s">
        <v>438</v>
      </c>
      <c r="B75" s="338"/>
      <c r="C75" s="363" t="s">
        <v>441</v>
      </c>
      <c r="D75" s="364">
        <v>6</v>
      </c>
      <c r="E75" s="338" t="s">
        <v>362</v>
      </c>
      <c r="F75" s="367" t="s">
        <v>363</v>
      </c>
      <c r="G75" s="365"/>
      <c r="H75" s="367" t="s">
        <v>363</v>
      </c>
      <c r="I75" s="367" t="s">
        <v>363</v>
      </c>
      <c r="J75" s="336"/>
      <c r="K75" s="367" t="s">
        <v>363</v>
      </c>
      <c r="L75" s="367" t="s">
        <v>363</v>
      </c>
      <c r="M75" s="336"/>
      <c r="N75" s="336"/>
      <c r="O75" s="336"/>
      <c r="P75" s="336"/>
      <c r="Q75" s="336"/>
      <c r="R75" s="336"/>
      <c r="S75" s="368"/>
      <c r="T75" s="367" t="s">
        <v>363</v>
      </c>
      <c r="U75" s="338"/>
      <c r="V75" s="338"/>
      <c r="W75" s="321"/>
      <c r="X75" s="338"/>
      <c r="Y75" s="338" t="s">
        <v>442</v>
      </c>
      <c r="Z75" s="338"/>
    </row>
    <row r="76" spans="1:26" ht="15.75" customHeight="1" x14ac:dyDescent="0.2">
      <c r="A76" s="362" t="s">
        <v>438</v>
      </c>
      <c r="B76" s="338"/>
      <c r="C76" s="363" t="s">
        <v>443</v>
      </c>
      <c r="D76" s="364">
        <v>6</v>
      </c>
      <c r="E76" s="338" t="s">
        <v>362</v>
      </c>
      <c r="F76" s="367" t="s">
        <v>363</v>
      </c>
      <c r="G76" s="365"/>
      <c r="H76" s="367" t="s">
        <v>363</v>
      </c>
      <c r="I76" s="367" t="s">
        <v>363</v>
      </c>
      <c r="J76" s="336"/>
      <c r="K76" s="367" t="s">
        <v>363</v>
      </c>
      <c r="L76" s="367" t="s">
        <v>363</v>
      </c>
      <c r="M76" s="336"/>
      <c r="N76" s="336"/>
      <c r="O76" s="336"/>
      <c r="P76" s="336"/>
      <c r="Q76" s="336"/>
      <c r="R76" s="336"/>
      <c r="S76" s="368"/>
      <c r="T76" s="367" t="s">
        <v>363</v>
      </c>
      <c r="U76" s="338"/>
      <c r="V76" s="338"/>
      <c r="W76" s="321"/>
      <c r="X76" s="338"/>
      <c r="Y76" s="338" t="s">
        <v>444</v>
      </c>
      <c r="Z76" s="338"/>
    </row>
    <row r="77" spans="1:26" ht="15.75" customHeight="1" x14ac:dyDescent="0.2">
      <c r="A77" s="362" t="s">
        <v>438</v>
      </c>
      <c r="B77" s="338"/>
      <c r="C77" s="363" t="s">
        <v>445</v>
      </c>
      <c r="D77" s="364">
        <v>6</v>
      </c>
      <c r="E77" s="338" t="s">
        <v>362</v>
      </c>
      <c r="F77" s="367" t="s">
        <v>363</v>
      </c>
      <c r="G77" s="365"/>
      <c r="H77" s="367" t="s">
        <v>363</v>
      </c>
      <c r="I77" s="367" t="s">
        <v>363</v>
      </c>
      <c r="J77" s="336"/>
      <c r="K77" s="367" t="s">
        <v>363</v>
      </c>
      <c r="L77" s="367" t="s">
        <v>363</v>
      </c>
      <c r="M77" s="336"/>
      <c r="N77" s="336"/>
      <c r="O77" s="336"/>
      <c r="P77" s="336"/>
      <c r="Q77" s="336"/>
      <c r="R77" s="336"/>
      <c r="S77" s="368"/>
      <c r="T77" s="367" t="s">
        <v>363</v>
      </c>
      <c r="U77" s="338"/>
      <c r="V77" s="338"/>
      <c r="W77" s="321"/>
      <c r="X77" s="338"/>
      <c r="Y77" s="338" t="s">
        <v>446</v>
      </c>
      <c r="Z77" s="338"/>
    </row>
    <row r="78" spans="1:26" ht="15.75" customHeight="1" x14ac:dyDescent="0.2">
      <c r="A78" s="362" t="s">
        <v>438</v>
      </c>
      <c r="B78" s="338"/>
      <c r="C78" s="363" t="s">
        <v>447</v>
      </c>
      <c r="D78" s="364">
        <v>6</v>
      </c>
      <c r="E78" s="338" t="s">
        <v>362</v>
      </c>
      <c r="F78" s="367" t="s">
        <v>363</v>
      </c>
      <c r="G78" s="365"/>
      <c r="H78" s="367" t="s">
        <v>363</v>
      </c>
      <c r="I78" s="367" t="s">
        <v>363</v>
      </c>
      <c r="J78" s="336"/>
      <c r="K78" s="367" t="s">
        <v>363</v>
      </c>
      <c r="L78" s="367" t="s">
        <v>363</v>
      </c>
      <c r="M78" s="336"/>
      <c r="N78" s="336"/>
      <c r="O78" s="336"/>
      <c r="P78" s="336"/>
      <c r="Q78" s="336"/>
      <c r="R78" s="336"/>
      <c r="S78" s="368"/>
      <c r="T78" s="367" t="s">
        <v>363</v>
      </c>
      <c r="U78" s="338"/>
      <c r="V78" s="338"/>
      <c r="W78" s="321"/>
      <c r="X78" s="338"/>
      <c r="Y78" s="338" t="s">
        <v>448</v>
      </c>
      <c r="Z78" s="338"/>
    </row>
    <row r="79" spans="1:26" ht="15.75" customHeight="1" x14ac:dyDescent="0.2">
      <c r="A79" s="362" t="s">
        <v>438</v>
      </c>
      <c r="B79" s="338"/>
      <c r="C79" s="363" t="s">
        <v>449</v>
      </c>
      <c r="D79" s="364">
        <v>1</v>
      </c>
      <c r="E79" s="338" t="s">
        <v>376</v>
      </c>
      <c r="F79" s="370" t="s">
        <v>363</v>
      </c>
      <c r="G79" s="365"/>
      <c r="H79" s="336"/>
      <c r="I79" s="336"/>
      <c r="J79" s="336"/>
      <c r="K79" s="336"/>
      <c r="L79" s="336"/>
      <c r="M79" s="336"/>
      <c r="N79" s="336"/>
      <c r="O79" s="336"/>
      <c r="P79" s="336"/>
      <c r="Q79" s="336"/>
      <c r="R79" s="336"/>
      <c r="S79" s="368"/>
      <c r="T79" s="336"/>
      <c r="U79" s="338"/>
      <c r="V79" s="338"/>
      <c r="W79" s="321"/>
      <c r="X79" s="338"/>
      <c r="Y79" s="338"/>
      <c r="Z79" s="338"/>
    </row>
    <row r="80" spans="1:26" ht="15.75" customHeight="1" x14ac:dyDescent="0.2">
      <c r="A80" s="362" t="s">
        <v>438</v>
      </c>
      <c r="B80" s="338"/>
      <c r="C80" s="363" t="s">
        <v>168</v>
      </c>
      <c r="D80" s="364">
        <v>1</v>
      </c>
      <c r="E80" s="338" t="s">
        <v>376</v>
      </c>
      <c r="F80" s="370" t="s">
        <v>363</v>
      </c>
      <c r="G80" s="365"/>
      <c r="H80" s="336"/>
      <c r="I80" s="336"/>
      <c r="J80" s="336"/>
      <c r="K80" s="336"/>
      <c r="L80" s="336"/>
      <c r="M80" s="336"/>
      <c r="N80" s="336"/>
      <c r="O80" s="336"/>
      <c r="P80" s="336"/>
      <c r="Q80" s="336"/>
      <c r="R80" s="336"/>
      <c r="S80" s="368"/>
      <c r="T80" s="336"/>
      <c r="U80" s="338"/>
      <c r="V80" s="338"/>
      <c r="W80" s="321"/>
      <c r="X80" s="338"/>
      <c r="Y80" s="338"/>
      <c r="Z80" s="338"/>
    </row>
    <row r="81" spans="1:26" ht="15.75" customHeight="1" x14ac:dyDescent="0.2">
      <c r="A81" s="362" t="s">
        <v>438</v>
      </c>
      <c r="B81" s="338"/>
      <c r="C81" s="364" t="s">
        <v>450</v>
      </c>
      <c r="D81" s="364"/>
      <c r="E81" s="338" t="s">
        <v>362</v>
      </c>
      <c r="F81" s="367" t="s">
        <v>363</v>
      </c>
      <c r="G81" s="365"/>
      <c r="H81" s="367" t="s">
        <v>363</v>
      </c>
      <c r="I81" s="367" t="s">
        <v>363</v>
      </c>
      <c r="J81" s="336"/>
      <c r="K81" s="367" t="s">
        <v>363</v>
      </c>
      <c r="L81" s="367" t="s">
        <v>363</v>
      </c>
      <c r="M81" s="336"/>
      <c r="N81" s="336"/>
      <c r="O81" s="336"/>
      <c r="P81" s="336"/>
      <c r="Q81" s="336"/>
      <c r="R81" s="336"/>
      <c r="S81" s="368"/>
      <c r="T81" s="336"/>
      <c r="U81" s="338"/>
      <c r="V81" s="338"/>
      <c r="W81" s="321"/>
      <c r="X81" s="338"/>
      <c r="Y81" s="338" t="s">
        <v>451</v>
      </c>
      <c r="Z81" s="338"/>
    </row>
    <row r="82" spans="1:26" ht="15.75" customHeight="1" x14ac:dyDescent="0.2">
      <c r="A82" s="362" t="s">
        <v>438</v>
      </c>
      <c r="B82" s="338"/>
      <c r="C82" s="363" t="s">
        <v>452</v>
      </c>
      <c r="D82" s="364">
        <v>1</v>
      </c>
      <c r="E82" s="338" t="s">
        <v>453</v>
      </c>
      <c r="F82" s="367"/>
      <c r="G82" s="365"/>
      <c r="H82" s="367"/>
      <c r="I82" s="367"/>
      <c r="J82" s="336"/>
      <c r="K82" s="367"/>
      <c r="L82" s="367"/>
      <c r="M82" s="336"/>
      <c r="N82" s="336"/>
      <c r="O82" s="336"/>
      <c r="P82" s="336"/>
      <c r="Q82" s="336"/>
      <c r="R82" s="336"/>
      <c r="S82" s="368"/>
      <c r="T82" s="336"/>
      <c r="U82" s="338"/>
      <c r="V82" s="338"/>
      <c r="W82" s="321"/>
      <c r="X82" s="338"/>
      <c r="Y82" s="338"/>
      <c r="Z82" s="338"/>
    </row>
    <row r="83" spans="1:26" ht="15.75" customHeight="1" x14ac:dyDescent="0.2">
      <c r="A83" s="362" t="s">
        <v>438</v>
      </c>
      <c r="B83" s="338"/>
      <c r="C83" s="363" t="s">
        <v>454</v>
      </c>
      <c r="D83" s="364">
        <v>1</v>
      </c>
      <c r="E83" s="338" t="s">
        <v>455</v>
      </c>
      <c r="F83" s="367"/>
      <c r="G83" s="365"/>
      <c r="H83" s="367"/>
      <c r="I83" s="367"/>
      <c r="J83" s="336"/>
      <c r="K83" s="367"/>
      <c r="L83" s="367"/>
      <c r="M83" s="336"/>
      <c r="N83" s="336"/>
      <c r="O83" s="336"/>
      <c r="P83" s="336"/>
      <c r="Q83" s="336"/>
      <c r="R83" s="336"/>
      <c r="S83" s="368"/>
      <c r="T83" s="336"/>
      <c r="U83" s="338"/>
      <c r="V83" s="338"/>
      <c r="W83" s="321"/>
      <c r="X83" s="338"/>
      <c r="Y83" s="338"/>
      <c r="Z83" s="338"/>
    </row>
    <row r="84" spans="1:26" ht="15.75" customHeight="1" x14ac:dyDescent="0.2">
      <c r="A84" s="362" t="s">
        <v>438</v>
      </c>
      <c r="B84" s="338"/>
      <c r="C84" s="363" t="s">
        <v>456</v>
      </c>
      <c r="D84" s="364">
        <v>1</v>
      </c>
      <c r="E84" s="338" t="s">
        <v>376</v>
      </c>
      <c r="F84" s="367"/>
      <c r="G84" s="365"/>
      <c r="H84" s="367"/>
      <c r="I84" s="367"/>
      <c r="J84" s="336"/>
      <c r="K84" s="367"/>
      <c r="L84" s="367"/>
      <c r="M84" s="336"/>
      <c r="N84" s="336"/>
      <c r="O84" s="336"/>
      <c r="P84" s="336"/>
      <c r="Q84" s="336"/>
      <c r="R84" s="336"/>
      <c r="S84" s="368"/>
      <c r="T84" s="336"/>
      <c r="U84" s="338"/>
      <c r="V84" s="338"/>
      <c r="W84" s="321"/>
      <c r="X84" s="338"/>
      <c r="Y84" s="338"/>
      <c r="Z84" s="338"/>
    </row>
    <row r="85" spans="1:26" ht="15.75" customHeight="1" x14ac:dyDescent="0.2">
      <c r="A85" s="362" t="s">
        <v>438</v>
      </c>
      <c r="B85" s="338"/>
      <c r="C85" s="363" t="s">
        <v>457</v>
      </c>
      <c r="D85" s="364">
        <v>1</v>
      </c>
      <c r="E85" s="338" t="s">
        <v>376</v>
      </c>
      <c r="F85" s="367"/>
      <c r="G85" s="365"/>
      <c r="H85" s="367"/>
      <c r="I85" s="367"/>
      <c r="J85" s="336"/>
      <c r="K85" s="367"/>
      <c r="L85" s="367"/>
      <c r="M85" s="336"/>
      <c r="N85" s="336"/>
      <c r="O85" s="336"/>
      <c r="P85" s="336"/>
      <c r="Q85" s="336"/>
      <c r="R85" s="336"/>
      <c r="S85" s="368"/>
      <c r="T85" s="336"/>
      <c r="U85" s="338"/>
      <c r="V85" s="338"/>
      <c r="W85" s="321"/>
      <c r="X85" s="338"/>
      <c r="Y85" s="338"/>
      <c r="Z85" s="338"/>
    </row>
    <row r="86" spans="1:26" ht="15.75" customHeight="1" x14ac:dyDescent="0.2">
      <c r="A86" s="362" t="s">
        <v>438</v>
      </c>
      <c r="B86" s="338"/>
      <c r="C86" s="363" t="s">
        <v>289</v>
      </c>
      <c r="D86" s="364"/>
      <c r="E86" s="338" t="s">
        <v>390</v>
      </c>
      <c r="F86" s="370" t="s">
        <v>363</v>
      </c>
      <c r="G86" s="365"/>
      <c r="H86" s="336"/>
      <c r="I86" s="336"/>
      <c r="J86" s="336"/>
      <c r="K86" s="336"/>
      <c r="L86" s="336"/>
      <c r="M86" s="336"/>
      <c r="N86" s="336"/>
      <c r="O86" s="336"/>
      <c r="P86" s="336"/>
      <c r="Q86" s="336"/>
      <c r="R86" s="336"/>
      <c r="S86" s="368"/>
      <c r="T86" s="336"/>
      <c r="U86" s="338"/>
      <c r="V86" s="338"/>
      <c r="W86" s="321"/>
      <c r="X86" s="338"/>
      <c r="Y86" s="338"/>
      <c r="Z86" s="338"/>
    </row>
    <row r="87" spans="1:26" ht="15.75" customHeight="1" x14ac:dyDescent="0.2">
      <c r="A87" s="362" t="s">
        <v>438</v>
      </c>
      <c r="B87" s="338"/>
      <c r="C87" s="363" t="s">
        <v>289</v>
      </c>
      <c r="D87" s="364"/>
      <c r="E87" s="338" t="s">
        <v>376</v>
      </c>
      <c r="F87" s="370" t="s">
        <v>363</v>
      </c>
      <c r="G87" s="365"/>
      <c r="H87" s="336"/>
      <c r="I87" s="336"/>
      <c r="J87" s="336"/>
      <c r="K87" s="336"/>
      <c r="L87" s="336"/>
      <c r="M87" s="336"/>
      <c r="N87" s="336"/>
      <c r="O87" s="336"/>
      <c r="P87" s="336"/>
      <c r="Q87" s="336"/>
      <c r="R87" s="336"/>
      <c r="S87" s="368"/>
      <c r="T87" s="336"/>
      <c r="U87" s="338"/>
      <c r="V87" s="338"/>
      <c r="W87" s="321"/>
      <c r="X87" s="338"/>
      <c r="Y87" s="338"/>
      <c r="Z87" s="338"/>
    </row>
    <row r="88" spans="1:26" ht="15.75" customHeight="1" x14ac:dyDescent="0.2">
      <c r="A88" s="362" t="s">
        <v>438</v>
      </c>
      <c r="B88" s="338"/>
      <c r="C88" s="363" t="s">
        <v>301</v>
      </c>
      <c r="D88" s="364">
        <v>1</v>
      </c>
      <c r="E88" s="338" t="s">
        <v>390</v>
      </c>
      <c r="F88" s="370" t="s">
        <v>363</v>
      </c>
      <c r="G88" s="365"/>
      <c r="H88" s="336"/>
      <c r="I88" s="336"/>
      <c r="J88" s="336"/>
      <c r="K88" s="336"/>
      <c r="L88" s="336"/>
      <c r="M88" s="336"/>
      <c r="N88" s="336"/>
      <c r="O88" s="336"/>
      <c r="P88" s="336"/>
      <c r="Q88" s="336"/>
      <c r="R88" s="336"/>
      <c r="S88" s="368"/>
      <c r="T88" s="336"/>
      <c r="U88" s="338"/>
      <c r="V88" s="338"/>
      <c r="W88" s="321"/>
      <c r="X88" s="338"/>
      <c r="Y88" s="338"/>
      <c r="Z88" s="338"/>
    </row>
    <row r="89" spans="1:26" ht="15.75" customHeight="1" x14ac:dyDescent="0.2">
      <c r="A89" s="362" t="s">
        <v>438</v>
      </c>
      <c r="B89" s="338"/>
      <c r="C89" s="363" t="s">
        <v>301</v>
      </c>
      <c r="D89" s="364">
        <v>1</v>
      </c>
      <c r="E89" s="338" t="s">
        <v>376</v>
      </c>
      <c r="F89" s="370" t="s">
        <v>363</v>
      </c>
      <c r="G89" s="365"/>
      <c r="H89" s="336"/>
      <c r="I89" s="336"/>
      <c r="J89" s="336"/>
      <c r="K89" s="336"/>
      <c r="L89" s="336"/>
      <c r="M89" s="336"/>
      <c r="N89" s="336"/>
      <c r="O89" s="336"/>
      <c r="P89" s="336"/>
      <c r="Q89" s="336"/>
      <c r="R89" s="336"/>
      <c r="S89" s="368"/>
      <c r="T89" s="336"/>
      <c r="U89" s="338"/>
      <c r="V89" s="338"/>
      <c r="W89" s="321"/>
      <c r="X89" s="338"/>
      <c r="Y89" s="338"/>
      <c r="Z89" s="338"/>
    </row>
    <row r="90" spans="1:26" ht="15.75" customHeight="1" x14ac:dyDescent="0.2">
      <c r="A90" s="362" t="s">
        <v>438</v>
      </c>
      <c r="B90" s="338"/>
      <c r="C90" s="363" t="s">
        <v>458</v>
      </c>
      <c r="D90" s="364"/>
      <c r="E90" s="338" t="s">
        <v>390</v>
      </c>
      <c r="F90" s="370" t="s">
        <v>363</v>
      </c>
      <c r="G90" s="365"/>
      <c r="H90" s="336"/>
      <c r="I90" s="336"/>
      <c r="J90" s="336"/>
      <c r="K90" s="336"/>
      <c r="L90" s="336"/>
      <c r="M90" s="336"/>
      <c r="N90" s="336"/>
      <c r="O90" s="336"/>
      <c r="P90" s="336"/>
      <c r="Q90" s="336"/>
      <c r="R90" s="336"/>
      <c r="S90" s="368"/>
      <c r="T90" s="336"/>
      <c r="U90" s="338"/>
      <c r="V90" s="338"/>
      <c r="W90" s="321"/>
      <c r="X90" s="338"/>
      <c r="Y90" s="338"/>
      <c r="Z90" s="338"/>
    </row>
    <row r="91" spans="1:26" ht="15.75" customHeight="1" x14ac:dyDescent="0.2">
      <c r="A91" s="362" t="s">
        <v>438</v>
      </c>
      <c r="B91" s="338"/>
      <c r="C91" s="363" t="s">
        <v>458</v>
      </c>
      <c r="D91" s="364"/>
      <c r="E91" s="338" t="s">
        <v>376</v>
      </c>
      <c r="F91" s="370" t="s">
        <v>363</v>
      </c>
      <c r="G91" s="365"/>
      <c r="H91" s="336"/>
      <c r="I91" s="336"/>
      <c r="J91" s="336"/>
      <c r="K91" s="336"/>
      <c r="L91" s="336"/>
      <c r="M91" s="336"/>
      <c r="N91" s="336"/>
      <c r="O91" s="336"/>
      <c r="P91" s="336"/>
      <c r="Q91" s="336"/>
      <c r="R91" s="336"/>
      <c r="S91" s="368"/>
      <c r="T91" s="336"/>
      <c r="U91" s="338"/>
      <c r="V91" s="338"/>
      <c r="W91" s="321"/>
      <c r="X91" s="338"/>
      <c r="Y91" s="338"/>
      <c r="Z91" s="338"/>
    </row>
    <row r="92" spans="1:26" ht="15.75" customHeight="1" x14ac:dyDescent="0.2">
      <c r="A92" s="362" t="s">
        <v>438</v>
      </c>
      <c r="B92" s="338"/>
      <c r="C92" s="363" t="s">
        <v>459</v>
      </c>
      <c r="D92" s="364">
        <v>2</v>
      </c>
      <c r="E92" s="338" t="s">
        <v>390</v>
      </c>
      <c r="F92" s="370"/>
      <c r="G92" s="365"/>
      <c r="H92" s="336"/>
      <c r="I92" s="336"/>
      <c r="J92" s="336"/>
      <c r="K92" s="336"/>
      <c r="L92" s="336"/>
      <c r="M92" s="336"/>
      <c r="N92" s="336"/>
      <c r="O92" s="336"/>
      <c r="P92" s="336"/>
      <c r="Q92" s="336"/>
      <c r="R92" s="336"/>
      <c r="S92" s="368"/>
      <c r="T92" s="336"/>
      <c r="U92" s="338"/>
      <c r="V92" s="338"/>
      <c r="W92" s="321"/>
      <c r="X92" s="338"/>
      <c r="Y92" s="338"/>
      <c r="Z92" s="338"/>
    </row>
    <row r="93" spans="1:26" ht="15.75" customHeight="1" x14ac:dyDescent="0.2">
      <c r="A93" s="362" t="s">
        <v>438</v>
      </c>
      <c r="B93" s="338"/>
      <c r="C93" s="363" t="s">
        <v>460</v>
      </c>
      <c r="D93" s="364">
        <v>1</v>
      </c>
      <c r="E93" s="338" t="s">
        <v>376</v>
      </c>
      <c r="F93" s="370"/>
      <c r="G93" s="365"/>
      <c r="H93" s="336"/>
      <c r="I93" s="336"/>
      <c r="J93" s="336"/>
      <c r="K93" s="336"/>
      <c r="L93" s="336"/>
      <c r="M93" s="336"/>
      <c r="N93" s="336"/>
      <c r="O93" s="336"/>
      <c r="P93" s="336"/>
      <c r="Q93" s="336"/>
      <c r="R93" s="336"/>
      <c r="S93" s="368"/>
      <c r="T93" s="336"/>
      <c r="U93" s="338"/>
      <c r="V93" s="338"/>
      <c r="W93" s="321"/>
      <c r="X93" s="338"/>
      <c r="Y93" s="338"/>
      <c r="Z93" s="338"/>
    </row>
    <row r="94" spans="1:26" ht="15.75" customHeight="1" x14ac:dyDescent="0.2">
      <c r="A94" s="362" t="s">
        <v>438</v>
      </c>
      <c r="B94" s="338"/>
      <c r="C94" s="364" t="s">
        <v>294</v>
      </c>
      <c r="D94" s="364"/>
      <c r="E94" s="338" t="s">
        <v>376</v>
      </c>
      <c r="F94" s="370" t="s">
        <v>363</v>
      </c>
      <c r="G94" s="365"/>
      <c r="H94" s="336"/>
      <c r="I94" s="336"/>
      <c r="J94" s="336"/>
      <c r="K94" s="336"/>
      <c r="L94" s="336"/>
      <c r="M94" s="336"/>
      <c r="N94" s="336"/>
      <c r="O94" s="336"/>
      <c r="P94" s="336"/>
      <c r="Q94" s="336"/>
      <c r="R94" s="336"/>
      <c r="S94" s="368"/>
      <c r="T94" s="336"/>
      <c r="U94" s="338"/>
      <c r="V94" s="338"/>
      <c r="W94" s="321"/>
      <c r="X94" s="338"/>
      <c r="Y94" s="338"/>
      <c r="Z94" s="338"/>
    </row>
    <row r="95" spans="1:26" ht="15.75" customHeight="1" x14ac:dyDescent="0.2">
      <c r="A95" s="362" t="s">
        <v>438</v>
      </c>
      <c r="B95" s="338"/>
      <c r="C95" s="363" t="s">
        <v>92</v>
      </c>
      <c r="D95" s="364">
        <v>1</v>
      </c>
      <c r="E95" s="338" t="s">
        <v>390</v>
      </c>
      <c r="F95" s="370"/>
      <c r="G95" s="365"/>
      <c r="H95" s="336"/>
      <c r="I95" s="336"/>
      <c r="J95" s="336"/>
      <c r="K95" s="336"/>
      <c r="L95" s="336"/>
      <c r="M95" s="336"/>
      <c r="N95" s="336"/>
      <c r="O95" s="336"/>
      <c r="P95" s="336"/>
      <c r="Q95" s="336"/>
      <c r="R95" s="336"/>
      <c r="S95" s="368"/>
      <c r="T95" s="336"/>
      <c r="U95" s="338"/>
      <c r="V95" s="338"/>
      <c r="W95" s="321"/>
      <c r="X95" s="338"/>
      <c r="Y95" s="338"/>
      <c r="Z95" s="338"/>
    </row>
    <row r="96" spans="1:26" ht="15.75" customHeight="1" x14ac:dyDescent="0.2">
      <c r="A96" s="362" t="s">
        <v>438</v>
      </c>
      <c r="B96" s="338"/>
      <c r="C96" s="363" t="s">
        <v>92</v>
      </c>
      <c r="D96" s="364">
        <v>1</v>
      </c>
      <c r="E96" s="338" t="s">
        <v>376</v>
      </c>
      <c r="F96" s="370"/>
      <c r="G96" s="365"/>
      <c r="H96" s="336"/>
      <c r="I96" s="336"/>
      <c r="J96" s="336"/>
      <c r="K96" s="336"/>
      <c r="L96" s="336"/>
      <c r="M96" s="336"/>
      <c r="N96" s="336"/>
      <c r="O96" s="336"/>
      <c r="P96" s="336"/>
      <c r="Q96" s="336"/>
      <c r="R96" s="336"/>
      <c r="S96" s="368"/>
      <c r="T96" s="336"/>
      <c r="U96" s="338"/>
      <c r="V96" s="338"/>
      <c r="W96" s="321"/>
      <c r="X96" s="338"/>
      <c r="Y96" s="338"/>
      <c r="Z96" s="338"/>
    </row>
    <row r="97" spans="1:26" ht="15.75" customHeight="1" x14ac:dyDescent="0.2">
      <c r="A97" s="362" t="s">
        <v>438</v>
      </c>
      <c r="B97" s="338"/>
      <c r="C97" s="363" t="s">
        <v>101</v>
      </c>
      <c r="D97" s="364"/>
      <c r="E97" s="338" t="s">
        <v>390</v>
      </c>
      <c r="F97" s="370"/>
      <c r="G97" s="365"/>
      <c r="H97" s="336"/>
      <c r="I97" s="336"/>
      <c r="J97" s="336"/>
      <c r="K97" s="336"/>
      <c r="L97" s="336"/>
      <c r="M97" s="336"/>
      <c r="N97" s="336"/>
      <c r="O97" s="336"/>
      <c r="P97" s="336"/>
      <c r="Q97" s="336"/>
      <c r="R97" s="336"/>
      <c r="S97" s="368"/>
      <c r="T97" s="336"/>
      <c r="U97" s="338"/>
      <c r="V97" s="338"/>
      <c r="W97" s="321"/>
      <c r="X97" s="338"/>
      <c r="Y97" s="338"/>
      <c r="Z97" s="338"/>
    </row>
    <row r="98" spans="1:26" ht="15.75" customHeight="1" x14ac:dyDescent="0.2">
      <c r="A98" s="362" t="s">
        <v>438</v>
      </c>
      <c r="B98" s="338"/>
      <c r="C98" s="363" t="s">
        <v>101</v>
      </c>
      <c r="D98" s="364"/>
      <c r="E98" s="338" t="s">
        <v>376</v>
      </c>
      <c r="F98" s="370"/>
      <c r="G98" s="365"/>
      <c r="H98" s="336"/>
      <c r="I98" s="336"/>
      <c r="J98" s="336"/>
      <c r="K98" s="336"/>
      <c r="L98" s="336"/>
      <c r="M98" s="336"/>
      <c r="N98" s="336"/>
      <c r="O98" s="336"/>
      <c r="P98" s="336"/>
      <c r="Q98" s="336"/>
      <c r="R98" s="336"/>
      <c r="S98" s="368"/>
      <c r="T98" s="336"/>
      <c r="U98" s="338"/>
      <c r="V98" s="338"/>
      <c r="W98" s="321"/>
      <c r="X98" s="338"/>
      <c r="Y98" s="338"/>
      <c r="Z98" s="338"/>
    </row>
    <row r="99" spans="1:26" ht="15.75" customHeight="1" x14ac:dyDescent="0.2">
      <c r="A99" s="362" t="s">
        <v>438</v>
      </c>
      <c r="B99" s="338"/>
      <c r="C99" s="363" t="s">
        <v>461</v>
      </c>
      <c r="D99" s="364"/>
      <c r="E99" s="338" t="s">
        <v>390</v>
      </c>
      <c r="F99" s="370" t="s">
        <v>363</v>
      </c>
      <c r="G99" s="365"/>
      <c r="H99" s="336"/>
      <c r="I99" s="336"/>
      <c r="J99" s="336"/>
      <c r="K99" s="336"/>
      <c r="L99" s="336"/>
      <c r="M99" s="336"/>
      <c r="N99" s="336"/>
      <c r="O99" s="336"/>
      <c r="P99" s="336"/>
      <c r="Q99" s="336"/>
      <c r="R99" s="336"/>
      <c r="S99" s="368"/>
      <c r="T99" s="336"/>
      <c r="U99" s="338"/>
      <c r="V99" s="338"/>
      <c r="W99" s="321"/>
      <c r="X99" s="338"/>
      <c r="Y99" s="338"/>
      <c r="Z99" s="338"/>
    </row>
    <row r="100" spans="1:26" ht="15.75" customHeight="1" x14ac:dyDescent="0.2">
      <c r="A100" s="362" t="s">
        <v>438</v>
      </c>
      <c r="B100" s="338"/>
      <c r="C100" s="363" t="s">
        <v>461</v>
      </c>
      <c r="D100" s="364"/>
      <c r="E100" s="338" t="s">
        <v>376</v>
      </c>
      <c r="F100" s="370" t="s">
        <v>363</v>
      </c>
      <c r="G100" s="365"/>
      <c r="H100" s="336"/>
      <c r="I100" s="336"/>
      <c r="J100" s="336"/>
      <c r="K100" s="336"/>
      <c r="L100" s="336"/>
      <c r="M100" s="336"/>
      <c r="N100" s="336"/>
      <c r="O100" s="336"/>
      <c r="P100" s="336"/>
      <c r="Q100" s="336"/>
      <c r="R100" s="336"/>
      <c r="S100" s="368"/>
      <c r="T100" s="336"/>
      <c r="U100" s="338"/>
      <c r="V100" s="338"/>
      <c r="W100" s="321"/>
      <c r="X100" s="338"/>
      <c r="Y100" s="338"/>
      <c r="Z100" s="338"/>
    </row>
    <row r="101" spans="1:26" ht="15.75" customHeight="1" x14ac:dyDescent="0.2">
      <c r="A101" s="362" t="s">
        <v>438</v>
      </c>
      <c r="B101" s="376"/>
      <c r="C101" s="363" t="s">
        <v>462</v>
      </c>
      <c r="D101" s="364"/>
      <c r="E101" s="338" t="s">
        <v>390</v>
      </c>
      <c r="F101" s="370"/>
      <c r="G101" s="365"/>
      <c r="H101" s="336"/>
      <c r="I101" s="336"/>
      <c r="J101" s="336"/>
      <c r="K101" s="336"/>
      <c r="L101" s="336"/>
      <c r="M101" s="336"/>
      <c r="N101" s="336"/>
      <c r="O101" s="336"/>
      <c r="P101" s="336"/>
      <c r="Q101" s="336"/>
      <c r="R101" s="336"/>
      <c r="S101" s="368"/>
      <c r="T101" s="336"/>
      <c r="U101" s="338"/>
      <c r="V101" s="338"/>
      <c r="W101" s="321"/>
      <c r="X101" s="338"/>
      <c r="Y101" s="338"/>
      <c r="Z101" s="338"/>
    </row>
    <row r="102" spans="1:26" ht="15.75" customHeight="1" x14ac:dyDescent="0.2">
      <c r="A102" s="362" t="s">
        <v>438</v>
      </c>
      <c r="B102" s="376"/>
      <c r="C102" s="363" t="s">
        <v>462</v>
      </c>
      <c r="D102" s="364"/>
      <c r="E102" s="338" t="s">
        <v>376</v>
      </c>
      <c r="F102" s="370" t="s">
        <v>363</v>
      </c>
      <c r="G102" s="365"/>
      <c r="H102" s="336"/>
      <c r="I102" s="336"/>
      <c r="J102" s="336"/>
      <c r="K102" s="336"/>
      <c r="L102" s="336"/>
      <c r="M102" s="336"/>
      <c r="N102" s="336"/>
      <c r="O102" s="336"/>
      <c r="P102" s="336"/>
      <c r="Q102" s="336"/>
      <c r="R102" s="336"/>
      <c r="S102" s="368"/>
      <c r="T102" s="336"/>
      <c r="U102" s="338"/>
      <c r="V102" s="338"/>
      <c r="W102" s="321"/>
      <c r="X102" s="338"/>
      <c r="Y102" s="338"/>
      <c r="Z102" s="338"/>
    </row>
    <row r="103" spans="1:26" ht="15.75" customHeight="1" x14ac:dyDescent="0.2">
      <c r="A103" s="362" t="s">
        <v>463</v>
      </c>
      <c r="B103" s="338"/>
      <c r="C103" s="377" t="s">
        <v>464</v>
      </c>
      <c r="D103" s="364">
        <v>8</v>
      </c>
      <c r="E103" s="338" t="s">
        <v>376</v>
      </c>
      <c r="F103" s="370" t="s">
        <v>363</v>
      </c>
      <c r="G103" s="365"/>
      <c r="H103" s="370" t="s">
        <v>363</v>
      </c>
      <c r="I103" s="370" t="s">
        <v>363</v>
      </c>
      <c r="J103" s="336"/>
      <c r="K103" s="370" t="s">
        <v>363</v>
      </c>
      <c r="L103" s="370" t="s">
        <v>363</v>
      </c>
      <c r="M103" s="336"/>
      <c r="N103" s="336"/>
      <c r="O103" s="336"/>
      <c r="P103" s="336"/>
      <c r="Q103" s="336"/>
      <c r="R103" s="336"/>
      <c r="S103" s="368"/>
      <c r="T103" s="370" t="s">
        <v>363</v>
      </c>
      <c r="U103" s="378" t="s">
        <v>363</v>
      </c>
      <c r="V103" s="378" t="s">
        <v>363</v>
      </c>
      <c r="W103" s="321"/>
      <c r="X103" s="338"/>
      <c r="Y103" s="338"/>
      <c r="Z103" s="338"/>
    </row>
    <row r="104" spans="1:26" ht="15.75" customHeight="1" x14ac:dyDescent="0.2">
      <c r="A104" s="362" t="s">
        <v>463</v>
      </c>
      <c r="B104" s="338"/>
      <c r="C104" s="374" t="s">
        <v>463</v>
      </c>
      <c r="D104" s="364">
        <v>10</v>
      </c>
      <c r="E104" s="338" t="s">
        <v>376</v>
      </c>
      <c r="F104" s="370" t="s">
        <v>363</v>
      </c>
      <c r="G104" s="365"/>
      <c r="H104" s="370" t="s">
        <v>363</v>
      </c>
      <c r="I104" s="370"/>
      <c r="J104" s="336"/>
      <c r="K104" s="370" t="s">
        <v>363</v>
      </c>
      <c r="L104" s="370" t="s">
        <v>363</v>
      </c>
      <c r="M104" s="370" t="s">
        <v>363</v>
      </c>
      <c r="N104" s="370" t="s">
        <v>363</v>
      </c>
      <c r="O104" s="370" t="s">
        <v>363</v>
      </c>
      <c r="P104" s="370" t="s">
        <v>363</v>
      </c>
      <c r="Q104" s="336"/>
      <c r="R104" s="336"/>
      <c r="S104" s="368"/>
      <c r="T104" s="370" t="s">
        <v>363</v>
      </c>
      <c r="U104" s="378" t="s">
        <v>363</v>
      </c>
      <c r="V104" s="338"/>
      <c r="W104" s="321"/>
      <c r="X104" s="338"/>
      <c r="Y104" s="338"/>
      <c r="Z104" s="338"/>
    </row>
    <row r="105" spans="1:26" ht="15.75" customHeight="1" x14ac:dyDescent="0.2">
      <c r="A105" s="362" t="s">
        <v>463</v>
      </c>
      <c r="B105" s="338"/>
      <c r="C105" s="374" t="s">
        <v>465</v>
      </c>
      <c r="D105" s="364">
        <v>7</v>
      </c>
      <c r="E105" s="338" t="s">
        <v>376</v>
      </c>
      <c r="F105" s="370" t="s">
        <v>363</v>
      </c>
      <c r="G105" s="365"/>
      <c r="H105" s="370" t="s">
        <v>363</v>
      </c>
      <c r="I105" s="370" t="s">
        <v>363</v>
      </c>
      <c r="J105" s="336"/>
      <c r="K105" s="370" t="s">
        <v>363</v>
      </c>
      <c r="L105" s="370" t="s">
        <v>363</v>
      </c>
      <c r="M105" s="336"/>
      <c r="N105" s="336"/>
      <c r="O105" s="336"/>
      <c r="P105" s="336"/>
      <c r="Q105" s="336"/>
      <c r="R105" s="336"/>
      <c r="S105" s="368"/>
      <c r="T105" s="370" t="s">
        <v>363</v>
      </c>
      <c r="U105" s="378" t="s">
        <v>363</v>
      </c>
      <c r="V105" s="338"/>
      <c r="W105" s="321"/>
      <c r="X105" s="338"/>
      <c r="Y105" s="338"/>
      <c r="Z105" s="338"/>
    </row>
    <row r="106" spans="1:26" ht="15.75" customHeight="1" x14ac:dyDescent="0.2">
      <c r="A106" s="362" t="s">
        <v>463</v>
      </c>
      <c r="B106" s="338"/>
      <c r="C106" s="374" t="s">
        <v>466</v>
      </c>
      <c r="D106" s="364"/>
      <c r="E106" s="338" t="s">
        <v>376</v>
      </c>
      <c r="F106" s="370" t="s">
        <v>363</v>
      </c>
      <c r="G106" s="365"/>
      <c r="H106" s="370" t="s">
        <v>363</v>
      </c>
      <c r="I106" s="370" t="s">
        <v>363</v>
      </c>
      <c r="J106" s="336"/>
      <c r="K106" s="370" t="s">
        <v>363</v>
      </c>
      <c r="L106" s="370" t="s">
        <v>363</v>
      </c>
      <c r="M106" s="336"/>
      <c r="N106" s="336"/>
      <c r="O106" s="336"/>
      <c r="P106" s="336"/>
      <c r="Q106" s="336"/>
      <c r="R106" s="336"/>
      <c r="S106" s="368"/>
      <c r="T106" s="370" t="s">
        <v>363</v>
      </c>
      <c r="U106" s="378" t="s">
        <v>363</v>
      </c>
      <c r="V106" s="338"/>
      <c r="W106" s="321"/>
      <c r="X106" s="338"/>
      <c r="Y106" s="338"/>
      <c r="Z106" s="338"/>
    </row>
    <row r="107" spans="1:26" ht="15.75" customHeight="1" x14ac:dyDescent="0.2">
      <c r="A107" s="362" t="s">
        <v>463</v>
      </c>
      <c r="B107" s="338"/>
      <c r="C107" s="374" t="s">
        <v>467</v>
      </c>
      <c r="D107" s="364">
        <v>7</v>
      </c>
      <c r="E107" s="338" t="s">
        <v>376</v>
      </c>
      <c r="F107" s="370" t="s">
        <v>363</v>
      </c>
      <c r="G107" s="365"/>
      <c r="H107" s="370" t="s">
        <v>363</v>
      </c>
      <c r="I107" s="370" t="s">
        <v>363</v>
      </c>
      <c r="J107" s="336"/>
      <c r="K107" s="370" t="s">
        <v>363</v>
      </c>
      <c r="L107" s="370" t="s">
        <v>363</v>
      </c>
      <c r="M107" s="336"/>
      <c r="N107" s="336"/>
      <c r="O107" s="336"/>
      <c r="P107" s="336"/>
      <c r="Q107" s="336"/>
      <c r="R107" s="336"/>
      <c r="S107" s="368"/>
      <c r="T107" s="370" t="s">
        <v>363</v>
      </c>
      <c r="U107" s="378" t="s">
        <v>363</v>
      </c>
      <c r="V107" s="338"/>
      <c r="W107" s="321"/>
      <c r="X107" s="338"/>
      <c r="Y107" s="338"/>
      <c r="Z107" s="338"/>
    </row>
    <row r="108" spans="1:26" ht="15.75" customHeight="1" x14ac:dyDescent="0.2">
      <c r="A108" s="362" t="s">
        <v>463</v>
      </c>
      <c r="B108" s="338"/>
      <c r="C108" s="374" t="s">
        <v>468</v>
      </c>
      <c r="D108" s="364">
        <v>7</v>
      </c>
      <c r="E108" s="338" t="s">
        <v>376</v>
      </c>
      <c r="F108" s="370" t="s">
        <v>363</v>
      </c>
      <c r="G108" s="365"/>
      <c r="H108" s="370" t="s">
        <v>363</v>
      </c>
      <c r="I108" s="370" t="s">
        <v>363</v>
      </c>
      <c r="J108" s="336"/>
      <c r="K108" s="370" t="s">
        <v>363</v>
      </c>
      <c r="L108" s="370" t="s">
        <v>363</v>
      </c>
      <c r="M108" s="336"/>
      <c r="N108" s="336"/>
      <c r="O108" s="336"/>
      <c r="P108" s="336"/>
      <c r="Q108" s="336"/>
      <c r="R108" s="336"/>
      <c r="S108" s="368"/>
      <c r="T108" s="370" t="s">
        <v>363</v>
      </c>
      <c r="U108" s="378" t="s">
        <v>363</v>
      </c>
      <c r="V108" s="338"/>
      <c r="W108" s="321"/>
      <c r="X108" s="338"/>
      <c r="Y108" s="338"/>
      <c r="Z108" s="338"/>
    </row>
    <row r="109" spans="1:26" ht="15.75" customHeight="1" x14ac:dyDescent="0.2">
      <c r="A109" s="362" t="s">
        <v>463</v>
      </c>
      <c r="B109" s="338"/>
      <c r="C109" s="374" t="s">
        <v>469</v>
      </c>
      <c r="D109" s="364">
        <v>7</v>
      </c>
      <c r="E109" s="338" t="s">
        <v>376</v>
      </c>
      <c r="F109" s="370" t="s">
        <v>363</v>
      </c>
      <c r="G109" s="365"/>
      <c r="H109" s="370" t="s">
        <v>363</v>
      </c>
      <c r="I109" s="370" t="s">
        <v>363</v>
      </c>
      <c r="J109" s="336"/>
      <c r="K109" s="370" t="s">
        <v>363</v>
      </c>
      <c r="L109" s="370" t="s">
        <v>363</v>
      </c>
      <c r="M109" s="336"/>
      <c r="N109" s="336"/>
      <c r="O109" s="336"/>
      <c r="P109" s="336"/>
      <c r="Q109" s="336"/>
      <c r="R109" s="336"/>
      <c r="S109" s="368"/>
      <c r="T109" s="370" t="s">
        <v>363</v>
      </c>
      <c r="U109" s="378" t="s">
        <v>363</v>
      </c>
      <c r="V109" s="338"/>
      <c r="W109" s="321"/>
      <c r="X109" s="338"/>
      <c r="Y109" s="338"/>
      <c r="Z109" s="338"/>
    </row>
    <row r="110" spans="1:26" ht="15.75" customHeight="1" x14ac:dyDescent="0.2">
      <c r="A110" s="362" t="s">
        <v>463</v>
      </c>
      <c r="B110" s="338"/>
      <c r="C110" s="374" t="s">
        <v>470</v>
      </c>
      <c r="D110" s="364">
        <v>7</v>
      </c>
      <c r="E110" s="338" t="s">
        <v>376</v>
      </c>
      <c r="F110" s="370" t="s">
        <v>363</v>
      </c>
      <c r="G110" s="365"/>
      <c r="H110" s="370" t="s">
        <v>363</v>
      </c>
      <c r="I110" s="370" t="s">
        <v>363</v>
      </c>
      <c r="J110" s="336"/>
      <c r="K110" s="370" t="s">
        <v>363</v>
      </c>
      <c r="L110" s="370" t="s">
        <v>363</v>
      </c>
      <c r="M110" s="336"/>
      <c r="N110" s="336"/>
      <c r="O110" s="336"/>
      <c r="P110" s="336"/>
      <c r="Q110" s="336"/>
      <c r="R110" s="336"/>
      <c r="S110" s="368"/>
      <c r="T110" s="370" t="s">
        <v>363</v>
      </c>
      <c r="U110" s="378" t="s">
        <v>363</v>
      </c>
      <c r="V110" s="338"/>
      <c r="W110" s="321"/>
      <c r="X110" s="338"/>
      <c r="Y110" s="338"/>
      <c r="Z110" s="338"/>
    </row>
    <row r="111" spans="1:26" ht="15.75" customHeight="1" x14ac:dyDescent="0.2">
      <c r="A111" s="362" t="s">
        <v>463</v>
      </c>
      <c r="B111" s="338"/>
      <c r="C111" s="377" t="s">
        <v>471</v>
      </c>
      <c r="D111" s="364">
        <v>14</v>
      </c>
      <c r="E111" s="338" t="s">
        <v>362</v>
      </c>
      <c r="F111" s="367" t="s">
        <v>363</v>
      </c>
      <c r="G111" s="365"/>
      <c r="H111" s="367" t="s">
        <v>363</v>
      </c>
      <c r="I111" s="367" t="s">
        <v>363</v>
      </c>
      <c r="J111" s="336"/>
      <c r="K111" s="367" t="s">
        <v>363</v>
      </c>
      <c r="L111" s="367" t="s">
        <v>363</v>
      </c>
      <c r="M111" s="336"/>
      <c r="N111" s="336"/>
      <c r="O111" s="336"/>
      <c r="P111" s="336"/>
      <c r="Q111" s="336"/>
      <c r="R111" s="336"/>
      <c r="S111" s="368"/>
      <c r="T111" s="367" t="s">
        <v>363</v>
      </c>
      <c r="U111" s="379" t="s">
        <v>363</v>
      </c>
      <c r="V111" s="338"/>
      <c r="W111" s="321"/>
      <c r="X111" s="338"/>
      <c r="Y111" s="338"/>
      <c r="Z111" s="338"/>
    </row>
    <row r="112" spans="1:26" ht="15.75" customHeight="1" x14ac:dyDescent="0.2">
      <c r="A112" s="362" t="s">
        <v>463</v>
      </c>
      <c r="B112" s="338"/>
      <c r="C112" s="377" t="s">
        <v>472</v>
      </c>
      <c r="D112" s="364">
        <v>14</v>
      </c>
      <c r="E112" s="338" t="s">
        <v>362</v>
      </c>
      <c r="F112" s="367" t="s">
        <v>363</v>
      </c>
      <c r="G112" s="365"/>
      <c r="H112" s="367" t="s">
        <v>363</v>
      </c>
      <c r="I112" s="367" t="s">
        <v>363</v>
      </c>
      <c r="J112" s="336"/>
      <c r="K112" s="367" t="s">
        <v>363</v>
      </c>
      <c r="L112" s="367" t="s">
        <v>363</v>
      </c>
      <c r="M112" s="336"/>
      <c r="N112" s="336"/>
      <c r="O112" s="336"/>
      <c r="P112" s="336"/>
      <c r="Q112" s="336"/>
      <c r="R112" s="336"/>
      <c r="S112" s="368"/>
      <c r="T112" s="367" t="s">
        <v>363</v>
      </c>
      <c r="U112" s="379" t="s">
        <v>363</v>
      </c>
      <c r="V112" s="338"/>
      <c r="W112" s="321"/>
      <c r="X112" s="338"/>
      <c r="Y112" s="338"/>
      <c r="Z112" s="338"/>
    </row>
    <row r="113" spans="1:26" ht="15.75" customHeight="1" x14ac:dyDescent="0.2">
      <c r="A113" s="362" t="s">
        <v>463</v>
      </c>
      <c r="B113" s="338"/>
      <c r="C113" s="377" t="s">
        <v>425</v>
      </c>
      <c r="D113" s="364">
        <v>7</v>
      </c>
      <c r="E113" s="338" t="s">
        <v>376</v>
      </c>
      <c r="F113" s="370" t="s">
        <v>363</v>
      </c>
      <c r="G113" s="365"/>
      <c r="H113" s="370" t="s">
        <v>363</v>
      </c>
      <c r="I113" s="370" t="s">
        <v>363</v>
      </c>
      <c r="J113" s="336"/>
      <c r="K113" s="370" t="s">
        <v>363</v>
      </c>
      <c r="L113" s="370" t="s">
        <v>363</v>
      </c>
      <c r="M113" s="336"/>
      <c r="N113" s="336"/>
      <c r="O113" s="336"/>
      <c r="P113" s="336"/>
      <c r="Q113" s="336"/>
      <c r="R113" s="336"/>
      <c r="S113" s="368"/>
      <c r="T113" s="370" t="s">
        <v>363</v>
      </c>
      <c r="U113" s="378" t="s">
        <v>363</v>
      </c>
      <c r="V113" s="338"/>
      <c r="W113" s="321"/>
      <c r="X113" s="338"/>
      <c r="Y113" s="338"/>
      <c r="Z113" s="338"/>
    </row>
    <row r="114" spans="1:26" ht="18" customHeight="1" x14ac:dyDescent="0.2">
      <c r="A114" s="362" t="s">
        <v>463</v>
      </c>
      <c r="B114" s="338"/>
      <c r="C114" s="377" t="s">
        <v>473</v>
      </c>
      <c r="D114" s="364">
        <v>14</v>
      </c>
      <c r="E114" s="338" t="s">
        <v>376</v>
      </c>
      <c r="F114" s="370" t="s">
        <v>363</v>
      </c>
      <c r="G114" s="365"/>
      <c r="H114" s="370" t="s">
        <v>363</v>
      </c>
      <c r="I114" s="370" t="s">
        <v>363</v>
      </c>
      <c r="J114" s="336"/>
      <c r="K114" s="370" t="s">
        <v>363</v>
      </c>
      <c r="L114" s="370" t="s">
        <v>363</v>
      </c>
      <c r="M114" s="336"/>
      <c r="N114" s="336"/>
      <c r="O114" s="336"/>
      <c r="P114" s="336"/>
      <c r="Q114" s="336"/>
      <c r="R114" s="336"/>
      <c r="S114" s="368"/>
      <c r="T114" s="370" t="s">
        <v>363</v>
      </c>
      <c r="U114" s="378" t="s">
        <v>363</v>
      </c>
      <c r="V114" s="338"/>
      <c r="W114" s="321"/>
      <c r="X114" s="338"/>
      <c r="Y114" s="338"/>
      <c r="Z114" s="338"/>
    </row>
    <row r="115" spans="1:26" ht="18.75" customHeight="1" x14ac:dyDescent="0.2">
      <c r="A115" s="380" t="s">
        <v>463</v>
      </c>
      <c r="B115" s="381"/>
      <c r="C115" s="382" t="s">
        <v>168</v>
      </c>
      <c r="D115" s="383">
        <v>7</v>
      </c>
      <c r="E115" s="381" t="s">
        <v>376</v>
      </c>
      <c r="F115" s="384" t="s">
        <v>363</v>
      </c>
      <c r="G115" s="385"/>
      <c r="H115" s="384" t="s">
        <v>363</v>
      </c>
      <c r="I115" s="384" t="s">
        <v>363</v>
      </c>
      <c r="J115" s="386"/>
      <c r="K115" s="384" t="s">
        <v>363</v>
      </c>
      <c r="L115" s="384" t="s">
        <v>363</v>
      </c>
      <c r="M115" s="386"/>
      <c r="N115" s="386"/>
      <c r="O115" s="386"/>
      <c r="P115" s="386"/>
      <c r="Q115" s="386"/>
      <c r="R115" s="386"/>
      <c r="S115" s="387"/>
      <c r="T115" s="384" t="s">
        <v>363</v>
      </c>
      <c r="U115" s="388" t="s">
        <v>363</v>
      </c>
      <c r="V115" s="381"/>
      <c r="W115" s="321"/>
      <c r="X115" s="338"/>
      <c r="Y115" s="338"/>
      <c r="Z115" s="338"/>
    </row>
    <row r="116" spans="1:26" ht="15.75" customHeight="1" x14ac:dyDescent="0.2">
      <c r="A116" s="321" t="s">
        <v>4</v>
      </c>
      <c r="B116" s="321"/>
      <c r="C116" s="321" t="s">
        <v>474</v>
      </c>
      <c r="D116" s="321">
        <v>1</v>
      </c>
      <c r="E116" s="321"/>
      <c r="F116" s="322"/>
      <c r="G116" s="323"/>
      <c r="H116" s="322"/>
      <c r="I116" s="322"/>
      <c r="J116" s="322"/>
      <c r="K116" s="322"/>
      <c r="L116" s="322"/>
      <c r="M116" s="322"/>
      <c r="N116" s="322"/>
      <c r="O116" s="322"/>
      <c r="P116" s="322"/>
      <c r="Q116" s="322"/>
      <c r="R116" s="322"/>
      <c r="S116" s="321"/>
      <c r="T116" s="322"/>
      <c r="U116" s="321"/>
      <c r="V116" s="321"/>
      <c r="W116" s="609"/>
      <c r="X116" s="573"/>
      <c r="Y116" s="321"/>
      <c r="Z116" s="321"/>
    </row>
    <row r="117" spans="1:26" ht="15.75" customHeight="1" x14ac:dyDescent="0.2">
      <c r="A117" s="321" t="s">
        <v>361</v>
      </c>
      <c r="B117" s="321"/>
      <c r="C117" s="389" t="s">
        <v>475</v>
      </c>
      <c r="D117" s="321"/>
      <c r="E117" s="321"/>
      <c r="F117" s="322"/>
      <c r="G117" s="323"/>
      <c r="H117" s="322"/>
      <c r="I117" s="322"/>
      <c r="J117" s="322"/>
      <c r="K117" s="322"/>
      <c r="L117" s="322"/>
      <c r="M117" s="322"/>
      <c r="N117" s="322"/>
      <c r="O117" s="322"/>
      <c r="P117" s="322"/>
      <c r="Q117" s="322"/>
      <c r="R117" s="322"/>
      <c r="S117" s="321"/>
      <c r="T117" s="322"/>
      <c r="U117" s="321"/>
      <c r="V117" s="321"/>
      <c r="W117" s="609"/>
      <c r="X117" s="573"/>
      <c r="Y117" s="321"/>
      <c r="Z117" s="321"/>
    </row>
    <row r="118" spans="1:26" ht="15.75" customHeight="1" x14ac:dyDescent="0.2">
      <c r="A118" s="321" t="s">
        <v>361</v>
      </c>
      <c r="B118" s="321"/>
      <c r="C118" s="389" t="s">
        <v>476</v>
      </c>
      <c r="D118" s="321"/>
      <c r="E118" s="321"/>
      <c r="F118" s="322"/>
      <c r="G118" s="323"/>
      <c r="H118" s="322"/>
      <c r="I118" s="322"/>
      <c r="J118" s="322"/>
      <c r="K118" s="322"/>
      <c r="L118" s="322"/>
      <c r="M118" s="322"/>
      <c r="N118" s="322"/>
      <c r="O118" s="322"/>
      <c r="P118" s="322"/>
      <c r="Q118" s="322"/>
      <c r="R118" s="322"/>
      <c r="S118" s="321"/>
      <c r="T118" s="322"/>
      <c r="U118" s="321"/>
      <c r="V118" s="321"/>
      <c r="W118" s="609"/>
      <c r="X118" s="573"/>
      <c r="Y118" s="321"/>
      <c r="Z118" s="321"/>
    </row>
    <row r="119" spans="1:26" ht="15.75" customHeight="1" x14ac:dyDescent="0.2">
      <c r="A119" s="321"/>
      <c r="B119" s="321"/>
      <c r="C119" s="389" t="s">
        <v>181</v>
      </c>
      <c r="D119" s="321"/>
      <c r="E119" s="321"/>
      <c r="F119" s="322"/>
      <c r="G119" s="323"/>
      <c r="H119" s="322"/>
      <c r="I119" s="322"/>
      <c r="J119" s="322"/>
      <c r="K119" s="322"/>
      <c r="L119" s="322"/>
      <c r="M119" s="322"/>
      <c r="N119" s="322"/>
      <c r="O119" s="322"/>
      <c r="P119" s="322"/>
      <c r="Q119" s="322"/>
      <c r="R119" s="322"/>
      <c r="S119" s="321"/>
      <c r="T119" s="322"/>
      <c r="U119" s="321"/>
      <c r="V119" s="321"/>
      <c r="W119" s="609"/>
      <c r="X119" s="573"/>
      <c r="Y119" s="321"/>
      <c r="Z119" s="321"/>
    </row>
    <row r="120" spans="1:26" ht="15.75" customHeight="1" x14ac:dyDescent="0.2">
      <c r="A120" s="321"/>
      <c r="B120" s="321"/>
      <c r="C120" s="389" t="s">
        <v>477</v>
      </c>
      <c r="D120" s="321"/>
      <c r="E120" s="321"/>
      <c r="F120" s="322"/>
      <c r="G120" s="323"/>
      <c r="H120" s="322"/>
      <c r="I120" s="322"/>
      <c r="J120" s="322"/>
      <c r="K120" s="322"/>
      <c r="L120" s="322"/>
      <c r="M120" s="322"/>
      <c r="N120" s="322"/>
      <c r="O120" s="322"/>
      <c r="P120" s="322"/>
      <c r="Q120" s="322"/>
      <c r="R120" s="322"/>
      <c r="S120" s="321"/>
      <c r="T120" s="322"/>
      <c r="U120" s="321"/>
      <c r="V120" s="321"/>
      <c r="W120" s="609"/>
      <c r="X120" s="573"/>
      <c r="Y120" s="321"/>
      <c r="Z120" s="321"/>
    </row>
    <row r="121" spans="1:26" ht="15.75" customHeight="1" x14ac:dyDescent="0.2">
      <c r="A121" s="321"/>
      <c r="B121" s="321"/>
      <c r="C121" s="389" t="s">
        <v>212</v>
      </c>
      <c r="D121" s="321"/>
      <c r="E121" s="321"/>
      <c r="F121" s="322"/>
      <c r="G121" s="323"/>
      <c r="H121" s="322"/>
      <c r="I121" s="322"/>
      <c r="J121" s="322"/>
      <c r="K121" s="322"/>
      <c r="L121" s="322"/>
      <c r="M121" s="322"/>
      <c r="N121" s="322"/>
      <c r="O121" s="322"/>
      <c r="P121" s="322"/>
      <c r="Q121" s="322"/>
      <c r="R121" s="322"/>
      <c r="S121" s="321"/>
      <c r="T121" s="322"/>
      <c r="U121" s="321"/>
      <c r="V121" s="321"/>
      <c r="W121" s="609"/>
      <c r="X121" s="573"/>
      <c r="Y121" s="321"/>
      <c r="Z121" s="321"/>
    </row>
    <row r="122" spans="1:26" ht="15.75" customHeight="1" x14ac:dyDescent="0.2">
      <c r="A122" s="321"/>
      <c r="B122" s="321"/>
      <c r="C122" s="321"/>
      <c r="D122" s="321"/>
      <c r="E122" s="321"/>
      <c r="F122" s="322"/>
      <c r="G122" s="323"/>
      <c r="H122" s="322"/>
      <c r="I122" s="322"/>
      <c r="J122" s="322"/>
      <c r="K122" s="322"/>
      <c r="L122" s="322"/>
      <c r="M122" s="322"/>
      <c r="N122" s="322"/>
      <c r="O122" s="322"/>
      <c r="P122" s="322"/>
      <c r="Q122" s="322"/>
      <c r="R122" s="322"/>
      <c r="S122" s="321"/>
      <c r="T122" s="322"/>
      <c r="U122" s="321"/>
      <c r="V122" s="321"/>
      <c r="W122" s="609"/>
      <c r="X122" s="573"/>
      <c r="Y122" s="321"/>
      <c r="Z122" s="321"/>
    </row>
    <row r="123" spans="1:26" ht="15.75" customHeight="1" x14ac:dyDescent="0.2">
      <c r="A123" s="321"/>
      <c r="B123" s="321"/>
      <c r="C123" s="321"/>
      <c r="D123" s="321"/>
      <c r="E123" s="321"/>
      <c r="F123" s="322"/>
      <c r="G123" s="323"/>
      <c r="H123" s="322"/>
      <c r="I123" s="322"/>
      <c r="J123" s="322"/>
      <c r="K123" s="322"/>
      <c r="L123" s="322"/>
      <c r="M123" s="322"/>
      <c r="N123" s="322"/>
      <c r="O123" s="322"/>
      <c r="P123" s="322"/>
      <c r="Q123" s="322"/>
      <c r="R123" s="322"/>
      <c r="S123" s="321"/>
      <c r="T123" s="322"/>
      <c r="U123" s="321"/>
      <c r="V123" s="321"/>
      <c r="W123" s="609"/>
      <c r="X123" s="573"/>
      <c r="Y123" s="321"/>
      <c r="Z123" s="321"/>
    </row>
    <row r="124" spans="1:26" ht="15.75" customHeight="1" x14ac:dyDescent="0.2">
      <c r="A124" s="321"/>
      <c r="B124" s="321"/>
      <c r="C124" s="390" t="s">
        <v>478</v>
      </c>
      <c r="D124" s="391">
        <v>339</v>
      </c>
      <c r="E124" s="321"/>
      <c r="F124" s="322"/>
      <c r="G124" s="323"/>
      <c r="H124" s="322"/>
      <c r="I124" s="322"/>
      <c r="J124" s="322"/>
      <c r="K124" s="322"/>
      <c r="L124" s="322"/>
      <c r="M124" s="322"/>
      <c r="N124" s="322"/>
      <c r="O124" s="322"/>
      <c r="P124" s="322"/>
      <c r="Q124" s="322"/>
      <c r="R124" s="322"/>
      <c r="S124" s="321"/>
      <c r="T124" s="322"/>
      <c r="U124" s="321"/>
      <c r="V124" s="321"/>
      <c r="W124" s="609"/>
      <c r="X124" s="573"/>
      <c r="Y124" s="321"/>
      <c r="Z124" s="321"/>
    </row>
    <row r="125" spans="1:26" ht="15.75" customHeight="1" x14ac:dyDescent="0.2">
      <c r="B125" s="392"/>
      <c r="E125" s="311"/>
      <c r="F125" s="311"/>
      <c r="K125" s="314"/>
      <c r="L125" s="314"/>
      <c r="M125" s="314"/>
      <c r="N125" s="314"/>
      <c r="O125" s="314"/>
      <c r="P125" s="314"/>
      <c r="Q125" s="314"/>
      <c r="R125" s="314"/>
    </row>
    <row r="126" spans="1:26" ht="15.75" customHeight="1" x14ac:dyDescent="0.2">
      <c r="B126" s="392"/>
      <c r="E126" s="311"/>
      <c r="F126" s="311"/>
      <c r="K126" s="314"/>
      <c r="L126" s="314"/>
      <c r="M126" s="314"/>
      <c r="N126" s="314"/>
      <c r="O126" s="314"/>
      <c r="P126" s="314"/>
      <c r="Q126" s="314"/>
      <c r="R126" s="314"/>
    </row>
    <row r="127" spans="1:26" ht="15.75" customHeight="1" x14ac:dyDescent="0.2">
      <c r="B127" s="392"/>
      <c r="E127" s="311"/>
      <c r="F127" s="311"/>
      <c r="K127" s="314"/>
      <c r="L127" s="314"/>
      <c r="M127" s="314"/>
      <c r="N127" s="314"/>
      <c r="O127" s="314"/>
      <c r="P127" s="314"/>
      <c r="Q127" s="314"/>
      <c r="R127" s="314"/>
    </row>
    <row r="128" spans="1:26" ht="15.75" customHeight="1" x14ac:dyDescent="0.2">
      <c r="B128" s="392"/>
      <c r="E128" s="311"/>
      <c r="F128" s="311"/>
      <c r="K128" s="314"/>
      <c r="L128" s="314"/>
      <c r="M128" s="314"/>
      <c r="N128" s="314"/>
      <c r="O128" s="314"/>
      <c r="P128" s="314"/>
      <c r="Q128" s="314"/>
      <c r="R128" s="314"/>
    </row>
    <row r="129" spans="2:18" ht="15.75" customHeight="1" x14ac:dyDescent="0.2">
      <c r="B129" s="392"/>
      <c r="E129" s="311"/>
      <c r="F129" s="311"/>
      <c r="K129" s="314"/>
      <c r="L129" s="314"/>
      <c r="M129" s="314"/>
      <c r="N129" s="314"/>
      <c r="O129" s="314"/>
      <c r="P129" s="314"/>
      <c r="Q129" s="314"/>
      <c r="R129" s="314"/>
    </row>
    <row r="130" spans="2:18" ht="15.75" customHeight="1" x14ac:dyDescent="0.2">
      <c r="B130" s="392"/>
      <c r="E130" s="311"/>
      <c r="F130" s="311"/>
      <c r="K130" s="314"/>
      <c r="L130" s="314"/>
      <c r="M130" s="314"/>
      <c r="N130" s="314"/>
      <c r="O130" s="314"/>
      <c r="P130" s="314"/>
      <c r="Q130" s="314"/>
      <c r="R130" s="314"/>
    </row>
    <row r="131" spans="2:18" ht="15.75" customHeight="1" x14ac:dyDescent="0.2">
      <c r="B131" s="392"/>
      <c r="E131" s="311"/>
      <c r="F131" s="311"/>
      <c r="K131" s="314"/>
      <c r="L131" s="314"/>
      <c r="M131" s="314"/>
      <c r="N131" s="314"/>
      <c r="O131" s="314"/>
      <c r="P131" s="314"/>
      <c r="Q131" s="314"/>
      <c r="R131" s="314"/>
    </row>
    <row r="132" spans="2:18" ht="15.75" customHeight="1" x14ac:dyDescent="0.2">
      <c r="B132" s="392"/>
      <c r="E132" s="311"/>
      <c r="F132" s="311"/>
      <c r="K132" s="314"/>
      <c r="L132" s="314"/>
      <c r="M132" s="314"/>
      <c r="N132" s="314"/>
      <c r="O132" s="314"/>
      <c r="P132" s="314"/>
      <c r="Q132" s="314"/>
      <c r="R132" s="314"/>
    </row>
    <row r="133" spans="2:18" ht="15.75" customHeight="1" x14ac:dyDescent="0.2">
      <c r="B133" s="392"/>
      <c r="E133" s="311"/>
      <c r="F133" s="311"/>
      <c r="K133" s="314"/>
      <c r="L133" s="314"/>
      <c r="M133" s="314"/>
      <c r="N133" s="314"/>
      <c r="O133" s="314"/>
      <c r="P133" s="314"/>
      <c r="Q133" s="314"/>
      <c r="R133" s="314"/>
    </row>
    <row r="134" spans="2:18" ht="15.75" customHeight="1" x14ac:dyDescent="0.2">
      <c r="B134" s="392"/>
      <c r="E134" s="311"/>
      <c r="F134" s="311"/>
      <c r="K134" s="314"/>
      <c r="L134" s="314"/>
      <c r="M134" s="314"/>
      <c r="N134" s="314"/>
      <c r="O134" s="314"/>
      <c r="P134" s="314"/>
      <c r="Q134" s="314"/>
      <c r="R134" s="314"/>
    </row>
    <row r="135" spans="2:18" ht="15.75" customHeight="1" x14ac:dyDescent="0.2">
      <c r="B135" s="392"/>
      <c r="E135" s="311"/>
      <c r="F135" s="311"/>
      <c r="K135" s="314"/>
      <c r="L135" s="314"/>
      <c r="M135" s="314"/>
      <c r="N135" s="314"/>
      <c r="O135" s="314"/>
      <c r="P135" s="314"/>
      <c r="Q135" s="314"/>
      <c r="R135" s="314"/>
    </row>
    <row r="136" spans="2:18" ht="15.75" customHeight="1" x14ac:dyDescent="0.2">
      <c r="B136" s="392"/>
      <c r="E136" s="311"/>
      <c r="F136" s="311"/>
      <c r="K136" s="314"/>
      <c r="L136" s="314"/>
      <c r="M136" s="314"/>
      <c r="N136" s="314"/>
      <c r="O136" s="314"/>
      <c r="P136" s="314"/>
      <c r="Q136" s="314"/>
      <c r="R136" s="314"/>
    </row>
    <row r="137" spans="2:18" ht="15.75" customHeight="1" x14ac:dyDescent="0.2">
      <c r="B137" s="392"/>
      <c r="E137" s="311"/>
      <c r="F137" s="311"/>
      <c r="K137" s="314"/>
      <c r="L137" s="314"/>
      <c r="M137" s="314"/>
      <c r="N137" s="314"/>
      <c r="O137" s="314"/>
      <c r="P137" s="314"/>
      <c r="Q137" s="314"/>
      <c r="R137" s="314"/>
    </row>
    <row r="138" spans="2:18" ht="15.75" customHeight="1" x14ac:dyDescent="0.2">
      <c r="B138" s="392"/>
      <c r="E138" s="311"/>
      <c r="F138" s="311"/>
      <c r="K138" s="314"/>
      <c r="L138" s="314"/>
      <c r="M138" s="314"/>
      <c r="N138" s="314"/>
      <c r="O138" s="314"/>
      <c r="P138" s="314"/>
      <c r="Q138" s="314"/>
      <c r="R138" s="314"/>
    </row>
    <row r="139" spans="2:18" ht="15.75" customHeight="1" x14ac:dyDescent="0.2">
      <c r="B139" s="392"/>
      <c r="E139" s="311"/>
      <c r="F139" s="311"/>
      <c r="K139" s="314"/>
      <c r="L139" s="314"/>
      <c r="M139" s="314"/>
      <c r="N139" s="314"/>
      <c r="O139" s="314"/>
      <c r="P139" s="314"/>
      <c r="Q139" s="314"/>
      <c r="R139" s="314"/>
    </row>
    <row r="140" spans="2:18" ht="15.75" customHeight="1" x14ac:dyDescent="0.2">
      <c r="B140" s="392"/>
      <c r="E140" s="311"/>
      <c r="F140" s="311"/>
      <c r="K140" s="314"/>
      <c r="L140" s="314"/>
      <c r="M140" s="314"/>
      <c r="N140" s="314"/>
      <c r="O140" s="314"/>
      <c r="P140" s="314"/>
      <c r="Q140" s="314"/>
      <c r="R140" s="314"/>
    </row>
    <row r="141" spans="2:18" ht="15.75" customHeight="1" x14ac:dyDescent="0.2">
      <c r="B141" s="392"/>
      <c r="E141" s="311"/>
      <c r="F141" s="311"/>
      <c r="K141" s="314"/>
      <c r="L141" s="314"/>
      <c r="M141" s="314"/>
      <c r="N141" s="314"/>
      <c r="O141" s="314"/>
      <c r="P141" s="314"/>
      <c r="Q141" s="314"/>
      <c r="R141" s="314"/>
    </row>
    <row r="142" spans="2:18" ht="15.75" customHeight="1" x14ac:dyDescent="0.2">
      <c r="B142" s="392"/>
      <c r="E142" s="311"/>
      <c r="F142" s="311"/>
      <c r="K142" s="314"/>
      <c r="L142" s="314"/>
      <c r="M142" s="314"/>
      <c r="N142" s="314"/>
      <c r="O142" s="314"/>
      <c r="P142" s="314"/>
      <c r="Q142" s="314"/>
      <c r="R142" s="314"/>
    </row>
    <row r="143" spans="2:18" ht="15.75" customHeight="1" x14ac:dyDescent="0.2">
      <c r="B143" s="392"/>
      <c r="E143" s="311"/>
      <c r="F143" s="311"/>
      <c r="K143" s="314"/>
      <c r="L143" s="314"/>
      <c r="M143" s="314"/>
      <c r="N143" s="314"/>
      <c r="O143" s="314"/>
      <c r="P143" s="314"/>
      <c r="Q143" s="314"/>
      <c r="R143" s="314"/>
    </row>
    <row r="144" spans="2:18" ht="15.75" customHeight="1" x14ac:dyDescent="0.2">
      <c r="B144" s="392"/>
      <c r="E144" s="311"/>
      <c r="F144" s="311"/>
      <c r="K144" s="314"/>
      <c r="L144" s="314"/>
      <c r="M144" s="314"/>
      <c r="N144" s="314"/>
      <c r="O144" s="314"/>
      <c r="P144" s="314"/>
      <c r="Q144" s="314"/>
      <c r="R144" s="314"/>
    </row>
    <row r="145" spans="2:18" ht="15.75" customHeight="1" x14ac:dyDescent="0.2">
      <c r="B145" s="392"/>
      <c r="E145" s="311"/>
      <c r="F145" s="311"/>
      <c r="K145" s="314"/>
      <c r="L145" s="314"/>
      <c r="M145" s="314"/>
      <c r="N145" s="314"/>
      <c r="O145" s="314"/>
      <c r="P145" s="314"/>
      <c r="Q145" s="314"/>
      <c r="R145" s="314"/>
    </row>
    <row r="146" spans="2:18" ht="15.75" customHeight="1" x14ac:dyDescent="0.2">
      <c r="B146" s="392"/>
      <c r="E146" s="311"/>
      <c r="F146" s="311"/>
      <c r="K146" s="314"/>
      <c r="L146" s="314"/>
      <c r="M146" s="314"/>
      <c r="N146" s="314"/>
      <c r="O146" s="314"/>
      <c r="P146" s="314"/>
      <c r="Q146" s="314"/>
      <c r="R146" s="314"/>
    </row>
    <row r="147" spans="2:18" ht="15.75" customHeight="1" x14ac:dyDescent="0.2">
      <c r="B147" s="392"/>
      <c r="E147" s="311"/>
      <c r="F147" s="311"/>
      <c r="K147" s="314"/>
      <c r="L147" s="314"/>
      <c r="M147" s="314"/>
      <c r="N147" s="314"/>
      <c r="O147" s="314"/>
      <c r="P147" s="314"/>
      <c r="Q147" s="314"/>
      <c r="R147" s="314"/>
    </row>
    <row r="148" spans="2:18" ht="15.75" customHeight="1" x14ac:dyDescent="0.2">
      <c r="B148" s="392"/>
      <c r="E148" s="311"/>
      <c r="F148" s="311"/>
      <c r="K148" s="314"/>
      <c r="L148" s="314"/>
      <c r="M148" s="314"/>
      <c r="N148" s="314"/>
      <c r="O148" s="314"/>
      <c r="P148" s="314"/>
      <c r="Q148" s="314"/>
      <c r="R148" s="314"/>
    </row>
    <row r="149" spans="2:18" ht="15.75" customHeight="1" x14ac:dyDescent="0.2">
      <c r="B149" s="392"/>
      <c r="E149" s="311"/>
      <c r="F149" s="311"/>
      <c r="K149" s="314"/>
      <c r="L149" s="314"/>
      <c r="M149" s="314"/>
      <c r="N149" s="314"/>
      <c r="O149" s="314"/>
      <c r="P149" s="314"/>
      <c r="Q149" s="314"/>
      <c r="R149" s="314"/>
    </row>
    <row r="150" spans="2:18" ht="15.75" customHeight="1" x14ac:dyDescent="0.2">
      <c r="B150" s="392"/>
      <c r="E150" s="311"/>
      <c r="F150" s="311"/>
      <c r="K150" s="314"/>
      <c r="L150" s="314"/>
      <c r="M150" s="314"/>
      <c r="N150" s="314"/>
      <c r="O150" s="314"/>
      <c r="P150" s="314"/>
      <c r="Q150" s="314"/>
      <c r="R150" s="314"/>
    </row>
    <row r="151" spans="2:18" ht="15.75" customHeight="1" x14ac:dyDescent="0.2">
      <c r="B151" s="392"/>
      <c r="E151" s="311"/>
      <c r="F151" s="311"/>
      <c r="K151" s="314"/>
      <c r="L151" s="314"/>
      <c r="M151" s="314"/>
      <c r="N151" s="314"/>
      <c r="O151" s="314"/>
      <c r="P151" s="314"/>
      <c r="Q151" s="314"/>
      <c r="R151" s="314"/>
    </row>
    <row r="152" spans="2:18" ht="15.75" customHeight="1" x14ac:dyDescent="0.2">
      <c r="B152" s="392"/>
      <c r="E152" s="311"/>
      <c r="F152" s="311"/>
      <c r="K152" s="314"/>
      <c r="L152" s="314"/>
      <c r="M152" s="314"/>
      <c r="N152" s="314"/>
      <c r="O152" s="314"/>
      <c r="P152" s="314"/>
      <c r="Q152" s="314"/>
      <c r="R152" s="314"/>
    </row>
    <row r="153" spans="2:18" ht="15.75" customHeight="1" x14ac:dyDescent="0.2">
      <c r="B153" s="392"/>
      <c r="E153" s="311"/>
      <c r="F153" s="311"/>
      <c r="K153" s="314"/>
      <c r="L153" s="314"/>
      <c r="M153" s="314"/>
      <c r="N153" s="314"/>
      <c r="O153" s="314"/>
      <c r="P153" s="314"/>
      <c r="Q153" s="314"/>
      <c r="R153" s="314"/>
    </row>
    <row r="154" spans="2:18" ht="15.75" customHeight="1" x14ac:dyDescent="0.2">
      <c r="B154" s="392"/>
      <c r="E154" s="311"/>
      <c r="F154" s="311"/>
      <c r="K154" s="314"/>
      <c r="L154" s="314"/>
      <c r="M154" s="314"/>
      <c r="N154" s="314"/>
      <c r="O154" s="314"/>
      <c r="P154" s="314"/>
      <c r="Q154" s="314"/>
      <c r="R154" s="314"/>
    </row>
    <row r="155" spans="2:18" ht="15.75" customHeight="1" x14ac:dyDescent="0.2">
      <c r="B155" s="392"/>
      <c r="E155" s="311"/>
      <c r="F155" s="311"/>
      <c r="K155" s="314"/>
      <c r="L155" s="314"/>
      <c r="M155" s="314"/>
      <c r="N155" s="314"/>
      <c r="O155" s="314"/>
      <c r="P155" s="314"/>
      <c r="Q155" s="314"/>
      <c r="R155" s="314"/>
    </row>
    <row r="156" spans="2:18" ht="15.75" customHeight="1" x14ac:dyDescent="0.2">
      <c r="B156" s="392"/>
      <c r="E156" s="311"/>
      <c r="F156" s="311"/>
      <c r="K156" s="314"/>
      <c r="L156" s="314"/>
      <c r="M156" s="314"/>
      <c r="N156" s="314"/>
      <c r="O156" s="314"/>
      <c r="P156" s="314"/>
      <c r="Q156" s="314"/>
      <c r="R156" s="314"/>
    </row>
    <row r="157" spans="2:18" ht="15.75" customHeight="1" x14ac:dyDescent="0.2">
      <c r="B157" s="392"/>
      <c r="E157" s="311"/>
      <c r="F157" s="311"/>
      <c r="K157" s="314"/>
      <c r="L157" s="314"/>
      <c r="M157" s="314"/>
      <c r="N157" s="314"/>
      <c r="O157" s="314"/>
      <c r="P157" s="314"/>
      <c r="Q157" s="314"/>
      <c r="R157" s="314"/>
    </row>
    <row r="158" spans="2:18" ht="15.75" customHeight="1" x14ac:dyDescent="0.2">
      <c r="B158" s="392"/>
      <c r="E158" s="311"/>
      <c r="F158" s="311"/>
      <c r="K158" s="314"/>
      <c r="L158" s="314"/>
      <c r="M158" s="314"/>
      <c r="N158" s="314"/>
      <c r="O158" s="314"/>
      <c r="P158" s="314"/>
      <c r="Q158" s="314"/>
      <c r="R158" s="314"/>
    </row>
    <row r="159" spans="2:18" ht="15.75" customHeight="1" x14ac:dyDescent="0.2">
      <c r="B159" s="392"/>
      <c r="E159" s="311"/>
      <c r="F159" s="311"/>
      <c r="K159" s="314"/>
      <c r="L159" s="314"/>
      <c r="M159" s="314"/>
      <c r="N159" s="314"/>
      <c r="O159" s="314"/>
      <c r="P159" s="314"/>
      <c r="Q159" s="314"/>
      <c r="R159" s="314"/>
    </row>
    <row r="160" spans="2:18" ht="15.75" customHeight="1" x14ac:dyDescent="0.2">
      <c r="B160" s="392"/>
      <c r="E160" s="311"/>
      <c r="F160" s="311"/>
      <c r="K160" s="314"/>
      <c r="L160" s="314"/>
      <c r="M160" s="314"/>
      <c r="N160" s="314"/>
      <c r="O160" s="314"/>
      <c r="P160" s="314"/>
      <c r="Q160" s="314"/>
      <c r="R160" s="314"/>
    </row>
    <row r="161" spans="2:18" ht="15.75" customHeight="1" x14ac:dyDescent="0.2">
      <c r="B161" s="392"/>
      <c r="E161" s="311"/>
      <c r="F161" s="311"/>
      <c r="K161" s="314"/>
      <c r="L161" s="314"/>
      <c r="M161" s="314"/>
      <c r="N161" s="314"/>
      <c r="O161" s="314"/>
      <c r="P161" s="314"/>
      <c r="Q161" s="314"/>
      <c r="R161" s="314"/>
    </row>
    <row r="162" spans="2:18" ht="15.75" customHeight="1" x14ac:dyDescent="0.2">
      <c r="B162" s="392"/>
      <c r="E162" s="311"/>
      <c r="F162" s="311"/>
      <c r="K162" s="314"/>
      <c r="L162" s="314"/>
      <c r="M162" s="314"/>
      <c r="N162" s="314"/>
      <c r="O162" s="314"/>
      <c r="P162" s="314"/>
      <c r="Q162" s="314"/>
      <c r="R162" s="314"/>
    </row>
    <row r="163" spans="2:18" ht="15.75" customHeight="1" x14ac:dyDescent="0.2">
      <c r="B163" s="392"/>
      <c r="E163" s="311"/>
      <c r="F163" s="311"/>
      <c r="K163" s="314"/>
      <c r="L163" s="314"/>
      <c r="M163" s="314"/>
      <c r="N163" s="314"/>
      <c r="O163" s="314"/>
      <c r="P163" s="314"/>
      <c r="Q163" s="314"/>
      <c r="R163" s="314"/>
    </row>
    <row r="164" spans="2:18" ht="15.75" customHeight="1" x14ac:dyDescent="0.2">
      <c r="B164" s="392"/>
      <c r="E164" s="311"/>
      <c r="F164" s="311"/>
      <c r="K164" s="314"/>
      <c r="L164" s="314"/>
      <c r="M164" s="314"/>
      <c r="N164" s="314"/>
      <c r="O164" s="314"/>
      <c r="P164" s="314"/>
      <c r="Q164" s="314"/>
      <c r="R164" s="314"/>
    </row>
    <row r="165" spans="2:18" ht="15.75" customHeight="1" x14ac:dyDescent="0.2">
      <c r="B165" s="392"/>
      <c r="E165" s="311"/>
      <c r="F165" s="311"/>
      <c r="K165" s="314"/>
      <c r="L165" s="314"/>
      <c r="M165" s="314"/>
      <c r="N165" s="314"/>
      <c r="O165" s="314"/>
      <c r="P165" s="314"/>
      <c r="Q165" s="314"/>
      <c r="R165" s="314"/>
    </row>
    <row r="166" spans="2:18" ht="15.75" customHeight="1" x14ac:dyDescent="0.2">
      <c r="B166" s="392"/>
      <c r="E166" s="311"/>
      <c r="F166" s="311"/>
      <c r="K166" s="314"/>
      <c r="L166" s="314"/>
      <c r="M166" s="314"/>
      <c r="N166" s="314"/>
      <c r="O166" s="314"/>
      <c r="P166" s="314"/>
      <c r="Q166" s="314"/>
      <c r="R166" s="314"/>
    </row>
    <row r="167" spans="2:18" ht="15.75" customHeight="1" x14ac:dyDescent="0.2">
      <c r="B167" s="392"/>
      <c r="E167" s="311"/>
      <c r="F167" s="311"/>
      <c r="K167" s="314"/>
      <c r="L167" s="314"/>
      <c r="M167" s="314"/>
      <c r="N167" s="314"/>
      <c r="O167" s="314"/>
      <c r="P167" s="314"/>
      <c r="Q167" s="314"/>
      <c r="R167" s="314"/>
    </row>
    <row r="168" spans="2:18" ht="15.75" customHeight="1" x14ac:dyDescent="0.2">
      <c r="B168" s="392"/>
      <c r="E168" s="311"/>
      <c r="F168" s="311"/>
      <c r="K168" s="314"/>
      <c r="L168" s="314"/>
      <c r="M168" s="314"/>
      <c r="N168" s="314"/>
      <c r="O168" s="314"/>
      <c r="P168" s="314"/>
      <c r="Q168" s="314"/>
      <c r="R168" s="314"/>
    </row>
    <row r="169" spans="2:18" ht="15.75" customHeight="1" x14ac:dyDescent="0.2">
      <c r="B169" s="392"/>
      <c r="E169" s="311"/>
      <c r="F169" s="311"/>
      <c r="K169" s="314"/>
      <c r="L169" s="314"/>
      <c r="M169" s="314"/>
      <c r="N169" s="314"/>
      <c r="O169" s="314"/>
      <c r="P169" s="314"/>
      <c r="Q169" s="314"/>
      <c r="R169" s="314"/>
    </row>
    <row r="170" spans="2:18" ht="15.75" customHeight="1" x14ac:dyDescent="0.2">
      <c r="B170" s="392"/>
      <c r="E170" s="311"/>
      <c r="F170" s="311"/>
      <c r="K170" s="314"/>
      <c r="L170" s="314"/>
      <c r="M170" s="314"/>
      <c r="N170" s="314"/>
      <c r="O170" s="314"/>
      <c r="P170" s="314"/>
      <c r="Q170" s="314"/>
      <c r="R170" s="314"/>
    </row>
    <row r="171" spans="2:18" ht="15.75" customHeight="1" x14ac:dyDescent="0.2">
      <c r="B171" s="392"/>
      <c r="E171" s="311"/>
      <c r="F171" s="311"/>
      <c r="K171" s="314"/>
      <c r="L171" s="314"/>
      <c r="M171" s="314"/>
      <c r="N171" s="314"/>
      <c r="O171" s="314"/>
      <c r="P171" s="314"/>
      <c r="Q171" s="314"/>
      <c r="R171" s="314"/>
    </row>
    <row r="172" spans="2:18" ht="15.75" customHeight="1" x14ac:dyDescent="0.2">
      <c r="B172" s="392"/>
      <c r="E172" s="311"/>
      <c r="F172" s="311"/>
      <c r="K172" s="314"/>
      <c r="L172" s="314"/>
      <c r="M172" s="314"/>
      <c r="N172" s="314"/>
      <c r="O172" s="314"/>
      <c r="P172" s="314"/>
      <c r="Q172" s="314"/>
      <c r="R172" s="314"/>
    </row>
    <row r="173" spans="2:18" ht="15.75" customHeight="1" x14ac:dyDescent="0.2">
      <c r="B173" s="392"/>
      <c r="E173" s="311"/>
      <c r="F173" s="311"/>
      <c r="K173" s="314"/>
      <c r="L173" s="314"/>
      <c r="M173" s="314"/>
      <c r="N173" s="314"/>
      <c r="O173" s="314"/>
      <c r="P173" s="314"/>
      <c r="Q173" s="314"/>
      <c r="R173" s="314"/>
    </row>
    <row r="174" spans="2:18" ht="15.75" customHeight="1" x14ac:dyDescent="0.2">
      <c r="B174" s="392"/>
      <c r="E174" s="311"/>
      <c r="F174" s="311"/>
      <c r="K174" s="314"/>
      <c r="L174" s="314"/>
      <c r="M174" s="314"/>
      <c r="N174" s="314"/>
      <c r="O174" s="314"/>
      <c r="P174" s="314"/>
      <c r="Q174" s="314"/>
      <c r="R174" s="314"/>
    </row>
    <row r="175" spans="2:18" ht="15.75" customHeight="1" x14ac:dyDescent="0.2">
      <c r="B175" s="392"/>
      <c r="E175" s="311"/>
      <c r="F175" s="311"/>
      <c r="K175" s="314"/>
      <c r="L175" s="314"/>
      <c r="M175" s="314"/>
      <c r="N175" s="314"/>
      <c r="O175" s="314"/>
      <c r="P175" s="314"/>
      <c r="Q175" s="314"/>
      <c r="R175" s="314"/>
    </row>
    <row r="176" spans="2:18" ht="15.75" customHeight="1" x14ac:dyDescent="0.2">
      <c r="B176" s="392"/>
      <c r="E176" s="311"/>
      <c r="F176" s="311"/>
      <c r="K176" s="314"/>
      <c r="L176" s="314"/>
      <c r="M176" s="314"/>
      <c r="N176" s="314"/>
      <c r="O176" s="314"/>
      <c r="P176" s="314"/>
      <c r="Q176" s="314"/>
      <c r="R176" s="314"/>
    </row>
    <row r="177" spans="2:18" ht="15.75" customHeight="1" x14ac:dyDescent="0.2">
      <c r="B177" s="392"/>
      <c r="E177" s="311"/>
      <c r="F177" s="311"/>
      <c r="K177" s="314"/>
      <c r="L177" s="314"/>
      <c r="M177" s="314"/>
      <c r="N177" s="314"/>
      <c r="O177" s="314"/>
      <c r="P177" s="314"/>
      <c r="Q177" s="314"/>
      <c r="R177" s="314"/>
    </row>
    <row r="178" spans="2:18" ht="15.75" customHeight="1" x14ac:dyDescent="0.2">
      <c r="B178" s="392"/>
      <c r="E178" s="311"/>
      <c r="F178" s="311"/>
      <c r="K178" s="314"/>
      <c r="L178" s="314"/>
      <c r="M178" s="314"/>
      <c r="N178" s="314"/>
      <c r="O178" s="314"/>
      <c r="P178" s="314"/>
      <c r="Q178" s="314"/>
      <c r="R178" s="314"/>
    </row>
    <row r="179" spans="2:18" ht="15.75" customHeight="1" x14ac:dyDescent="0.2">
      <c r="B179" s="392"/>
      <c r="E179" s="311"/>
      <c r="F179" s="311"/>
      <c r="K179" s="314"/>
      <c r="L179" s="314"/>
      <c r="M179" s="314"/>
      <c r="N179" s="314"/>
      <c r="O179" s="314"/>
      <c r="P179" s="314"/>
      <c r="Q179" s="314"/>
      <c r="R179" s="314"/>
    </row>
    <row r="180" spans="2:18" ht="15.75" customHeight="1" x14ac:dyDescent="0.2">
      <c r="B180" s="392"/>
      <c r="E180" s="311"/>
      <c r="F180" s="311"/>
      <c r="K180" s="314"/>
      <c r="L180" s="314"/>
      <c r="M180" s="314"/>
      <c r="N180" s="314"/>
      <c r="O180" s="314"/>
      <c r="P180" s="314"/>
      <c r="Q180" s="314"/>
      <c r="R180" s="314"/>
    </row>
    <row r="181" spans="2:18" ht="15.75" customHeight="1" x14ac:dyDescent="0.2">
      <c r="B181" s="392"/>
      <c r="E181" s="311"/>
      <c r="F181" s="311"/>
      <c r="K181" s="314"/>
      <c r="L181" s="314"/>
      <c r="M181" s="314"/>
      <c r="N181" s="314"/>
      <c r="O181" s="314"/>
      <c r="P181" s="314"/>
      <c r="Q181" s="314"/>
      <c r="R181" s="314"/>
    </row>
    <row r="182" spans="2:18" ht="15.75" customHeight="1" x14ac:dyDescent="0.2">
      <c r="B182" s="392"/>
      <c r="E182" s="311"/>
      <c r="F182" s="311"/>
      <c r="K182" s="314"/>
      <c r="L182" s="314"/>
      <c r="M182" s="314"/>
      <c r="N182" s="314"/>
      <c r="O182" s="314"/>
      <c r="P182" s="314"/>
      <c r="Q182" s="314"/>
      <c r="R182" s="314"/>
    </row>
    <row r="183" spans="2:18" ht="15.75" customHeight="1" x14ac:dyDescent="0.2">
      <c r="B183" s="392"/>
      <c r="E183" s="311"/>
      <c r="F183" s="311"/>
      <c r="K183" s="314"/>
      <c r="L183" s="314"/>
      <c r="M183" s="314"/>
      <c r="N183" s="314"/>
      <c r="O183" s="314"/>
      <c r="P183" s="314"/>
      <c r="Q183" s="314"/>
      <c r="R183" s="314"/>
    </row>
    <row r="184" spans="2:18" ht="15.75" customHeight="1" x14ac:dyDescent="0.2">
      <c r="B184" s="392"/>
      <c r="E184" s="311"/>
      <c r="F184" s="311"/>
      <c r="K184" s="314"/>
      <c r="L184" s="314"/>
      <c r="M184" s="314"/>
      <c r="N184" s="314"/>
      <c r="O184" s="314"/>
      <c r="P184" s="314"/>
      <c r="Q184" s="314"/>
      <c r="R184" s="314"/>
    </row>
    <row r="185" spans="2:18" ht="15.75" customHeight="1" x14ac:dyDescent="0.2">
      <c r="B185" s="392"/>
      <c r="E185" s="311"/>
      <c r="F185" s="311"/>
      <c r="K185" s="314"/>
      <c r="L185" s="314"/>
      <c r="M185" s="314"/>
      <c r="N185" s="314"/>
      <c r="O185" s="314"/>
      <c r="P185" s="314"/>
      <c r="Q185" s="314"/>
      <c r="R185" s="314"/>
    </row>
    <row r="186" spans="2:18" ht="15.75" customHeight="1" x14ac:dyDescent="0.2">
      <c r="B186" s="392"/>
      <c r="E186" s="311"/>
      <c r="F186" s="311"/>
      <c r="K186" s="314"/>
      <c r="L186" s="314"/>
      <c r="M186" s="314"/>
      <c r="N186" s="314"/>
      <c r="O186" s="314"/>
      <c r="P186" s="314"/>
      <c r="Q186" s="314"/>
      <c r="R186" s="314"/>
    </row>
    <row r="187" spans="2:18" ht="15.75" customHeight="1" x14ac:dyDescent="0.2">
      <c r="B187" s="392"/>
      <c r="E187" s="311"/>
      <c r="F187" s="311"/>
      <c r="K187" s="314"/>
      <c r="L187" s="314"/>
      <c r="M187" s="314"/>
      <c r="N187" s="314"/>
      <c r="O187" s="314"/>
      <c r="P187" s="314"/>
      <c r="Q187" s="314"/>
      <c r="R187" s="314"/>
    </row>
    <row r="188" spans="2:18" ht="15.75" customHeight="1" x14ac:dyDescent="0.2">
      <c r="B188" s="392"/>
      <c r="E188" s="311"/>
      <c r="F188" s="311"/>
      <c r="K188" s="314"/>
      <c r="L188" s="314"/>
      <c r="M188" s="314"/>
      <c r="N188" s="314"/>
      <c r="O188" s="314"/>
      <c r="P188" s="314"/>
      <c r="Q188" s="314"/>
      <c r="R188" s="314"/>
    </row>
    <row r="189" spans="2:18" ht="15.75" customHeight="1" x14ac:dyDescent="0.2">
      <c r="B189" s="392"/>
      <c r="E189" s="311"/>
      <c r="F189" s="311"/>
      <c r="K189" s="314"/>
      <c r="L189" s="314"/>
      <c r="M189" s="314"/>
    </row>
    <row r="190" spans="2:18" ht="15.75" customHeight="1" x14ac:dyDescent="0.2">
      <c r="B190" s="392"/>
    </row>
    <row r="191" spans="2:18" ht="15.75" customHeight="1" x14ac:dyDescent="0.2">
      <c r="B191" s="392"/>
    </row>
    <row r="192" spans="2:18" ht="15.75" customHeight="1" x14ac:dyDescent="0.2">
      <c r="B192" s="392"/>
    </row>
    <row r="193" spans="2:2" ht="15.75" customHeight="1" x14ac:dyDescent="0.2">
      <c r="B193" s="392"/>
    </row>
    <row r="194" spans="2:2" ht="15.75" customHeight="1" x14ac:dyDescent="0.2">
      <c r="B194" s="392"/>
    </row>
    <row r="195" spans="2:2" ht="15.75" customHeight="1" x14ac:dyDescent="0.2">
      <c r="B195" s="392"/>
    </row>
    <row r="196" spans="2:2" ht="15.75" customHeight="1" x14ac:dyDescent="0.2">
      <c r="B196" s="392"/>
    </row>
    <row r="197" spans="2:2" ht="15.75" customHeight="1" x14ac:dyDescent="0.2">
      <c r="B197" s="392"/>
    </row>
    <row r="198" spans="2:2" ht="15.75" customHeight="1" x14ac:dyDescent="0.2">
      <c r="B198" s="392"/>
    </row>
    <row r="199" spans="2:2" ht="15.75" customHeight="1" x14ac:dyDescent="0.2">
      <c r="B199" s="392"/>
    </row>
    <row r="200" spans="2:2" ht="15.75" customHeight="1" x14ac:dyDescent="0.2">
      <c r="B200" s="392"/>
    </row>
    <row r="201" spans="2:2" ht="15.75" customHeight="1" x14ac:dyDescent="0.2">
      <c r="B201" s="392"/>
    </row>
    <row r="202" spans="2:2" ht="15.75" customHeight="1" x14ac:dyDescent="0.2">
      <c r="B202" s="392"/>
    </row>
    <row r="203" spans="2:2" ht="15.75" customHeight="1" x14ac:dyDescent="0.2">
      <c r="B203" s="392"/>
    </row>
    <row r="204" spans="2:2" ht="15.75" customHeight="1" x14ac:dyDescent="0.2">
      <c r="B204" s="392"/>
    </row>
    <row r="205" spans="2:2" ht="15.75" customHeight="1" x14ac:dyDescent="0.2">
      <c r="B205" s="392"/>
    </row>
    <row r="206" spans="2:2" ht="15.75" customHeight="1" x14ac:dyDescent="0.2">
      <c r="B206" s="392"/>
    </row>
    <row r="207" spans="2:2" ht="15.75" customHeight="1" x14ac:dyDescent="0.2">
      <c r="B207" s="392"/>
    </row>
    <row r="208" spans="2:2" ht="15.75" customHeight="1" x14ac:dyDescent="0.2">
      <c r="B208" s="392"/>
    </row>
    <row r="209" spans="2:2" ht="15.75" customHeight="1" x14ac:dyDescent="0.2">
      <c r="B209" s="392"/>
    </row>
    <row r="210" spans="2:2" ht="15.75" customHeight="1" x14ac:dyDescent="0.2">
      <c r="B210" s="392"/>
    </row>
    <row r="211" spans="2:2" ht="15.75" customHeight="1" x14ac:dyDescent="0.2">
      <c r="B211" s="392"/>
    </row>
    <row r="212" spans="2:2" ht="15.75" customHeight="1" x14ac:dyDescent="0.2">
      <c r="B212" s="392"/>
    </row>
    <row r="213" spans="2:2" ht="15.75" customHeight="1" x14ac:dyDescent="0.2">
      <c r="B213" s="392"/>
    </row>
    <row r="214" spans="2:2" ht="15.75" customHeight="1" x14ac:dyDescent="0.2">
      <c r="B214" s="392"/>
    </row>
    <row r="215" spans="2:2" ht="15.75" customHeight="1" x14ac:dyDescent="0.2">
      <c r="B215" s="392"/>
    </row>
    <row r="216" spans="2:2" ht="15.75" customHeight="1" x14ac:dyDescent="0.2">
      <c r="B216" s="392"/>
    </row>
    <row r="217" spans="2:2" ht="15.75" customHeight="1" x14ac:dyDescent="0.2">
      <c r="B217" s="392"/>
    </row>
    <row r="218" spans="2:2" ht="15.75" customHeight="1" x14ac:dyDescent="0.2">
      <c r="B218" s="392"/>
    </row>
    <row r="219" spans="2:2" ht="15.75" customHeight="1" x14ac:dyDescent="0.2">
      <c r="B219" s="392"/>
    </row>
    <row r="220" spans="2:2" ht="15.75" customHeight="1" x14ac:dyDescent="0.2">
      <c r="B220" s="392"/>
    </row>
    <row r="221" spans="2:2" ht="15.75" customHeight="1" x14ac:dyDescent="0.2">
      <c r="B221" s="392"/>
    </row>
    <row r="222" spans="2:2" ht="15.75" customHeight="1" x14ac:dyDescent="0.2">
      <c r="B222" s="392"/>
    </row>
    <row r="223" spans="2:2" ht="15.75" customHeight="1" x14ac:dyDescent="0.2">
      <c r="B223" s="392"/>
    </row>
    <row r="224" spans="2:2" ht="15.75" customHeight="1" x14ac:dyDescent="0.2">
      <c r="B224" s="392"/>
    </row>
    <row r="225" spans="2:2" ht="15.75" customHeight="1" x14ac:dyDescent="0.2">
      <c r="B225" s="392"/>
    </row>
    <row r="226" spans="2:2" ht="15.75" customHeight="1" x14ac:dyDescent="0.2">
      <c r="B226" s="392"/>
    </row>
    <row r="227" spans="2:2" ht="15.75" customHeight="1" x14ac:dyDescent="0.2">
      <c r="B227" s="392"/>
    </row>
    <row r="228" spans="2:2" ht="15.75" customHeight="1" x14ac:dyDescent="0.2">
      <c r="B228" s="392"/>
    </row>
    <row r="229" spans="2:2" ht="15.75" customHeight="1" x14ac:dyDescent="0.2">
      <c r="B229" s="392"/>
    </row>
    <row r="230" spans="2:2" ht="15.75" customHeight="1" x14ac:dyDescent="0.2">
      <c r="B230" s="392"/>
    </row>
    <row r="231" spans="2:2" ht="15.75" customHeight="1" x14ac:dyDescent="0.2"/>
    <row r="232" spans="2:2" ht="15.75" customHeight="1" x14ac:dyDescent="0.2"/>
    <row r="233" spans="2:2" ht="15.75" customHeight="1" x14ac:dyDescent="0.2"/>
    <row r="234" spans="2:2" ht="15.75" customHeight="1" x14ac:dyDescent="0.2"/>
    <row r="235" spans="2:2" ht="15.75" customHeight="1" x14ac:dyDescent="0.2"/>
    <row r="236" spans="2:2" ht="15.75" customHeight="1" x14ac:dyDescent="0.2"/>
    <row r="237" spans="2:2" ht="15.75" customHeight="1" x14ac:dyDescent="0.2"/>
    <row r="238" spans="2:2" ht="15.75" customHeight="1" x14ac:dyDescent="0.2"/>
    <row r="239" spans="2:2" ht="15.75" customHeight="1" x14ac:dyDescent="0.2"/>
    <row r="240" spans="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sheetData>
  <autoFilter ref="A1:I226" xr:uid="{00000000-0009-0000-0000-000002000000}"/>
  <mergeCells count="46">
    <mergeCell ref="W121:X121"/>
    <mergeCell ref="W122:X122"/>
    <mergeCell ref="W123:X123"/>
    <mergeCell ref="W124:X124"/>
    <mergeCell ref="W119:X119"/>
    <mergeCell ref="W120:X120"/>
    <mergeCell ref="W116:X116"/>
    <mergeCell ref="W117:X117"/>
    <mergeCell ref="W118:X118"/>
    <mergeCell ref="Q3:Q4"/>
    <mergeCell ref="R3:R4"/>
    <mergeCell ref="S3:S4"/>
    <mergeCell ref="T3:T4"/>
    <mergeCell ref="U3:U4"/>
    <mergeCell ref="V3:V4"/>
    <mergeCell ref="W3:W4"/>
    <mergeCell ref="X3:X4"/>
    <mergeCell ref="Y3:Y4"/>
    <mergeCell ref="Z3:Z4"/>
    <mergeCell ref="W1:X1"/>
    <mergeCell ref="Q2:S2"/>
    <mergeCell ref="T2:U2"/>
    <mergeCell ref="X2:Z2"/>
    <mergeCell ref="J3:J4"/>
    <mergeCell ref="K3:K4"/>
    <mergeCell ref="L3:L4"/>
    <mergeCell ref="W6:W7"/>
    <mergeCell ref="X6:X7"/>
    <mergeCell ref="O3:O4"/>
    <mergeCell ref="P3:P4"/>
    <mergeCell ref="O6:O7"/>
    <mergeCell ref="M3:M4"/>
    <mergeCell ref="N3:N4"/>
    <mergeCell ref="K6:K7"/>
    <mergeCell ref="L6:L7"/>
    <mergeCell ref="M6:M7"/>
    <mergeCell ref="N6:N7"/>
    <mergeCell ref="Y6:Y7"/>
    <mergeCell ref="Z6:Z7"/>
    <mergeCell ref="P6:P7"/>
    <mergeCell ref="Q6:Q7"/>
    <mergeCell ref="R6:R7"/>
    <mergeCell ref="S6:S7"/>
    <mergeCell ref="T6:T7"/>
    <mergeCell ref="U6:U7"/>
    <mergeCell ref="V6:V7"/>
  </mergeCells>
  <conditionalFormatting sqref="AD9:AE9">
    <cfRule type="expression" dxfId="3" priority="1" stopIfTrue="1">
      <formula>($D9+$E9)&lt;&gt;0</formula>
    </cfRule>
  </conditionalFormatting>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outlinePr summaryBelow="0" summaryRight="0"/>
  </sheetPr>
  <dimension ref="A1:G1000"/>
  <sheetViews>
    <sheetView view="pageBreakPreview" topLeftCell="A107" zoomScale="60" zoomScaleNormal="100" workbookViewId="0">
      <selection activeCell="D114" sqref="D114"/>
    </sheetView>
  </sheetViews>
  <sheetFormatPr baseColWidth="10" defaultColWidth="11.1640625" defaultRowHeight="15" customHeight="1" x14ac:dyDescent="0.25"/>
  <cols>
    <col min="1" max="1" width="8.6640625" style="501" customWidth="1"/>
    <col min="2" max="2" width="28" style="501" customWidth="1"/>
    <col min="3" max="3" width="124.5" style="501" customWidth="1"/>
    <col min="4" max="4" width="107.5" style="501" customWidth="1"/>
    <col min="5" max="26" width="11.1640625" style="501" customWidth="1"/>
    <col min="27" max="16384" width="11.1640625" style="501"/>
  </cols>
  <sheetData>
    <row r="1" spans="1:7" ht="15" customHeight="1" x14ac:dyDescent="0.25">
      <c r="A1" s="393" t="s">
        <v>479</v>
      </c>
      <c r="B1" s="309"/>
      <c r="C1" s="309"/>
      <c r="D1" s="309"/>
      <c r="E1" s="309"/>
      <c r="F1" s="309"/>
      <c r="G1" s="309"/>
    </row>
    <row r="2" spans="1:7" ht="15" customHeight="1" x14ac:dyDescent="0.25">
      <c r="A2" s="394"/>
      <c r="B2" s="309"/>
      <c r="C2" s="309"/>
      <c r="D2" s="309"/>
      <c r="E2" s="309"/>
      <c r="F2" s="309"/>
      <c r="G2" s="309"/>
    </row>
    <row r="3" spans="1:7" ht="15" customHeight="1" x14ac:dyDescent="0.25">
      <c r="A3" s="595" t="s">
        <v>480</v>
      </c>
      <c r="B3" s="596"/>
      <c r="C3" s="596"/>
      <c r="D3" s="597"/>
      <c r="E3" s="309"/>
      <c r="F3" s="309"/>
      <c r="G3" s="309"/>
    </row>
    <row r="4" spans="1:7" ht="15" customHeight="1" x14ac:dyDescent="0.25">
      <c r="A4" s="502" t="s">
        <v>481</v>
      </c>
      <c r="B4" s="502" t="s">
        <v>482</v>
      </c>
      <c r="C4" s="502" t="s">
        <v>483</v>
      </c>
      <c r="D4" s="502" t="s">
        <v>484</v>
      </c>
      <c r="E4" s="309"/>
      <c r="F4" s="309"/>
      <c r="G4" s="309"/>
    </row>
    <row r="5" spans="1:7" ht="73" customHeight="1" x14ac:dyDescent="0.25">
      <c r="A5" s="503" t="s">
        <v>485</v>
      </c>
      <c r="B5" s="504" t="s">
        <v>486</v>
      </c>
      <c r="C5" s="504" t="s">
        <v>487</v>
      </c>
      <c r="D5" s="504" t="s">
        <v>488</v>
      </c>
      <c r="E5" s="309"/>
      <c r="F5" s="309"/>
      <c r="G5" s="309"/>
    </row>
    <row r="6" spans="1:7" ht="84" customHeight="1" x14ac:dyDescent="0.25">
      <c r="A6" s="503" t="s">
        <v>489</v>
      </c>
      <c r="B6" s="504" t="s">
        <v>490</v>
      </c>
      <c r="C6" s="504" t="s">
        <v>491</v>
      </c>
      <c r="D6" s="504" t="s">
        <v>492</v>
      </c>
      <c r="E6" s="309"/>
      <c r="F6" s="309"/>
      <c r="G6" s="309"/>
    </row>
    <row r="7" spans="1:7" ht="378" x14ac:dyDescent="0.25">
      <c r="A7" s="503" t="s">
        <v>493</v>
      </c>
      <c r="B7" s="504" t="s">
        <v>494</v>
      </c>
      <c r="C7" s="504" t="s">
        <v>980</v>
      </c>
      <c r="D7" s="504" t="s">
        <v>981</v>
      </c>
      <c r="E7" s="309"/>
      <c r="F7" s="309"/>
      <c r="G7" s="309"/>
    </row>
    <row r="8" spans="1:7" ht="143" customHeight="1" x14ac:dyDescent="0.25">
      <c r="A8" s="503" t="s">
        <v>495</v>
      </c>
      <c r="B8" s="504" t="s">
        <v>496</v>
      </c>
      <c r="C8" s="504" t="s">
        <v>982</v>
      </c>
      <c r="D8" s="504" t="s">
        <v>983</v>
      </c>
      <c r="E8" s="309"/>
      <c r="F8" s="309"/>
      <c r="G8" s="309"/>
    </row>
    <row r="9" spans="1:7" ht="105" x14ac:dyDescent="0.25">
      <c r="A9" s="503" t="s">
        <v>497</v>
      </c>
      <c r="B9" s="504" t="s">
        <v>498</v>
      </c>
      <c r="C9" s="505" t="s">
        <v>984</v>
      </c>
      <c r="D9" s="505" t="s">
        <v>985</v>
      </c>
      <c r="E9" s="309"/>
      <c r="F9" s="309"/>
      <c r="G9" s="309"/>
    </row>
    <row r="10" spans="1:7" ht="21" x14ac:dyDescent="0.25">
      <c r="A10" s="503" t="s">
        <v>499</v>
      </c>
      <c r="B10" s="504" t="s">
        <v>500</v>
      </c>
      <c r="C10" s="505" t="s">
        <v>986</v>
      </c>
      <c r="D10" s="505" t="s">
        <v>987</v>
      </c>
      <c r="E10" s="309"/>
      <c r="F10" s="309"/>
      <c r="G10" s="309"/>
    </row>
    <row r="11" spans="1:7" ht="49" customHeight="1" x14ac:dyDescent="0.25">
      <c r="A11" s="503" t="s">
        <v>501</v>
      </c>
      <c r="B11" s="504" t="s">
        <v>502</v>
      </c>
      <c r="C11" s="504" t="s">
        <v>503</v>
      </c>
      <c r="D11" s="504" t="s">
        <v>504</v>
      </c>
      <c r="E11" s="309"/>
      <c r="F11" s="309"/>
      <c r="G11" s="309"/>
    </row>
    <row r="12" spans="1:7" ht="110" x14ac:dyDescent="0.25">
      <c r="A12" s="503" t="s">
        <v>505</v>
      </c>
      <c r="B12" s="504" t="s">
        <v>506</v>
      </c>
      <c r="C12" s="506" t="s">
        <v>507</v>
      </c>
      <c r="D12" s="504" t="s">
        <v>508</v>
      </c>
      <c r="E12" s="309"/>
      <c r="F12" s="309"/>
      <c r="G12" s="309"/>
    </row>
    <row r="13" spans="1:7" ht="84" x14ac:dyDescent="0.25">
      <c r="A13" s="503" t="s">
        <v>509</v>
      </c>
      <c r="B13" s="504" t="s">
        <v>510</v>
      </c>
      <c r="C13" s="507" t="s">
        <v>988</v>
      </c>
      <c r="D13" s="504" t="s">
        <v>511</v>
      </c>
      <c r="E13" s="309"/>
      <c r="F13" s="309"/>
      <c r="G13" s="309"/>
    </row>
    <row r="14" spans="1:7" ht="42" x14ac:dyDescent="0.25">
      <c r="A14" s="503" t="s">
        <v>512</v>
      </c>
      <c r="B14" s="504" t="s">
        <v>513</v>
      </c>
      <c r="C14" s="504" t="s">
        <v>514</v>
      </c>
      <c r="D14" s="504" t="s">
        <v>515</v>
      </c>
      <c r="E14" s="309"/>
      <c r="F14" s="309"/>
      <c r="G14" s="309"/>
    </row>
    <row r="15" spans="1:7" ht="42" x14ac:dyDescent="0.25">
      <c r="A15" s="503" t="s">
        <v>516</v>
      </c>
      <c r="B15" s="504" t="s">
        <v>517</v>
      </c>
      <c r="C15" s="504" t="s">
        <v>989</v>
      </c>
      <c r="D15" s="504" t="s">
        <v>518</v>
      </c>
      <c r="E15" s="309"/>
      <c r="F15" s="309"/>
      <c r="G15" s="309"/>
    </row>
    <row r="16" spans="1:7" ht="46" customHeight="1" x14ac:dyDescent="0.25">
      <c r="A16" s="503" t="s">
        <v>519</v>
      </c>
      <c r="B16" s="504" t="s">
        <v>520</v>
      </c>
      <c r="C16" s="507" t="s">
        <v>990</v>
      </c>
      <c r="D16" s="504" t="s">
        <v>991</v>
      </c>
      <c r="E16" s="309"/>
      <c r="F16" s="309"/>
      <c r="G16" s="309"/>
    </row>
    <row r="17" spans="1:7" ht="42" x14ac:dyDescent="0.25">
      <c r="A17" s="508"/>
      <c r="B17" s="504" t="s">
        <v>521</v>
      </c>
      <c r="C17" s="507" t="s">
        <v>992</v>
      </c>
      <c r="D17" s="504" t="s">
        <v>993</v>
      </c>
      <c r="E17" s="309"/>
      <c r="F17" s="309"/>
      <c r="G17" s="309"/>
    </row>
    <row r="18" spans="1:7" ht="84" x14ac:dyDescent="0.25">
      <c r="A18" s="503" t="s">
        <v>522</v>
      </c>
      <c r="B18" s="504" t="s">
        <v>523</v>
      </c>
      <c r="C18" s="504" t="s">
        <v>994</v>
      </c>
      <c r="D18" s="504" t="s">
        <v>995</v>
      </c>
      <c r="E18" s="309"/>
      <c r="F18" s="309"/>
      <c r="G18" s="309"/>
    </row>
    <row r="19" spans="1:7" ht="84" x14ac:dyDescent="0.25">
      <c r="A19" s="503" t="s">
        <v>524</v>
      </c>
      <c r="B19" s="504" t="s">
        <v>525</v>
      </c>
      <c r="C19" s="504" t="s">
        <v>996</v>
      </c>
      <c r="D19" s="504" t="s">
        <v>997</v>
      </c>
      <c r="E19" s="309"/>
      <c r="F19" s="309"/>
      <c r="G19" s="309"/>
    </row>
    <row r="20" spans="1:7" ht="185" customHeight="1" x14ac:dyDescent="0.25">
      <c r="A20" s="503" t="s">
        <v>526</v>
      </c>
      <c r="B20" s="509" t="s">
        <v>527</v>
      </c>
      <c r="C20" s="504" t="s">
        <v>998</v>
      </c>
      <c r="D20" s="509" t="s">
        <v>999</v>
      </c>
      <c r="E20" s="309"/>
      <c r="F20" s="309"/>
      <c r="G20" s="309"/>
    </row>
    <row r="21" spans="1:7" ht="107" customHeight="1" x14ac:dyDescent="0.25">
      <c r="A21" s="503" t="s">
        <v>528</v>
      </c>
      <c r="B21" s="504" t="s">
        <v>529</v>
      </c>
      <c r="C21" s="504" t="s">
        <v>1000</v>
      </c>
      <c r="D21" s="504" t="s">
        <v>1001</v>
      </c>
      <c r="E21" s="309"/>
      <c r="F21" s="309"/>
      <c r="G21" s="309"/>
    </row>
    <row r="22" spans="1:7" ht="74" customHeight="1" x14ac:dyDescent="0.25">
      <c r="A22" s="503" t="s">
        <v>530</v>
      </c>
      <c r="B22" s="504" t="s">
        <v>531</v>
      </c>
      <c r="C22" s="507" t="s">
        <v>1002</v>
      </c>
      <c r="D22" s="504" t="s">
        <v>1003</v>
      </c>
      <c r="E22" s="309"/>
      <c r="F22" s="309"/>
      <c r="G22" s="309"/>
    </row>
    <row r="23" spans="1:7" ht="60" customHeight="1" x14ac:dyDescent="0.25">
      <c r="A23" s="503" t="s">
        <v>532</v>
      </c>
      <c r="B23" s="504" t="s">
        <v>533</v>
      </c>
      <c r="C23" s="507" t="s">
        <v>1004</v>
      </c>
      <c r="D23" s="504" t="s">
        <v>1005</v>
      </c>
      <c r="E23" s="309"/>
      <c r="F23" s="309"/>
      <c r="G23" s="309"/>
    </row>
    <row r="24" spans="1:7" ht="54" customHeight="1" x14ac:dyDescent="0.25">
      <c r="A24" s="503" t="s">
        <v>534</v>
      </c>
      <c r="B24" s="504" t="s">
        <v>535</v>
      </c>
      <c r="C24" s="507" t="s">
        <v>1006</v>
      </c>
      <c r="D24" s="504" t="s">
        <v>1007</v>
      </c>
      <c r="E24" s="309"/>
      <c r="F24" s="309"/>
      <c r="G24" s="309"/>
    </row>
    <row r="25" spans="1:7" ht="101" customHeight="1" x14ac:dyDescent="0.25">
      <c r="A25" s="503" t="s">
        <v>536</v>
      </c>
      <c r="B25" s="504" t="s">
        <v>537</v>
      </c>
      <c r="C25" s="507" t="s">
        <v>538</v>
      </c>
      <c r="D25" s="504" t="s">
        <v>539</v>
      </c>
      <c r="E25" s="309"/>
      <c r="F25" s="309"/>
      <c r="G25" s="309"/>
    </row>
    <row r="26" spans="1:7" ht="86" customHeight="1" x14ac:dyDescent="0.25">
      <c r="A26" s="503" t="s">
        <v>540</v>
      </c>
      <c r="B26" s="504" t="s">
        <v>541</v>
      </c>
      <c r="C26" s="504" t="s">
        <v>1008</v>
      </c>
      <c r="D26" s="504" t="s">
        <v>1009</v>
      </c>
      <c r="E26" s="309"/>
      <c r="F26" s="309"/>
      <c r="G26" s="309"/>
    </row>
    <row r="27" spans="1:7" ht="77" customHeight="1" x14ac:dyDescent="0.25">
      <c r="A27" s="503" t="s">
        <v>542</v>
      </c>
      <c r="B27" s="504" t="s">
        <v>543</v>
      </c>
      <c r="C27" s="504" t="s">
        <v>1010</v>
      </c>
      <c r="D27" s="504" t="s">
        <v>1011</v>
      </c>
      <c r="E27" s="309"/>
      <c r="F27" s="309"/>
      <c r="G27" s="309"/>
    </row>
    <row r="28" spans="1:7" ht="130" customHeight="1" x14ac:dyDescent="0.25">
      <c r="A28" s="503" t="s">
        <v>544</v>
      </c>
      <c r="B28" s="504" t="s">
        <v>545</v>
      </c>
      <c r="C28" s="507" t="s">
        <v>1012</v>
      </c>
      <c r="D28" s="504" t="s">
        <v>546</v>
      </c>
      <c r="E28" s="309"/>
      <c r="F28" s="309"/>
      <c r="G28" s="309"/>
    </row>
    <row r="29" spans="1:7" ht="126" x14ac:dyDescent="0.25">
      <c r="A29" s="503" t="s">
        <v>547</v>
      </c>
      <c r="B29" s="504" t="s">
        <v>1013</v>
      </c>
      <c r="C29" s="507" t="s">
        <v>1014</v>
      </c>
      <c r="D29" s="504" t="s">
        <v>1015</v>
      </c>
      <c r="E29" s="309"/>
      <c r="F29" s="309"/>
      <c r="G29" s="309"/>
    </row>
    <row r="30" spans="1:7" ht="74" customHeight="1" x14ac:dyDescent="0.25">
      <c r="A30" s="503" t="s">
        <v>548</v>
      </c>
      <c r="B30" s="504" t="s">
        <v>549</v>
      </c>
      <c r="C30" s="504" t="s">
        <v>550</v>
      </c>
      <c r="D30" s="504" t="s">
        <v>1016</v>
      </c>
      <c r="E30" s="309"/>
      <c r="F30" s="309"/>
      <c r="G30" s="309"/>
    </row>
    <row r="31" spans="1:7" ht="44" customHeight="1" x14ac:dyDescent="0.25">
      <c r="A31" s="503" t="s">
        <v>551</v>
      </c>
      <c r="B31" s="504" t="s">
        <v>552</v>
      </c>
      <c r="C31" s="504" t="s">
        <v>1017</v>
      </c>
      <c r="D31" s="504" t="s">
        <v>1018</v>
      </c>
      <c r="E31" s="309"/>
      <c r="F31" s="309"/>
      <c r="G31" s="309"/>
    </row>
    <row r="32" spans="1:7" ht="122" customHeight="1" x14ac:dyDescent="0.25">
      <c r="A32" s="503" t="s">
        <v>553</v>
      </c>
      <c r="B32" s="504" t="s">
        <v>554</v>
      </c>
      <c r="C32" s="507" t="s">
        <v>555</v>
      </c>
      <c r="D32" s="504" t="s">
        <v>556</v>
      </c>
      <c r="E32" s="309"/>
      <c r="F32" s="309"/>
      <c r="G32" s="309"/>
    </row>
    <row r="33" spans="1:7" ht="99" customHeight="1" x14ac:dyDescent="0.25">
      <c r="A33" s="503" t="s">
        <v>557</v>
      </c>
      <c r="B33" s="504" t="s">
        <v>558</v>
      </c>
      <c r="C33" s="507" t="s">
        <v>559</v>
      </c>
      <c r="D33" s="504" t="s">
        <v>560</v>
      </c>
      <c r="E33" s="309"/>
      <c r="F33" s="309"/>
      <c r="G33" s="309"/>
    </row>
    <row r="34" spans="1:7" ht="147" x14ac:dyDescent="0.25">
      <c r="A34" s="503" t="s">
        <v>561</v>
      </c>
      <c r="B34" s="504" t="s">
        <v>1019</v>
      </c>
      <c r="C34" s="507" t="s">
        <v>562</v>
      </c>
      <c r="D34" s="510" t="s">
        <v>563</v>
      </c>
      <c r="E34" s="309"/>
      <c r="F34" s="309"/>
      <c r="G34" s="309"/>
    </row>
    <row r="35" spans="1:7" ht="267" customHeight="1" x14ac:dyDescent="0.25">
      <c r="A35" s="503" t="s">
        <v>564</v>
      </c>
      <c r="B35" s="511" t="s">
        <v>565</v>
      </c>
      <c r="C35" s="504" t="s">
        <v>566</v>
      </c>
      <c r="D35" s="504" t="s">
        <v>1020</v>
      </c>
      <c r="E35" s="309"/>
      <c r="F35" s="309"/>
      <c r="G35" s="309"/>
    </row>
    <row r="36" spans="1:7" ht="142" customHeight="1" x14ac:dyDescent="0.25">
      <c r="A36" s="503" t="s">
        <v>567</v>
      </c>
      <c r="B36" s="504" t="s">
        <v>568</v>
      </c>
      <c r="C36" s="507" t="s">
        <v>569</v>
      </c>
      <c r="D36" s="512" t="s">
        <v>570</v>
      </c>
      <c r="E36" s="309"/>
      <c r="F36" s="309"/>
      <c r="G36" s="309"/>
    </row>
    <row r="37" spans="1:7" ht="309" customHeight="1" x14ac:dyDescent="0.25">
      <c r="A37" s="503" t="s">
        <v>571</v>
      </c>
      <c r="B37" s="511" t="s">
        <v>572</v>
      </c>
      <c r="C37" s="504" t="s">
        <v>573</v>
      </c>
      <c r="D37" s="504" t="s">
        <v>574</v>
      </c>
      <c r="E37" s="309"/>
      <c r="F37" s="309"/>
      <c r="G37" s="309"/>
    </row>
    <row r="38" spans="1:7" ht="21" x14ac:dyDescent="0.25">
      <c r="A38" s="309"/>
      <c r="B38" s="309"/>
      <c r="C38" s="309"/>
      <c r="D38" s="309"/>
      <c r="E38" s="309"/>
      <c r="F38" s="309"/>
      <c r="G38" s="309"/>
    </row>
    <row r="39" spans="1:7" ht="15" customHeight="1" x14ac:dyDescent="0.25">
      <c r="A39" s="595" t="s">
        <v>575</v>
      </c>
      <c r="B39" s="596"/>
      <c r="C39" s="596"/>
      <c r="D39" s="597"/>
      <c r="E39" s="309"/>
      <c r="F39" s="309"/>
      <c r="G39" s="309"/>
    </row>
    <row r="40" spans="1:7" ht="15" customHeight="1" x14ac:dyDescent="0.25">
      <c r="A40" s="502" t="s">
        <v>576</v>
      </c>
      <c r="B40" s="502" t="s">
        <v>482</v>
      </c>
      <c r="C40" s="502" t="s">
        <v>483</v>
      </c>
      <c r="D40" s="502" t="s">
        <v>577</v>
      </c>
      <c r="E40" s="309"/>
      <c r="F40" s="309"/>
      <c r="G40" s="309"/>
    </row>
    <row r="41" spans="1:7" ht="138" customHeight="1" x14ac:dyDescent="0.25">
      <c r="A41" s="503" t="s">
        <v>578</v>
      </c>
      <c r="B41" s="504" t="s">
        <v>579</v>
      </c>
      <c r="C41" s="513" t="s">
        <v>1021</v>
      </c>
      <c r="D41" s="504" t="s">
        <v>1022</v>
      </c>
      <c r="E41" s="309"/>
      <c r="F41" s="309"/>
      <c r="G41" s="309"/>
    </row>
    <row r="42" spans="1:7" ht="88" customHeight="1" x14ac:dyDescent="0.25">
      <c r="A42" s="503" t="s">
        <v>580</v>
      </c>
      <c r="B42" s="504" t="s">
        <v>581</v>
      </c>
      <c r="C42" s="504" t="s">
        <v>1023</v>
      </c>
      <c r="D42" s="504" t="s">
        <v>1024</v>
      </c>
      <c r="E42" s="309"/>
      <c r="F42" s="309"/>
      <c r="G42" s="309"/>
    </row>
    <row r="43" spans="1:7" ht="98" customHeight="1" x14ac:dyDescent="0.25">
      <c r="A43" s="503" t="s">
        <v>582</v>
      </c>
      <c r="B43" s="504" t="s">
        <v>583</v>
      </c>
      <c r="C43" s="504" t="s">
        <v>1025</v>
      </c>
      <c r="D43" s="504" t="s">
        <v>1026</v>
      </c>
      <c r="E43" s="309"/>
      <c r="F43" s="309"/>
      <c r="G43" s="309"/>
    </row>
    <row r="44" spans="1:7" ht="67" customHeight="1" x14ac:dyDescent="0.25">
      <c r="A44" s="503" t="s">
        <v>584</v>
      </c>
      <c r="B44" s="504" t="s">
        <v>585</v>
      </c>
      <c r="C44" s="504" t="s">
        <v>586</v>
      </c>
      <c r="D44" s="504" t="s">
        <v>587</v>
      </c>
      <c r="E44" s="309"/>
      <c r="F44" s="309"/>
      <c r="G44" s="309"/>
    </row>
    <row r="45" spans="1:7" ht="132" customHeight="1" x14ac:dyDescent="0.25">
      <c r="A45" s="503" t="s">
        <v>588</v>
      </c>
      <c r="B45" s="504" t="s">
        <v>589</v>
      </c>
      <c r="C45" s="504" t="s">
        <v>590</v>
      </c>
      <c r="D45" s="514" t="s">
        <v>591</v>
      </c>
      <c r="E45" s="309"/>
      <c r="F45" s="309"/>
      <c r="G45" s="309"/>
    </row>
    <row r="46" spans="1:7" ht="129" customHeight="1" x14ac:dyDescent="0.25">
      <c r="A46" s="503" t="s">
        <v>592</v>
      </c>
      <c r="B46" s="504" t="s">
        <v>593</v>
      </c>
      <c r="C46" s="504" t="s">
        <v>594</v>
      </c>
      <c r="D46" s="504" t="s">
        <v>595</v>
      </c>
      <c r="E46" s="309"/>
      <c r="F46" s="309"/>
      <c r="G46" s="309"/>
    </row>
    <row r="47" spans="1:7" ht="95" customHeight="1" x14ac:dyDescent="0.25">
      <c r="A47" s="503" t="s">
        <v>596</v>
      </c>
      <c r="B47" s="504" t="s">
        <v>597</v>
      </c>
      <c r="C47" s="504" t="s">
        <v>598</v>
      </c>
      <c r="D47" s="504" t="s">
        <v>599</v>
      </c>
      <c r="E47" s="309"/>
      <c r="F47" s="309"/>
      <c r="G47" s="309"/>
    </row>
    <row r="48" spans="1:7" ht="111" customHeight="1" x14ac:dyDescent="0.25">
      <c r="A48" s="503" t="s">
        <v>600</v>
      </c>
      <c r="B48" s="504" t="s">
        <v>601</v>
      </c>
      <c r="C48" s="504" t="s">
        <v>1027</v>
      </c>
      <c r="D48" s="504" t="s">
        <v>1028</v>
      </c>
      <c r="E48" s="309"/>
      <c r="F48" s="309"/>
      <c r="G48" s="309"/>
    </row>
    <row r="49" spans="1:7" ht="84" customHeight="1" x14ac:dyDescent="0.25">
      <c r="A49" s="503" t="s">
        <v>602</v>
      </c>
      <c r="B49" s="504" t="s">
        <v>603</v>
      </c>
      <c r="C49" s="504" t="s">
        <v>604</v>
      </c>
      <c r="D49" s="504" t="s">
        <v>605</v>
      </c>
      <c r="E49" s="309"/>
      <c r="F49" s="309"/>
      <c r="G49" s="309"/>
    </row>
    <row r="50" spans="1:7" ht="79" customHeight="1" x14ac:dyDescent="0.25">
      <c r="A50" s="503" t="s">
        <v>606</v>
      </c>
      <c r="B50" s="504" t="s">
        <v>607</v>
      </c>
      <c r="C50" s="504" t="s">
        <v>1029</v>
      </c>
      <c r="D50" s="515" t="s">
        <v>1030</v>
      </c>
      <c r="E50" s="309"/>
      <c r="F50" s="309"/>
      <c r="G50" s="309"/>
    </row>
    <row r="51" spans="1:7" ht="179" customHeight="1" x14ac:dyDescent="0.25">
      <c r="A51" s="503" t="s">
        <v>608</v>
      </c>
      <c r="B51" s="504" t="s">
        <v>609</v>
      </c>
      <c r="C51" s="504" t="s">
        <v>610</v>
      </c>
      <c r="D51" s="516" t="s">
        <v>611</v>
      </c>
      <c r="E51" s="309"/>
      <c r="F51" s="309"/>
      <c r="G51" s="309"/>
    </row>
    <row r="52" spans="1:7" ht="186" customHeight="1" x14ac:dyDescent="0.25">
      <c r="A52" s="503" t="s">
        <v>612</v>
      </c>
      <c r="B52" s="504" t="s">
        <v>227</v>
      </c>
      <c r="C52" s="504" t="s">
        <v>1031</v>
      </c>
      <c r="D52" s="504" t="s">
        <v>1032</v>
      </c>
      <c r="E52" s="309"/>
      <c r="F52" s="309"/>
      <c r="G52" s="309"/>
    </row>
    <row r="53" spans="1:7" ht="132" customHeight="1" x14ac:dyDescent="0.25">
      <c r="A53" s="503" t="s">
        <v>613</v>
      </c>
      <c r="B53" s="504" t="s">
        <v>614</v>
      </c>
      <c r="C53" s="507" t="s">
        <v>615</v>
      </c>
      <c r="D53" s="504" t="s">
        <v>616</v>
      </c>
      <c r="E53" s="309"/>
      <c r="F53" s="309"/>
      <c r="G53" s="309"/>
    </row>
    <row r="54" spans="1:7" ht="92" customHeight="1" x14ac:dyDescent="0.25">
      <c r="A54" s="503" t="s">
        <v>617</v>
      </c>
      <c r="B54" s="504" t="s">
        <v>618</v>
      </c>
      <c r="C54" s="507" t="s">
        <v>619</v>
      </c>
      <c r="D54" s="516" t="s">
        <v>620</v>
      </c>
      <c r="E54" s="309"/>
      <c r="F54" s="309"/>
      <c r="G54" s="309"/>
    </row>
    <row r="55" spans="1:7" ht="135" customHeight="1" x14ac:dyDescent="0.25">
      <c r="A55" s="503" t="s">
        <v>621</v>
      </c>
      <c r="B55" s="504" t="s">
        <v>622</v>
      </c>
      <c r="C55" s="507" t="s">
        <v>1033</v>
      </c>
      <c r="D55" s="504" t="s">
        <v>1034</v>
      </c>
      <c r="E55" s="309"/>
      <c r="F55" s="309"/>
      <c r="G55" s="309"/>
    </row>
    <row r="56" spans="1:7" ht="159" customHeight="1" x14ac:dyDescent="0.25">
      <c r="A56" s="503" t="s">
        <v>623</v>
      </c>
      <c r="B56" s="504" t="s">
        <v>624</v>
      </c>
      <c r="C56" s="504" t="s">
        <v>625</v>
      </c>
      <c r="D56" s="504" t="s">
        <v>626</v>
      </c>
      <c r="E56" s="309"/>
      <c r="F56" s="309"/>
      <c r="G56" s="309"/>
    </row>
    <row r="57" spans="1:7" ht="169" customHeight="1" x14ac:dyDescent="0.25">
      <c r="A57" s="503" t="s">
        <v>627</v>
      </c>
      <c r="B57" s="511" t="s">
        <v>628</v>
      </c>
      <c r="C57" s="504" t="s">
        <v>629</v>
      </c>
      <c r="D57" s="504" t="s">
        <v>630</v>
      </c>
      <c r="E57" s="309"/>
      <c r="F57" s="309"/>
      <c r="G57" s="309"/>
    </row>
    <row r="58" spans="1:7" ht="147" customHeight="1" x14ac:dyDescent="0.25">
      <c r="A58" s="503" t="s">
        <v>631</v>
      </c>
      <c r="B58" s="509" t="s">
        <v>632</v>
      </c>
      <c r="C58" s="504" t="s">
        <v>633</v>
      </c>
      <c r="D58" s="504" t="s">
        <v>634</v>
      </c>
      <c r="E58" s="309"/>
      <c r="F58" s="309"/>
      <c r="G58" s="309"/>
    </row>
    <row r="59" spans="1:7" ht="179" customHeight="1" x14ac:dyDescent="0.25">
      <c r="A59" s="503" t="s">
        <v>635</v>
      </c>
      <c r="B59" s="504" t="s">
        <v>568</v>
      </c>
      <c r="C59" s="504" t="s">
        <v>636</v>
      </c>
      <c r="D59" s="515" t="s">
        <v>637</v>
      </c>
      <c r="E59" s="309"/>
      <c r="F59" s="309"/>
      <c r="G59" s="309"/>
    </row>
    <row r="60" spans="1:7" ht="126" x14ac:dyDescent="0.25">
      <c r="A60" s="503" t="s">
        <v>638</v>
      </c>
      <c r="B60" s="511" t="s">
        <v>572</v>
      </c>
      <c r="C60" s="504" t="s">
        <v>639</v>
      </c>
      <c r="D60" s="504" t="s">
        <v>640</v>
      </c>
      <c r="E60" s="309"/>
      <c r="F60" s="309"/>
      <c r="G60" s="309"/>
    </row>
    <row r="61" spans="1:7" ht="101" customHeight="1" x14ac:dyDescent="0.25">
      <c r="A61" s="503" t="s">
        <v>641</v>
      </c>
      <c r="B61" s="511" t="s">
        <v>565</v>
      </c>
      <c r="C61" s="504" t="s">
        <v>1035</v>
      </c>
      <c r="D61" s="504" t="s">
        <v>1036</v>
      </c>
      <c r="E61" s="309"/>
      <c r="F61" s="309"/>
      <c r="G61" s="309"/>
    </row>
    <row r="62" spans="1:7" ht="96" customHeight="1" x14ac:dyDescent="0.25">
      <c r="A62" s="503" t="s">
        <v>642</v>
      </c>
      <c r="B62" s="511" t="s">
        <v>643</v>
      </c>
      <c r="C62" s="504" t="s">
        <v>1037</v>
      </c>
      <c r="D62" s="504" t="s">
        <v>1038</v>
      </c>
      <c r="E62" s="309"/>
      <c r="F62" s="309"/>
      <c r="G62" s="309"/>
    </row>
    <row r="63" spans="1:7" ht="116" customHeight="1" x14ac:dyDescent="0.25">
      <c r="A63" s="503" t="s">
        <v>644</v>
      </c>
      <c r="B63" s="511" t="s">
        <v>645</v>
      </c>
      <c r="C63" s="504" t="s">
        <v>1039</v>
      </c>
      <c r="D63" s="504" t="s">
        <v>1040</v>
      </c>
      <c r="E63" s="309"/>
      <c r="F63" s="309"/>
      <c r="G63" s="309"/>
    </row>
    <row r="64" spans="1:7" ht="139" customHeight="1" x14ac:dyDescent="0.25">
      <c r="A64" s="503" t="s">
        <v>646</v>
      </c>
      <c r="B64" s="511" t="s">
        <v>647</v>
      </c>
      <c r="C64" s="504" t="s">
        <v>1041</v>
      </c>
      <c r="D64" s="504" t="s">
        <v>1042</v>
      </c>
      <c r="E64" s="309"/>
      <c r="F64" s="309"/>
      <c r="G64" s="309"/>
    </row>
    <row r="65" spans="1:7" ht="147" x14ac:dyDescent="0.25">
      <c r="A65" s="503" t="s">
        <v>648</v>
      </c>
      <c r="B65" s="504" t="s">
        <v>649</v>
      </c>
      <c r="C65" s="507" t="s">
        <v>1043</v>
      </c>
      <c r="D65" s="516" t="s">
        <v>1044</v>
      </c>
      <c r="E65" s="309"/>
      <c r="F65" s="309"/>
      <c r="G65" s="309"/>
    </row>
    <row r="66" spans="1:7" ht="409" customHeight="1" x14ac:dyDescent="0.25">
      <c r="A66" s="503" t="s">
        <v>650</v>
      </c>
      <c r="B66" s="504" t="s">
        <v>651</v>
      </c>
      <c r="C66" s="507" t="s">
        <v>652</v>
      </c>
      <c r="D66" s="516" t="s">
        <v>653</v>
      </c>
      <c r="E66" s="309"/>
      <c r="F66" s="309"/>
      <c r="G66" s="309"/>
    </row>
    <row r="67" spans="1:7" ht="105" x14ac:dyDescent="0.25">
      <c r="A67" s="503" t="s">
        <v>654</v>
      </c>
      <c r="B67" s="511" t="s">
        <v>655</v>
      </c>
      <c r="C67" s="504" t="s">
        <v>1045</v>
      </c>
      <c r="D67" s="504" t="s">
        <v>1046</v>
      </c>
      <c r="E67" s="309"/>
      <c r="F67" s="309"/>
      <c r="G67" s="309"/>
    </row>
    <row r="68" spans="1:7" ht="126" x14ac:dyDescent="0.25">
      <c r="A68" s="503" t="s">
        <v>656</v>
      </c>
      <c r="B68" s="504" t="s">
        <v>657</v>
      </c>
      <c r="C68" s="507" t="s">
        <v>658</v>
      </c>
      <c r="D68" s="516" t="s">
        <v>659</v>
      </c>
      <c r="E68" s="309"/>
      <c r="F68" s="309"/>
      <c r="G68" s="309"/>
    </row>
    <row r="69" spans="1:7" ht="21" x14ac:dyDescent="0.25">
      <c r="A69" s="309"/>
      <c r="B69" s="309"/>
      <c r="C69" s="309"/>
      <c r="D69" s="309"/>
      <c r="E69" s="309"/>
      <c r="F69" s="309"/>
      <c r="G69" s="309"/>
    </row>
    <row r="70" spans="1:7" ht="15" customHeight="1" x14ac:dyDescent="0.25">
      <c r="A70" s="595" t="s">
        <v>660</v>
      </c>
      <c r="B70" s="596"/>
      <c r="C70" s="596"/>
      <c r="D70" s="597"/>
      <c r="E70" s="309"/>
      <c r="F70" s="309"/>
      <c r="G70" s="309"/>
    </row>
    <row r="71" spans="1:7" ht="15" customHeight="1" x14ac:dyDescent="0.25">
      <c r="A71" s="502" t="s">
        <v>576</v>
      </c>
      <c r="B71" s="502" t="s">
        <v>482</v>
      </c>
      <c r="C71" s="502" t="s">
        <v>483</v>
      </c>
      <c r="D71" s="502" t="s">
        <v>661</v>
      </c>
      <c r="E71" s="309"/>
      <c r="F71" s="309"/>
      <c r="G71" s="309"/>
    </row>
    <row r="72" spans="1:7" ht="168" x14ac:dyDescent="0.25">
      <c r="A72" s="503" t="s">
        <v>662</v>
      </c>
      <c r="B72" s="504" t="s">
        <v>663</v>
      </c>
      <c r="C72" s="504" t="s">
        <v>664</v>
      </c>
      <c r="D72" s="504" t="s">
        <v>665</v>
      </c>
      <c r="E72" s="309"/>
      <c r="F72" s="309"/>
      <c r="G72" s="309"/>
    </row>
    <row r="73" spans="1:7" ht="105" x14ac:dyDescent="0.25">
      <c r="A73" s="503" t="s">
        <v>666</v>
      </c>
      <c r="B73" s="504" t="s">
        <v>667</v>
      </c>
      <c r="C73" s="504" t="s">
        <v>668</v>
      </c>
      <c r="D73" s="504" t="s">
        <v>669</v>
      </c>
      <c r="E73" s="309"/>
      <c r="F73" s="309"/>
      <c r="G73" s="309"/>
    </row>
    <row r="74" spans="1:7" ht="273" x14ac:dyDescent="0.25">
      <c r="A74" s="503" t="s">
        <v>670</v>
      </c>
      <c r="B74" s="504" t="s">
        <v>671</v>
      </c>
      <c r="C74" s="504" t="s">
        <v>672</v>
      </c>
      <c r="D74" s="504" t="s">
        <v>673</v>
      </c>
      <c r="E74" s="309"/>
      <c r="F74" s="309"/>
      <c r="G74" s="309"/>
    </row>
    <row r="75" spans="1:7" ht="231" x14ac:dyDescent="0.25">
      <c r="A75" s="503" t="s">
        <v>674</v>
      </c>
      <c r="B75" s="517" t="s">
        <v>1047</v>
      </c>
      <c r="C75" s="504" t="s">
        <v>675</v>
      </c>
      <c r="D75" s="504" t="s">
        <v>676</v>
      </c>
      <c r="E75" s="309"/>
      <c r="F75" s="309"/>
      <c r="G75" s="309"/>
    </row>
    <row r="76" spans="1:7" ht="231" x14ac:dyDescent="0.25">
      <c r="A76" s="503" t="s">
        <v>677</v>
      </c>
      <c r="B76" s="504" t="s">
        <v>678</v>
      </c>
      <c r="C76" s="504" t="s">
        <v>679</v>
      </c>
      <c r="D76" s="504" t="s">
        <v>680</v>
      </c>
      <c r="E76" s="309"/>
      <c r="F76" s="309"/>
      <c r="G76" s="309"/>
    </row>
    <row r="77" spans="1:7" ht="189" x14ac:dyDescent="0.25">
      <c r="A77" s="503" t="s">
        <v>681</v>
      </c>
      <c r="B77" s="504" t="s">
        <v>1048</v>
      </c>
      <c r="C77" s="504" t="s">
        <v>682</v>
      </c>
      <c r="D77" s="504" t="s">
        <v>683</v>
      </c>
      <c r="E77" s="309"/>
      <c r="F77" s="309"/>
      <c r="G77" s="309"/>
    </row>
    <row r="78" spans="1:7" ht="63" x14ac:dyDescent="0.25">
      <c r="A78" s="503" t="s">
        <v>684</v>
      </c>
      <c r="B78" s="504" t="s">
        <v>685</v>
      </c>
      <c r="C78" s="504" t="s">
        <v>686</v>
      </c>
      <c r="D78" s="504" t="s">
        <v>687</v>
      </c>
      <c r="E78" s="309"/>
      <c r="F78" s="309"/>
      <c r="G78" s="309"/>
    </row>
    <row r="79" spans="1:7" ht="84" x14ac:dyDescent="0.25">
      <c r="A79" s="503" t="s">
        <v>688</v>
      </c>
      <c r="B79" s="504" t="s">
        <v>689</v>
      </c>
      <c r="C79" s="504" t="s">
        <v>690</v>
      </c>
      <c r="D79" s="504" t="s">
        <v>691</v>
      </c>
      <c r="E79" s="309"/>
      <c r="F79" s="309"/>
      <c r="G79" s="309"/>
    </row>
    <row r="80" spans="1:7" ht="63" x14ac:dyDescent="0.25">
      <c r="A80" s="503" t="s">
        <v>692</v>
      </c>
      <c r="B80" s="504" t="s">
        <v>693</v>
      </c>
      <c r="C80" s="504" t="s">
        <v>694</v>
      </c>
      <c r="D80" s="504" t="s">
        <v>695</v>
      </c>
      <c r="E80" s="309"/>
      <c r="F80" s="309"/>
      <c r="G80" s="309"/>
    </row>
    <row r="81" spans="1:7" ht="84" x14ac:dyDescent="0.25">
      <c r="A81" s="503" t="s">
        <v>696</v>
      </c>
      <c r="B81" s="504" t="s">
        <v>667</v>
      </c>
      <c r="C81" s="507" t="s">
        <v>697</v>
      </c>
      <c r="D81" s="507" t="s">
        <v>698</v>
      </c>
      <c r="E81" s="309"/>
      <c r="F81" s="309"/>
      <c r="G81" s="309"/>
    </row>
    <row r="82" spans="1:7" ht="126" x14ac:dyDescent="0.25">
      <c r="A82" s="503" t="s">
        <v>699</v>
      </c>
      <c r="B82" s="504" t="s">
        <v>700</v>
      </c>
      <c r="C82" s="504" t="s">
        <v>701</v>
      </c>
      <c r="D82" s="504" t="s">
        <v>702</v>
      </c>
      <c r="E82" s="309"/>
      <c r="F82" s="309"/>
      <c r="G82" s="309"/>
    </row>
    <row r="83" spans="1:7" ht="105" x14ac:dyDescent="0.25">
      <c r="A83" s="503" t="s">
        <v>703</v>
      </c>
      <c r="B83" s="511" t="s">
        <v>704</v>
      </c>
      <c r="C83" s="504" t="s">
        <v>1049</v>
      </c>
      <c r="D83" s="504" t="s">
        <v>1050</v>
      </c>
      <c r="E83" s="309"/>
      <c r="F83" s="309"/>
      <c r="G83" s="309"/>
    </row>
    <row r="84" spans="1:7" ht="147" x14ac:dyDescent="0.25">
      <c r="A84" s="503" t="s">
        <v>705</v>
      </c>
      <c r="B84" s="504" t="s">
        <v>706</v>
      </c>
      <c r="C84" s="504" t="s">
        <v>707</v>
      </c>
      <c r="D84" s="504" t="s">
        <v>708</v>
      </c>
      <c r="E84" s="309"/>
      <c r="F84" s="309"/>
      <c r="G84" s="309"/>
    </row>
    <row r="85" spans="1:7" ht="84" x14ac:dyDescent="0.25">
      <c r="A85" s="503" t="s">
        <v>709</v>
      </c>
      <c r="B85" s="504" t="s">
        <v>710</v>
      </c>
      <c r="C85" s="507" t="s">
        <v>1051</v>
      </c>
      <c r="D85" s="507" t="s">
        <v>1052</v>
      </c>
      <c r="E85" s="309"/>
      <c r="F85" s="309"/>
      <c r="G85" s="309"/>
    </row>
    <row r="86" spans="1:7" ht="42" x14ac:dyDescent="0.25">
      <c r="A86" s="503" t="s">
        <v>711</v>
      </c>
      <c r="B86" s="507" t="s">
        <v>712</v>
      </c>
      <c r="C86" s="504" t="s">
        <v>1053</v>
      </c>
      <c r="D86" s="504" t="s">
        <v>1054</v>
      </c>
      <c r="E86" s="309"/>
      <c r="F86" s="309"/>
      <c r="G86" s="309"/>
    </row>
    <row r="87" spans="1:7" ht="147" x14ac:dyDescent="0.25">
      <c r="A87" s="503" t="s">
        <v>713</v>
      </c>
      <c r="B87" s="504" t="s">
        <v>649</v>
      </c>
      <c r="C87" s="507" t="s">
        <v>1055</v>
      </c>
      <c r="D87" s="507" t="s">
        <v>1056</v>
      </c>
      <c r="E87" s="309"/>
      <c r="F87" s="309"/>
      <c r="G87" s="309"/>
    </row>
    <row r="88" spans="1:7" ht="210" x14ac:dyDescent="0.25">
      <c r="A88" s="503" t="s">
        <v>714</v>
      </c>
      <c r="B88" s="504" t="s">
        <v>651</v>
      </c>
      <c r="C88" s="507" t="s">
        <v>715</v>
      </c>
      <c r="D88" s="507" t="s">
        <v>1057</v>
      </c>
      <c r="E88" s="309"/>
      <c r="F88" s="309"/>
      <c r="G88" s="309"/>
    </row>
    <row r="89" spans="1:7" ht="84" x14ac:dyDescent="0.25">
      <c r="A89" s="503" t="s">
        <v>716</v>
      </c>
      <c r="B89" s="504" t="s">
        <v>655</v>
      </c>
      <c r="C89" s="507" t="s">
        <v>1058</v>
      </c>
      <c r="D89" s="507" t="s">
        <v>1059</v>
      </c>
      <c r="E89" s="309"/>
      <c r="F89" s="309"/>
      <c r="G89" s="309"/>
    </row>
    <row r="90" spans="1:7" ht="63" x14ac:dyDescent="0.25">
      <c r="A90" s="503" t="s">
        <v>717</v>
      </c>
      <c r="B90" s="511" t="s">
        <v>718</v>
      </c>
      <c r="C90" s="504" t="s">
        <v>719</v>
      </c>
      <c r="D90" s="504" t="s">
        <v>720</v>
      </c>
      <c r="E90" s="309"/>
      <c r="F90" s="309"/>
      <c r="G90" s="309"/>
    </row>
    <row r="91" spans="1:7" ht="63" x14ac:dyDescent="0.25">
      <c r="A91" s="503" t="s">
        <v>721</v>
      </c>
      <c r="B91" s="511" t="s">
        <v>722</v>
      </c>
      <c r="C91" s="504" t="s">
        <v>1060</v>
      </c>
      <c r="D91" s="504" t="s">
        <v>1061</v>
      </c>
      <c r="E91" s="309"/>
      <c r="F91" s="309"/>
      <c r="G91" s="309"/>
    </row>
    <row r="92" spans="1:7" ht="42" x14ac:dyDescent="0.25">
      <c r="A92" s="503" t="s">
        <v>723</v>
      </c>
      <c r="B92" s="504" t="s">
        <v>724</v>
      </c>
      <c r="C92" s="507" t="s">
        <v>725</v>
      </c>
      <c r="D92" s="507" t="s">
        <v>726</v>
      </c>
      <c r="E92" s="309"/>
      <c r="F92" s="309"/>
      <c r="G92" s="309"/>
    </row>
    <row r="93" spans="1:7" ht="105" x14ac:dyDescent="0.25">
      <c r="A93" s="503" t="s">
        <v>727</v>
      </c>
      <c r="B93" s="504" t="s">
        <v>728</v>
      </c>
      <c r="C93" s="507" t="s">
        <v>729</v>
      </c>
      <c r="D93" s="507" t="s">
        <v>730</v>
      </c>
      <c r="E93" s="309"/>
      <c r="F93" s="309"/>
      <c r="G93" s="309"/>
    </row>
    <row r="94" spans="1:7" ht="189" x14ac:dyDescent="0.25">
      <c r="A94" s="503" t="s">
        <v>731</v>
      </c>
      <c r="B94" s="504" t="s">
        <v>732</v>
      </c>
      <c r="C94" s="507" t="s">
        <v>1062</v>
      </c>
      <c r="D94" s="507" t="s">
        <v>1063</v>
      </c>
      <c r="E94" s="309"/>
      <c r="F94" s="309"/>
      <c r="G94" s="309"/>
    </row>
    <row r="95" spans="1:7" ht="63" x14ac:dyDescent="0.25">
      <c r="A95" s="503" t="s">
        <v>733</v>
      </c>
      <c r="B95" s="511" t="s">
        <v>734</v>
      </c>
      <c r="C95" s="504" t="s">
        <v>735</v>
      </c>
      <c r="D95" s="504" t="s">
        <v>736</v>
      </c>
      <c r="E95" s="309"/>
      <c r="F95" s="309"/>
      <c r="G95" s="309"/>
    </row>
    <row r="96" spans="1:7" ht="126" x14ac:dyDescent="0.25">
      <c r="A96" s="503" t="s">
        <v>737</v>
      </c>
      <c r="B96" s="504" t="s">
        <v>738</v>
      </c>
      <c r="C96" s="507" t="s">
        <v>658</v>
      </c>
      <c r="D96" s="507" t="s">
        <v>659</v>
      </c>
      <c r="E96" s="309"/>
      <c r="F96" s="309"/>
      <c r="G96" s="309"/>
    </row>
    <row r="97" spans="1:7" ht="42" x14ac:dyDescent="0.25">
      <c r="A97" s="503" t="s">
        <v>739</v>
      </c>
      <c r="B97" s="511" t="s">
        <v>740</v>
      </c>
      <c r="C97" s="504" t="s">
        <v>1064</v>
      </c>
      <c r="D97" s="504" t="s">
        <v>1065</v>
      </c>
      <c r="E97" s="309"/>
      <c r="F97" s="309"/>
      <c r="G97" s="309"/>
    </row>
    <row r="98" spans="1:7" ht="63" x14ac:dyDescent="0.25">
      <c r="A98" s="503" t="s">
        <v>741</v>
      </c>
      <c r="B98" s="504" t="s">
        <v>742</v>
      </c>
      <c r="C98" s="507" t="s">
        <v>743</v>
      </c>
      <c r="D98" s="507" t="s">
        <v>744</v>
      </c>
      <c r="E98" s="309"/>
      <c r="F98" s="309"/>
      <c r="G98" s="309"/>
    </row>
    <row r="99" spans="1:7" ht="63" x14ac:dyDescent="0.25">
      <c r="A99" s="503" t="s">
        <v>745</v>
      </c>
      <c r="B99" s="504" t="s">
        <v>746</v>
      </c>
      <c r="C99" s="507" t="s">
        <v>747</v>
      </c>
      <c r="D99" s="507" t="s">
        <v>748</v>
      </c>
      <c r="E99" s="309"/>
      <c r="F99" s="309"/>
      <c r="G99" s="309"/>
    </row>
    <row r="100" spans="1:7" ht="42" x14ac:dyDescent="0.25">
      <c r="A100" s="503" t="s">
        <v>749</v>
      </c>
      <c r="B100" s="511" t="s">
        <v>750</v>
      </c>
      <c r="C100" s="507" t="s">
        <v>751</v>
      </c>
      <c r="D100" s="507" t="s">
        <v>752</v>
      </c>
      <c r="E100" s="309"/>
      <c r="F100" s="309"/>
      <c r="G100" s="309"/>
    </row>
    <row r="101" spans="1:7" ht="105" x14ac:dyDescent="0.25">
      <c r="A101" s="503" t="s">
        <v>753</v>
      </c>
      <c r="B101" s="504" t="s">
        <v>671</v>
      </c>
      <c r="C101" s="507" t="s">
        <v>1066</v>
      </c>
      <c r="D101" s="507" t="s">
        <v>1067</v>
      </c>
      <c r="E101" s="309"/>
      <c r="F101" s="309"/>
      <c r="G101" s="309"/>
    </row>
    <row r="102" spans="1:7" ht="84" x14ac:dyDescent="0.25">
      <c r="A102" s="503" t="s">
        <v>754</v>
      </c>
      <c r="B102" s="511" t="s">
        <v>755</v>
      </c>
      <c r="C102" s="507" t="s">
        <v>1068</v>
      </c>
      <c r="D102" s="507" t="s">
        <v>756</v>
      </c>
      <c r="E102" s="309"/>
      <c r="F102" s="309"/>
      <c r="G102" s="309"/>
    </row>
    <row r="103" spans="1:7" ht="105" x14ac:dyDescent="0.25">
      <c r="A103" s="503" t="s">
        <v>757</v>
      </c>
      <c r="B103" s="511" t="s">
        <v>758</v>
      </c>
      <c r="C103" s="507" t="s">
        <v>759</v>
      </c>
      <c r="D103" s="507" t="s">
        <v>760</v>
      </c>
      <c r="E103" s="309"/>
      <c r="F103" s="309"/>
      <c r="G103" s="309"/>
    </row>
    <row r="104" spans="1:7" ht="84" x14ac:dyDescent="0.25">
      <c r="A104" s="503" t="s">
        <v>761</v>
      </c>
      <c r="B104" s="504" t="s">
        <v>762</v>
      </c>
      <c r="C104" s="507" t="s">
        <v>763</v>
      </c>
      <c r="D104" s="507" t="s">
        <v>764</v>
      </c>
      <c r="E104" s="309"/>
      <c r="F104" s="309"/>
      <c r="G104" s="309"/>
    </row>
    <row r="105" spans="1:7" ht="126" x14ac:dyDescent="0.25">
      <c r="A105" s="503" t="s">
        <v>765</v>
      </c>
      <c r="B105" s="511" t="s">
        <v>766</v>
      </c>
      <c r="C105" s="507" t="s">
        <v>1069</v>
      </c>
      <c r="D105" s="507" t="s">
        <v>1070</v>
      </c>
      <c r="E105" s="309"/>
      <c r="F105" s="309"/>
      <c r="G105" s="309"/>
    </row>
    <row r="106" spans="1:7" ht="84" x14ac:dyDescent="0.25">
      <c r="A106" s="503" t="s">
        <v>767</v>
      </c>
      <c r="B106" s="511" t="s">
        <v>618</v>
      </c>
      <c r="C106" s="504" t="s">
        <v>1033</v>
      </c>
      <c r="D106" s="504" t="s">
        <v>1071</v>
      </c>
      <c r="E106" s="309"/>
      <c r="F106" s="309"/>
      <c r="G106" s="309"/>
    </row>
    <row r="107" spans="1:7" ht="147" x14ac:dyDescent="0.25">
      <c r="A107" s="503" t="s">
        <v>768</v>
      </c>
      <c r="B107" s="504" t="s">
        <v>769</v>
      </c>
      <c r="C107" s="507" t="s">
        <v>770</v>
      </c>
      <c r="D107" s="507" t="s">
        <v>771</v>
      </c>
      <c r="E107" s="309"/>
      <c r="F107" s="309"/>
      <c r="G107" s="309"/>
    </row>
    <row r="108" spans="1:7" ht="84" x14ac:dyDescent="0.25">
      <c r="A108" s="503" t="s">
        <v>772</v>
      </c>
      <c r="B108" s="511" t="s">
        <v>722</v>
      </c>
      <c r="C108" s="504" t="s">
        <v>773</v>
      </c>
      <c r="D108" s="504" t="s">
        <v>774</v>
      </c>
      <c r="E108" s="309"/>
      <c r="F108" s="309"/>
      <c r="G108" s="309"/>
    </row>
    <row r="109" spans="1:7" ht="105" x14ac:dyDescent="0.25">
      <c r="A109" s="503" t="s">
        <v>775</v>
      </c>
      <c r="B109" s="504" t="s">
        <v>776</v>
      </c>
      <c r="C109" s="504" t="s">
        <v>777</v>
      </c>
      <c r="D109" s="504" t="s">
        <v>1072</v>
      </c>
      <c r="E109" s="309"/>
      <c r="F109" s="309"/>
      <c r="G109" s="309"/>
    </row>
    <row r="110" spans="1:7" ht="126" x14ac:dyDescent="0.25">
      <c r="A110" s="503" t="s">
        <v>778</v>
      </c>
      <c r="B110" s="504" t="s">
        <v>779</v>
      </c>
      <c r="C110" s="504" t="s">
        <v>780</v>
      </c>
      <c r="D110" s="504" t="s">
        <v>1073</v>
      </c>
      <c r="E110" s="309"/>
      <c r="F110" s="309"/>
      <c r="G110" s="309"/>
    </row>
    <row r="111" spans="1:7" ht="21" x14ac:dyDescent="0.25">
      <c r="A111" s="518"/>
      <c r="B111" s="519"/>
      <c r="C111" s="520"/>
      <c r="D111" s="520"/>
      <c r="E111" s="309"/>
      <c r="F111" s="309"/>
      <c r="G111" s="309"/>
    </row>
    <row r="112" spans="1:7" ht="63" x14ac:dyDescent="0.25">
      <c r="A112" s="503" t="s">
        <v>781</v>
      </c>
      <c r="B112" s="504" t="s">
        <v>782</v>
      </c>
      <c r="C112" s="521" t="s">
        <v>783</v>
      </c>
      <c r="D112" s="504" t="s">
        <v>1075</v>
      </c>
      <c r="E112" s="522"/>
      <c r="F112" s="309"/>
      <c r="G112" s="309"/>
    </row>
    <row r="113" spans="1:7" ht="63" x14ac:dyDescent="0.25">
      <c r="A113" s="503" t="s">
        <v>784</v>
      </c>
      <c r="B113" s="504" t="s">
        <v>614</v>
      </c>
      <c r="C113" s="504" t="s">
        <v>785</v>
      </c>
      <c r="D113" s="523" t="s">
        <v>786</v>
      </c>
      <c r="E113" s="522"/>
      <c r="F113" s="309"/>
      <c r="G113" s="309"/>
    </row>
    <row r="114" spans="1:7" ht="44" x14ac:dyDescent="0.25">
      <c r="A114" s="503" t="s">
        <v>787</v>
      </c>
      <c r="B114" s="524" t="s">
        <v>788</v>
      </c>
      <c r="C114" s="525" t="s">
        <v>789</v>
      </c>
      <c r="D114" s="526"/>
      <c r="E114" s="309"/>
      <c r="F114" s="309"/>
      <c r="G114" s="309"/>
    </row>
    <row r="115" spans="1:7" ht="44" x14ac:dyDescent="0.25">
      <c r="A115" s="503" t="s">
        <v>790</v>
      </c>
      <c r="B115" s="524" t="s">
        <v>791</v>
      </c>
      <c r="C115" s="525" t="s">
        <v>792</v>
      </c>
      <c r="D115" s="527"/>
      <c r="E115" s="309"/>
      <c r="F115" s="309"/>
      <c r="G115" s="309"/>
    </row>
    <row r="116" spans="1:7" ht="44" x14ac:dyDescent="0.25">
      <c r="A116" s="503" t="s">
        <v>793</v>
      </c>
      <c r="B116" s="524" t="s">
        <v>794</v>
      </c>
      <c r="C116" s="525" t="s">
        <v>795</v>
      </c>
      <c r="D116" s="527"/>
      <c r="E116" s="309"/>
      <c r="F116" s="309"/>
      <c r="G116" s="309"/>
    </row>
    <row r="117" spans="1:7" ht="66" x14ac:dyDescent="0.25">
      <c r="A117" s="503" t="s">
        <v>796</v>
      </c>
      <c r="B117" s="524" t="s">
        <v>797</v>
      </c>
      <c r="C117" s="525" t="s">
        <v>798</v>
      </c>
      <c r="D117" s="527"/>
      <c r="E117" s="309"/>
      <c r="F117" s="309"/>
      <c r="G117" s="309"/>
    </row>
    <row r="118" spans="1:7" ht="66" x14ac:dyDescent="0.25">
      <c r="A118" s="503" t="s">
        <v>799</v>
      </c>
      <c r="B118" s="524" t="s">
        <v>800</v>
      </c>
      <c r="C118" s="525" t="s">
        <v>801</v>
      </c>
      <c r="D118" s="527"/>
      <c r="E118" s="309"/>
      <c r="F118" s="309"/>
      <c r="G118" s="309"/>
    </row>
    <row r="119" spans="1:7" ht="66" x14ac:dyDescent="0.25">
      <c r="A119" s="503" t="s">
        <v>802</v>
      </c>
      <c r="B119" s="524" t="s">
        <v>803</v>
      </c>
      <c r="C119" s="525" t="s">
        <v>804</v>
      </c>
      <c r="D119" s="527"/>
      <c r="E119" s="309"/>
      <c r="F119" s="309"/>
      <c r="G119" s="309"/>
    </row>
    <row r="120" spans="1:7" ht="21" x14ac:dyDescent="0.25">
      <c r="A120" s="528"/>
      <c r="B120" s="529"/>
      <c r="C120" s="530"/>
      <c r="D120" s="530"/>
      <c r="E120" s="531"/>
      <c r="F120" s="309"/>
      <c r="G120" s="309"/>
    </row>
    <row r="121" spans="1:7" ht="21" x14ac:dyDescent="0.25">
      <c r="A121" s="595" t="s">
        <v>805</v>
      </c>
      <c r="B121" s="596"/>
      <c r="C121" s="596"/>
      <c r="D121" s="597"/>
      <c r="E121" s="309"/>
      <c r="F121" s="309"/>
      <c r="G121" s="309"/>
    </row>
    <row r="122" spans="1:7" ht="44" x14ac:dyDescent="0.25">
      <c r="A122" s="502" t="s">
        <v>576</v>
      </c>
      <c r="B122" s="502" t="s">
        <v>482</v>
      </c>
      <c r="C122" s="502" t="s">
        <v>483</v>
      </c>
      <c r="D122" s="502" t="s">
        <v>661</v>
      </c>
      <c r="E122" s="309"/>
      <c r="F122" s="309"/>
      <c r="G122" s="309"/>
    </row>
    <row r="123" spans="1:7" ht="63" x14ac:dyDescent="0.25">
      <c r="A123" s="503" t="s">
        <v>806</v>
      </c>
      <c r="B123" s="504" t="s">
        <v>807</v>
      </c>
      <c r="C123" s="504" t="s">
        <v>808</v>
      </c>
      <c r="D123" s="504" t="s">
        <v>809</v>
      </c>
      <c r="E123" s="309"/>
      <c r="F123" s="309"/>
      <c r="G123" s="309"/>
    </row>
    <row r="124" spans="1:7" ht="84" x14ac:dyDescent="0.25">
      <c r="A124" s="503" t="s">
        <v>810</v>
      </c>
      <c r="B124" s="504" t="s">
        <v>811</v>
      </c>
      <c r="C124" s="504" t="s">
        <v>812</v>
      </c>
      <c r="D124" s="504" t="s">
        <v>813</v>
      </c>
      <c r="E124" s="309"/>
      <c r="F124" s="309"/>
      <c r="G124" s="309"/>
    </row>
    <row r="125" spans="1:7" ht="126" x14ac:dyDescent="0.25">
      <c r="A125" s="503" t="s">
        <v>814</v>
      </c>
      <c r="B125" s="504" t="s">
        <v>815</v>
      </c>
      <c r="C125" s="504" t="s">
        <v>816</v>
      </c>
      <c r="D125" s="504" t="s">
        <v>817</v>
      </c>
      <c r="E125" s="309"/>
      <c r="F125" s="309"/>
      <c r="G125" s="309"/>
    </row>
    <row r="126" spans="1:7" ht="168" x14ac:dyDescent="0.25">
      <c r="A126" s="503" t="s">
        <v>818</v>
      </c>
      <c r="B126" s="504" t="s">
        <v>819</v>
      </c>
      <c r="C126" s="504" t="s">
        <v>820</v>
      </c>
      <c r="D126" s="504" t="s">
        <v>821</v>
      </c>
      <c r="E126" s="309"/>
      <c r="F126" s="309"/>
      <c r="G126" s="309"/>
    </row>
    <row r="127" spans="1:7" ht="252" x14ac:dyDescent="0.25">
      <c r="A127" s="503" t="s">
        <v>822</v>
      </c>
      <c r="B127" s="504" t="s">
        <v>1074</v>
      </c>
      <c r="C127" s="504" t="s">
        <v>823</v>
      </c>
      <c r="D127" s="504" t="s">
        <v>824</v>
      </c>
      <c r="E127" s="309"/>
      <c r="F127" s="309"/>
      <c r="G127" s="309"/>
    </row>
    <row r="128" spans="1:7" ht="21" x14ac:dyDescent="0.25">
      <c r="A128" s="532"/>
      <c r="B128" s="533"/>
      <c r="C128" s="533"/>
      <c r="D128" s="533"/>
      <c r="E128" s="309"/>
      <c r="F128" s="309"/>
      <c r="G128" s="309"/>
    </row>
    <row r="129" spans="1:7" ht="21" x14ac:dyDescent="0.25">
      <c r="A129" s="534"/>
      <c r="B129" s="535"/>
      <c r="C129" s="535"/>
      <c r="D129" s="535"/>
      <c r="E129" s="309"/>
      <c r="F129" s="309"/>
      <c r="G129" s="309"/>
    </row>
    <row r="130" spans="1:7" ht="21" x14ac:dyDescent="0.25">
      <c r="A130" s="595" t="s">
        <v>825</v>
      </c>
      <c r="B130" s="596"/>
      <c r="C130" s="596"/>
      <c r="D130" s="597"/>
      <c r="E130" s="309"/>
      <c r="F130" s="309"/>
      <c r="G130" s="309"/>
    </row>
    <row r="131" spans="1:7" ht="44" x14ac:dyDescent="0.25">
      <c r="A131" s="502" t="s">
        <v>576</v>
      </c>
      <c r="B131" s="502" t="s">
        <v>482</v>
      </c>
      <c r="C131" s="502" t="s">
        <v>483</v>
      </c>
      <c r="D131" s="502" t="s">
        <v>826</v>
      </c>
      <c r="E131" s="309"/>
      <c r="F131" s="309"/>
      <c r="G131" s="309"/>
    </row>
    <row r="132" spans="1:7" ht="189" x14ac:dyDescent="0.25">
      <c r="A132" s="536" t="s">
        <v>827</v>
      </c>
      <c r="B132" s="524" t="s">
        <v>828</v>
      </c>
      <c r="C132" s="524" t="s">
        <v>829</v>
      </c>
      <c r="D132" s="504" t="s">
        <v>830</v>
      </c>
      <c r="E132" s="309"/>
      <c r="F132" s="309"/>
      <c r="G132" s="309"/>
    </row>
    <row r="133" spans="1:7" ht="63" x14ac:dyDescent="0.25">
      <c r="A133" s="536" t="s">
        <v>831</v>
      </c>
      <c r="B133" s="524" t="s">
        <v>832</v>
      </c>
      <c r="C133" s="524" t="s">
        <v>833</v>
      </c>
      <c r="D133" s="504" t="s">
        <v>834</v>
      </c>
      <c r="E133" s="309"/>
      <c r="F133" s="309"/>
      <c r="G133" s="309"/>
    </row>
    <row r="134" spans="1:7" ht="87" customHeight="1" x14ac:dyDescent="0.25">
      <c r="A134" s="536" t="s">
        <v>835</v>
      </c>
      <c r="B134" s="524" t="s">
        <v>836</v>
      </c>
      <c r="C134" s="524" t="s">
        <v>837</v>
      </c>
      <c r="D134" s="504" t="s">
        <v>838</v>
      </c>
      <c r="E134" s="309"/>
      <c r="F134" s="309"/>
      <c r="G134" s="309"/>
    </row>
    <row r="135" spans="1:7" ht="54.75" customHeight="1" x14ac:dyDescent="0.25">
      <c r="A135" s="536" t="s">
        <v>839</v>
      </c>
      <c r="B135" s="524" t="s">
        <v>840</v>
      </c>
      <c r="C135" s="524" t="s">
        <v>841</v>
      </c>
      <c r="D135" s="504" t="s">
        <v>842</v>
      </c>
      <c r="E135" s="309"/>
      <c r="F135" s="309"/>
      <c r="G135" s="309"/>
    </row>
    <row r="136" spans="1:7" ht="21" x14ac:dyDescent="0.25">
      <c r="A136" s="309"/>
      <c r="B136" s="309"/>
      <c r="C136" s="309"/>
      <c r="D136" s="309"/>
      <c r="E136" s="309"/>
      <c r="F136" s="309"/>
      <c r="G136" s="309"/>
    </row>
    <row r="137" spans="1:7" ht="21" x14ac:dyDescent="0.25">
      <c r="A137" s="309"/>
      <c r="B137" s="309"/>
      <c r="C137" s="309"/>
      <c r="D137" s="309"/>
      <c r="E137" s="309"/>
      <c r="F137" s="309"/>
      <c r="G137" s="309"/>
    </row>
    <row r="138" spans="1:7" ht="21" x14ac:dyDescent="0.25">
      <c r="A138" s="309"/>
      <c r="B138" s="309"/>
      <c r="C138" s="309"/>
      <c r="D138" s="309"/>
      <c r="E138" s="309"/>
      <c r="F138" s="309"/>
      <c r="G138" s="309"/>
    </row>
    <row r="139" spans="1:7" ht="21" x14ac:dyDescent="0.25">
      <c r="A139" s="309"/>
      <c r="B139" s="309"/>
      <c r="C139" s="309"/>
      <c r="D139" s="309"/>
      <c r="E139" s="309"/>
      <c r="F139" s="309"/>
      <c r="G139" s="309"/>
    </row>
    <row r="140" spans="1:7" ht="21" x14ac:dyDescent="0.25">
      <c r="A140" s="309"/>
      <c r="B140" s="309"/>
      <c r="C140" s="309"/>
      <c r="D140" s="309"/>
      <c r="E140" s="309"/>
      <c r="F140" s="309"/>
      <c r="G140" s="309"/>
    </row>
    <row r="141" spans="1:7" ht="21" x14ac:dyDescent="0.25">
      <c r="A141" s="309"/>
      <c r="B141" s="309"/>
      <c r="C141" s="309"/>
      <c r="D141" s="309"/>
      <c r="E141" s="309"/>
      <c r="F141" s="309"/>
      <c r="G141" s="309"/>
    </row>
    <row r="142" spans="1:7" ht="21" x14ac:dyDescent="0.25">
      <c r="A142" s="309"/>
      <c r="B142" s="309"/>
      <c r="C142" s="309"/>
      <c r="D142" s="309"/>
      <c r="E142" s="309"/>
      <c r="F142" s="309"/>
      <c r="G142" s="309"/>
    </row>
    <row r="143" spans="1:7" ht="21" x14ac:dyDescent="0.25">
      <c r="A143" s="309"/>
      <c r="B143" s="309"/>
      <c r="C143" s="309"/>
      <c r="D143" s="309"/>
      <c r="E143" s="309"/>
      <c r="F143" s="309"/>
      <c r="G143" s="309"/>
    </row>
    <row r="144" spans="1:7" ht="21" x14ac:dyDescent="0.25">
      <c r="A144" s="309"/>
      <c r="B144" s="309"/>
      <c r="C144" s="309"/>
      <c r="D144" s="309"/>
      <c r="E144" s="309"/>
      <c r="F144" s="309"/>
      <c r="G144" s="309"/>
    </row>
    <row r="145" spans="1:7" ht="21" x14ac:dyDescent="0.25">
      <c r="A145" s="309"/>
      <c r="B145" s="309"/>
      <c r="C145" s="309"/>
      <c r="D145" s="309"/>
      <c r="E145" s="309"/>
      <c r="F145" s="309"/>
      <c r="G145" s="309"/>
    </row>
    <row r="146" spans="1:7" ht="21" x14ac:dyDescent="0.25">
      <c r="A146" s="309"/>
      <c r="B146" s="309"/>
      <c r="C146" s="309"/>
      <c r="D146" s="309"/>
      <c r="E146" s="309"/>
      <c r="F146" s="309"/>
      <c r="G146" s="309"/>
    </row>
    <row r="147" spans="1:7" ht="21" x14ac:dyDescent="0.25">
      <c r="A147" s="309"/>
      <c r="B147" s="309"/>
      <c r="C147" s="309"/>
      <c r="D147" s="309"/>
      <c r="E147" s="309"/>
      <c r="F147" s="309"/>
      <c r="G147" s="309"/>
    </row>
    <row r="148" spans="1:7" ht="21" x14ac:dyDescent="0.25">
      <c r="A148" s="309"/>
      <c r="B148" s="309"/>
      <c r="C148" s="309"/>
      <c r="D148" s="309"/>
      <c r="E148" s="309"/>
      <c r="F148" s="309"/>
      <c r="G148" s="309"/>
    </row>
    <row r="149" spans="1:7" ht="21" x14ac:dyDescent="0.25">
      <c r="A149" s="309"/>
      <c r="B149" s="309"/>
      <c r="C149" s="309"/>
      <c r="D149" s="309"/>
      <c r="E149" s="309"/>
      <c r="F149" s="309"/>
      <c r="G149" s="309"/>
    </row>
    <row r="150" spans="1:7" ht="21" x14ac:dyDescent="0.25">
      <c r="A150" s="309"/>
      <c r="B150" s="309"/>
      <c r="C150" s="309"/>
      <c r="D150" s="309"/>
      <c r="E150" s="309"/>
      <c r="F150" s="309"/>
      <c r="G150" s="309"/>
    </row>
    <row r="151" spans="1:7" ht="21" x14ac:dyDescent="0.25">
      <c r="A151" s="309"/>
      <c r="B151" s="309"/>
      <c r="C151" s="309"/>
      <c r="D151" s="309"/>
      <c r="E151" s="309"/>
      <c r="F151" s="309"/>
      <c r="G151" s="309"/>
    </row>
    <row r="152" spans="1:7" ht="21" x14ac:dyDescent="0.25">
      <c r="A152" s="309"/>
      <c r="B152" s="309"/>
      <c r="C152" s="309"/>
      <c r="D152" s="309"/>
      <c r="E152" s="309"/>
      <c r="F152" s="309"/>
      <c r="G152" s="309"/>
    </row>
    <row r="153" spans="1:7" ht="21" x14ac:dyDescent="0.25">
      <c r="A153" s="309"/>
      <c r="B153" s="309"/>
      <c r="C153" s="309"/>
      <c r="D153" s="309"/>
      <c r="E153" s="309"/>
      <c r="F153" s="309"/>
      <c r="G153" s="309"/>
    </row>
    <row r="154" spans="1:7" ht="21" x14ac:dyDescent="0.25">
      <c r="A154" s="309"/>
      <c r="B154" s="309"/>
      <c r="C154" s="309"/>
      <c r="D154" s="309"/>
      <c r="E154" s="309"/>
      <c r="F154" s="309"/>
      <c r="G154" s="309"/>
    </row>
    <row r="155" spans="1:7" ht="21" x14ac:dyDescent="0.25">
      <c r="A155" s="309"/>
      <c r="B155" s="309"/>
      <c r="C155" s="309"/>
      <c r="D155" s="309"/>
      <c r="E155" s="309"/>
      <c r="F155" s="309"/>
      <c r="G155" s="309"/>
    </row>
    <row r="156" spans="1:7" ht="21" x14ac:dyDescent="0.25">
      <c r="A156" s="309"/>
      <c r="B156" s="309"/>
      <c r="C156" s="309"/>
      <c r="D156" s="309"/>
      <c r="E156" s="309"/>
      <c r="F156" s="309"/>
      <c r="G156" s="309"/>
    </row>
    <row r="157" spans="1:7" ht="21" x14ac:dyDescent="0.25">
      <c r="A157" s="309"/>
      <c r="B157" s="309"/>
      <c r="C157" s="309"/>
      <c r="D157" s="309"/>
      <c r="E157" s="309"/>
      <c r="F157" s="309"/>
      <c r="G157" s="309"/>
    </row>
    <row r="158" spans="1:7" ht="21" x14ac:dyDescent="0.25">
      <c r="A158" s="309"/>
      <c r="B158" s="309"/>
      <c r="C158" s="309"/>
      <c r="D158" s="309"/>
      <c r="E158" s="309"/>
      <c r="F158" s="309"/>
      <c r="G158" s="309"/>
    </row>
    <row r="159" spans="1:7" ht="21" x14ac:dyDescent="0.25">
      <c r="A159" s="309"/>
      <c r="B159" s="309"/>
      <c r="C159" s="309"/>
      <c r="D159" s="309"/>
      <c r="E159" s="309"/>
      <c r="F159" s="309"/>
      <c r="G159" s="309"/>
    </row>
    <row r="160" spans="1:7" ht="21" x14ac:dyDescent="0.25">
      <c r="A160" s="309"/>
      <c r="B160" s="309"/>
      <c r="C160" s="309"/>
      <c r="D160" s="309"/>
      <c r="E160" s="309"/>
      <c r="F160" s="309"/>
      <c r="G160" s="309"/>
    </row>
    <row r="161" spans="1:7" ht="21" x14ac:dyDescent="0.25">
      <c r="A161" s="309"/>
      <c r="B161" s="309"/>
      <c r="C161" s="309"/>
      <c r="D161" s="309"/>
      <c r="E161" s="309"/>
      <c r="F161" s="309"/>
      <c r="G161" s="309"/>
    </row>
    <row r="162" spans="1:7" ht="21" x14ac:dyDescent="0.25">
      <c r="A162" s="309"/>
      <c r="B162" s="309"/>
      <c r="C162" s="309"/>
      <c r="D162" s="309"/>
      <c r="E162" s="309"/>
      <c r="F162" s="309"/>
      <c r="G162" s="309"/>
    </row>
    <row r="163" spans="1:7" ht="21" x14ac:dyDescent="0.25">
      <c r="A163" s="309"/>
      <c r="B163" s="309"/>
      <c r="C163" s="309"/>
      <c r="D163" s="309"/>
      <c r="E163" s="309"/>
      <c r="F163" s="309"/>
      <c r="G163" s="309"/>
    </row>
    <row r="164" spans="1:7" ht="21" x14ac:dyDescent="0.25">
      <c r="A164" s="309"/>
      <c r="B164" s="309"/>
      <c r="C164" s="309"/>
      <c r="D164" s="309"/>
      <c r="E164" s="309"/>
      <c r="F164" s="309"/>
      <c r="G164" s="309"/>
    </row>
    <row r="165" spans="1:7" ht="21" x14ac:dyDescent="0.25">
      <c r="A165" s="309"/>
      <c r="B165" s="309"/>
      <c r="C165" s="309"/>
      <c r="D165" s="309"/>
      <c r="E165" s="309"/>
      <c r="F165" s="309"/>
      <c r="G165" s="309"/>
    </row>
    <row r="166" spans="1:7" ht="21" x14ac:dyDescent="0.25">
      <c r="A166" s="309"/>
      <c r="B166" s="309"/>
      <c r="C166" s="309"/>
      <c r="D166" s="309"/>
      <c r="E166" s="309"/>
      <c r="F166" s="309"/>
      <c r="G166" s="309"/>
    </row>
    <row r="167" spans="1:7" ht="21" x14ac:dyDescent="0.25">
      <c r="A167" s="309"/>
      <c r="B167" s="309"/>
      <c r="C167" s="309"/>
      <c r="D167" s="309"/>
      <c r="E167" s="309"/>
      <c r="F167" s="309"/>
      <c r="G167" s="309"/>
    </row>
    <row r="168" spans="1:7" ht="21" x14ac:dyDescent="0.25">
      <c r="A168" s="309"/>
      <c r="B168" s="309"/>
      <c r="C168" s="309"/>
      <c r="D168" s="309"/>
      <c r="E168" s="309"/>
      <c r="F168" s="309"/>
      <c r="G168" s="309"/>
    </row>
    <row r="169" spans="1:7" ht="21" x14ac:dyDescent="0.25">
      <c r="A169" s="309"/>
      <c r="B169" s="309"/>
      <c r="C169" s="309"/>
      <c r="D169" s="309"/>
      <c r="E169" s="309"/>
      <c r="F169" s="309"/>
      <c r="G169" s="309"/>
    </row>
    <row r="170" spans="1:7" ht="21" x14ac:dyDescent="0.25">
      <c r="A170" s="309"/>
      <c r="B170" s="309"/>
      <c r="C170" s="309"/>
      <c r="D170" s="309"/>
      <c r="E170" s="309"/>
      <c r="F170" s="309"/>
      <c r="G170" s="309"/>
    </row>
    <row r="171" spans="1:7" ht="21" x14ac:dyDescent="0.25">
      <c r="A171" s="309"/>
      <c r="B171" s="309"/>
      <c r="C171" s="309"/>
      <c r="D171" s="309"/>
      <c r="E171" s="309"/>
      <c r="F171" s="309"/>
      <c r="G171" s="309"/>
    </row>
    <row r="172" spans="1:7" ht="21" x14ac:dyDescent="0.25">
      <c r="A172" s="309"/>
      <c r="B172" s="309"/>
      <c r="C172" s="309"/>
      <c r="D172" s="309"/>
      <c r="E172" s="309"/>
      <c r="F172" s="309"/>
      <c r="G172" s="309"/>
    </row>
    <row r="173" spans="1:7" ht="21" x14ac:dyDescent="0.25">
      <c r="A173" s="309"/>
      <c r="B173" s="309"/>
      <c r="C173" s="309"/>
      <c r="D173" s="309"/>
      <c r="E173" s="309"/>
      <c r="F173" s="309"/>
      <c r="G173" s="309"/>
    </row>
    <row r="174" spans="1:7" ht="21" x14ac:dyDescent="0.25">
      <c r="A174" s="309"/>
      <c r="B174" s="309"/>
      <c r="C174" s="309"/>
      <c r="D174" s="309"/>
      <c r="E174" s="309"/>
      <c r="F174" s="309"/>
      <c r="G174" s="309"/>
    </row>
    <row r="175" spans="1:7" ht="21" x14ac:dyDescent="0.25">
      <c r="A175" s="309"/>
      <c r="B175" s="309"/>
      <c r="C175" s="309"/>
      <c r="D175" s="309"/>
      <c r="E175" s="309"/>
      <c r="F175" s="309"/>
      <c r="G175" s="309"/>
    </row>
    <row r="176" spans="1:7" ht="21" x14ac:dyDescent="0.25">
      <c r="A176" s="309"/>
      <c r="B176" s="309"/>
      <c r="C176" s="309"/>
      <c r="D176" s="309"/>
      <c r="E176" s="309"/>
      <c r="F176" s="309"/>
      <c r="G176" s="309"/>
    </row>
    <row r="177" spans="1:7" ht="21" x14ac:dyDescent="0.25">
      <c r="A177" s="309"/>
      <c r="B177" s="309"/>
      <c r="C177" s="309"/>
      <c r="D177" s="309"/>
      <c r="E177" s="309"/>
      <c r="F177" s="309"/>
      <c r="G177" s="309"/>
    </row>
    <row r="178" spans="1:7" ht="21" x14ac:dyDescent="0.25">
      <c r="A178" s="309"/>
      <c r="B178" s="309"/>
      <c r="C178" s="309"/>
      <c r="D178" s="309"/>
      <c r="E178" s="309"/>
      <c r="F178" s="309"/>
      <c r="G178" s="309"/>
    </row>
    <row r="179" spans="1:7" ht="21" x14ac:dyDescent="0.25">
      <c r="A179" s="309"/>
      <c r="B179" s="309"/>
      <c r="C179" s="309"/>
      <c r="D179" s="309"/>
      <c r="E179" s="309"/>
      <c r="F179" s="309"/>
      <c r="G179" s="309"/>
    </row>
    <row r="180" spans="1:7" ht="21" x14ac:dyDescent="0.25">
      <c r="A180" s="309"/>
      <c r="B180" s="309"/>
      <c r="C180" s="309"/>
      <c r="D180" s="309"/>
      <c r="E180" s="309"/>
      <c r="F180" s="309"/>
      <c r="G180" s="309"/>
    </row>
    <row r="181" spans="1:7" ht="21" x14ac:dyDescent="0.25">
      <c r="A181" s="309"/>
      <c r="B181" s="309"/>
      <c r="C181" s="309"/>
      <c r="D181" s="309"/>
      <c r="E181" s="309"/>
      <c r="F181" s="309"/>
      <c r="G181" s="309"/>
    </row>
    <row r="182" spans="1:7" ht="21" x14ac:dyDescent="0.25">
      <c r="A182" s="309"/>
      <c r="B182" s="309"/>
      <c r="C182" s="309"/>
      <c r="D182" s="309"/>
      <c r="E182" s="309"/>
      <c r="F182" s="309"/>
      <c r="G182" s="309"/>
    </row>
    <row r="183" spans="1:7" ht="21" x14ac:dyDescent="0.25">
      <c r="A183" s="309"/>
      <c r="B183" s="309"/>
      <c r="C183" s="309"/>
      <c r="D183" s="309"/>
      <c r="E183" s="309"/>
      <c r="F183" s="309"/>
      <c r="G183" s="309"/>
    </row>
    <row r="184" spans="1:7" ht="21" x14ac:dyDescent="0.25">
      <c r="A184" s="309"/>
      <c r="B184" s="309"/>
      <c r="C184" s="309"/>
      <c r="D184" s="309"/>
      <c r="E184" s="309"/>
      <c r="F184" s="309"/>
      <c r="G184" s="309"/>
    </row>
    <row r="185" spans="1:7" ht="21" x14ac:dyDescent="0.25">
      <c r="A185" s="309"/>
      <c r="B185" s="309"/>
      <c r="C185" s="309"/>
      <c r="D185" s="309"/>
      <c r="E185" s="309"/>
      <c r="F185" s="309"/>
      <c r="G185" s="309"/>
    </row>
    <row r="186" spans="1:7" ht="21" x14ac:dyDescent="0.25">
      <c r="A186" s="309"/>
      <c r="B186" s="309"/>
      <c r="C186" s="309"/>
      <c r="D186" s="309"/>
      <c r="E186" s="309"/>
      <c r="F186" s="309"/>
      <c r="G186" s="309"/>
    </row>
    <row r="187" spans="1:7" ht="21" x14ac:dyDescent="0.25">
      <c r="A187" s="309"/>
      <c r="B187" s="309"/>
      <c r="C187" s="309"/>
      <c r="D187" s="309"/>
      <c r="E187" s="309"/>
      <c r="F187" s="309"/>
      <c r="G187" s="309"/>
    </row>
    <row r="188" spans="1:7" ht="21" x14ac:dyDescent="0.25">
      <c r="A188" s="309"/>
      <c r="B188" s="309"/>
      <c r="C188" s="309"/>
      <c r="D188" s="309"/>
      <c r="E188" s="309"/>
      <c r="F188" s="309"/>
      <c r="G188" s="309"/>
    </row>
    <row r="189" spans="1:7" ht="21" x14ac:dyDescent="0.25">
      <c r="A189" s="309"/>
      <c r="B189" s="309"/>
      <c r="C189" s="309"/>
      <c r="D189" s="309"/>
      <c r="E189" s="309"/>
      <c r="F189" s="309"/>
      <c r="G189" s="309"/>
    </row>
    <row r="190" spans="1:7" ht="21" x14ac:dyDescent="0.25">
      <c r="A190" s="309"/>
      <c r="B190" s="309"/>
      <c r="C190" s="309"/>
      <c r="D190" s="309"/>
      <c r="E190" s="309"/>
      <c r="F190" s="309"/>
      <c r="G190" s="309"/>
    </row>
    <row r="191" spans="1:7" ht="21" x14ac:dyDescent="0.25">
      <c r="A191" s="309"/>
      <c r="B191" s="309"/>
      <c r="C191" s="309"/>
      <c r="D191" s="309"/>
      <c r="E191" s="309"/>
      <c r="F191" s="309"/>
      <c r="G191" s="309"/>
    </row>
    <row r="192" spans="1:7" ht="21" x14ac:dyDescent="0.25">
      <c r="A192" s="309"/>
      <c r="B192" s="309"/>
      <c r="C192" s="309"/>
      <c r="D192" s="309"/>
      <c r="E192" s="309"/>
      <c r="F192" s="309"/>
      <c r="G192" s="309"/>
    </row>
    <row r="193" spans="1:7" ht="21" x14ac:dyDescent="0.25">
      <c r="A193" s="309"/>
      <c r="B193" s="309"/>
      <c r="C193" s="309"/>
      <c r="D193" s="309"/>
      <c r="E193" s="309"/>
      <c r="F193" s="309"/>
      <c r="G193" s="309"/>
    </row>
    <row r="194" spans="1:7" ht="21" x14ac:dyDescent="0.25">
      <c r="A194" s="309"/>
      <c r="B194" s="309"/>
      <c r="C194" s="309"/>
      <c r="D194" s="309"/>
      <c r="E194" s="309"/>
      <c r="F194" s="309"/>
      <c r="G194" s="309"/>
    </row>
    <row r="195" spans="1:7" ht="21" x14ac:dyDescent="0.25">
      <c r="A195" s="309"/>
      <c r="B195" s="309"/>
      <c r="C195" s="309"/>
      <c r="D195" s="309"/>
      <c r="E195" s="309"/>
      <c r="F195" s="309"/>
      <c r="G195" s="309"/>
    </row>
    <row r="196" spans="1:7" ht="21" x14ac:dyDescent="0.25">
      <c r="A196" s="309"/>
      <c r="B196" s="309"/>
      <c r="C196" s="309"/>
      <c r="D196" s="309"/>
      <c r="E196" s="309"/>
      <c r="F196" s="309"/>
      <c r="G196" s="309"/>
    </row>
    <row r="197" spans="1:7" ht="21" x14ac:dyDescent="0.25">
      <c r="A197" s="309"/>
      <c r="B197" s="309"/>
      <c r="C197" s="309"/>
      <c r="D197" s="309"/>
      <c r="E197" s="309"/>
      <c r="F197" s="309"/>
      <c r="G197" s="309"/>
    </row>
    <row r="198" spans="1:7" ht="21" x14ac:dyDescent="0.25">
      <c r="A198" s="309"/>
      <c r="B198" s="309"/>
      <c r="C198" s="309"/>
      <c r="D198" s="309"/>
      <c r="E198" s="309"/>
      <c r="F198" s="309"/>
      <c r="G198" s="309"/>
    </row>
    <row r="199" spans="1:7" ht="21" x14ac:dyDescent="0.25">
      <c r="A199" s="309"/>
      <c r="B199" s="309"/>
      <c r="C199" s="309"/>
      <c r="D199" s="309"/>
      <c r="E199" s="309"/>
      <c r="F199" s="309"/>
      <c r="G199" s="309"/>
    </row>
    <row r="200" spans="1:7" ht="21" x14ac:dyDescent="0.25">
      <c r="A200" s="309"/>
      <c r="B200" s="309"/>
      <c r="C200" s="309"/>
      <c r="D200" s="309"/>
      <c r="E200" s="309"/>
      <c r="F200" s="309"/>
      <c r="G200" s="309"/>
    </row>
    <row r="201" spans="1:7" ht="21" x14ac:dyDescent="0.25">
      <c r="A201" s="309"/>
      <c r="B201" s="309"/>
      <c r="C201" s="309"/>
      <c r="D201" s="309"/>
      <c r="E201" s="309"/>
      <c r="F201" s="309"/>
      <c r="G201" s="309"/>
    </row>
    <row r="202" spans="1:7" ht="21" x14ac:dyDescent="0.25">
      <c r="A202" s="309"/>
      <c r="B202" s="309"/>
      <c r="C202" s="309"/>
      <c r="D202" s="309"/>
      <c r="E202" s="309"/>
      <c r="F202" s="309"/>
      <c r="G202" s="309"/>
    </row>
    <row r="203" spans="1:7" ht="21" x14ac:dyDescent="0.25">
      <c r="A203" s="309"/>
      <c r="B203" s="309"/>
      <c r="C203" s="309"/>
      <c r="D203" s="309"/>
      <c r="E203" s="309"/>
      <c r="F203" s="309"/>
      <c r="G203" s="309"/>
    </row>
    <row r="204" spans="1:7" ht="21" x14ac:dyDescent="0.25">
      <c r="A204" s="309"/>
      <c r="B204" s="309"/>
      <c r="C204" s="309"/>
      <c r="D204" s="309"/>
      <c r="E204" s="309"/>
      <c r="F204" s="309"/>
      <c r="G204" s="309"/>
    </row>
    <row r="205" spans="1:7" ht="21" x14ac:dyDescent="0.25">
      <c r="A205" s="309"/>
      <c r="B205" s="309"/>
      <c r="C205" s="309"/>
      <c r="D205" s="309"/>
      <c r="E205" s="309"/>
      <c r="F205" s="309"/>
      <c r="G205" s="309"/>
    </row>
    <row r="206" spans="1:7" ht="21" x14ac:dyDescent="0.25">
      <c r="A206" s="309"/>
      <c r="B206" s="309"/>
      <c r="C206" s="309"/>
      <c r="D206" s="309"/>
      <c r="E206" s="309"/>
      <c r="F206" s="309"/>
      <c r="G206" s="309"/>
    </row>
    <row r="207" spans="1:7" ht="21" x14ac:dyDescent="0.25">
      <c r="A207" s="309"/>
      <c r="B207" s="309"/>
      <c r="C207" s="309"/>
      <c r="D207" s="309"/>
      <c r="E207" s="309"/>
      <c r="F207" s="309"/>
      <c r="G207" s="309"/>
    </row>
    <row r="208" spans="1:7" ht="21" x14ac:dyDescent="0.25">
      <c r="A208" s="309"/>
      <c r="B208" s="309"/>
      <c r="C208" s="309"/>
      <c r="D208" s="309"/>
      <c r="E208" s="309"/>
      <c r="F208" s="309"/>
      <c r="G208" s="309"/>
    </row>
    <row r="209" spans="1:7" ht="21" x14ac:dyDescent="0.25">
      <c r="A209" s="309"/>
      <c r="B209" s="309"/>
      <c r="C209" s="309"/>
      <c r="D209" s="309"/>
      <c r="E209" s="309"/>
      <c r="F209" s="309"/>
      <c r="G209" s="309"/>
    </row>
    <row r="210" spans="1:7" ht="21" x14ac:dyDescent="0.25">
      <c r="A210" s="309"/>
      <c r="B210" s="309"/>
      <c r="C210" s="309"/>
      <c r="D210" s="309"/>
      <c r="E210" s="309"/>
      <c r="F210" s="309"/>
      <c r="G210" s="309"/>
    </row>
    <row r="211" spans="1:7" ht="21" x14ac:dyDescent="0.25">
      <c r="A211" s="309"/>
      <c r="B211" s="309"/>
      <c r="C211" s="309"/>
      <c r="D211" s="309"/>
      <c r="E211" s="309"/>
      <c r="F211" s="309"/>
      <c r="G211" s="309"/>
    </row>
    <row r="212" spans="1:7" ht="21" x14ac:dyDescent="0.25">
      <c r="A212" s="309"/>
      <c r="B212" s="309"/>
      <c r="C212" s="309"/>
      <c r="D212" s="309"/>
      <c r="E212" s="309"/>
      <c r="F212" s="309"/>
      <c r="G212" s="309"/>
    </row>
    <row r="213" spans="1:7" ht="21" x14ac:dyDescent="0.25">
      <c r="A213" s="309"/>
      <c r="B213" s="309"/>
      <c r="C213" s="309"/>
      <c r="D213" s="309"/>
      <c r="E213" s="309"/>
      <c r="F213" s="309"/>
      <c r="G213" s="309"/>
    </row>
    <row r="214" spans="1:7" ht="21" x14ac:dyDescent="0.25">
      <c r="A214" s="309"/>
      <c r="B214" s="309"/>
      <c r="C214" s="309"/>
      <c r="D214" s="309"/>
      <c r="E214" s="309"/>
      <c r="F214" s="309"/>
      <c r="G214" s="309"/>
    </row>
    <row r="215" spans="1:7" ht="21" x14ac:dyDescent="0.25">
      <c r="A215" s="309"/>
      <c r="B215" s="309"/>
      <c r="C215" s="309"/>
      <c r="D215" s="309"/>
      <c r="E215" s="309"/>
      <c r="F215" s="309"/>
      <c r="G215" s="309"/>
    </row>
    <row r="216" spans="1:7" ht="21" x14ac:dyDescent="0.25">
      <c r="A216" s="309"/>
      <c r="B216" s="309"/>
      <c r="C216" s="309"/>
      <c r="D216" s="309"/>
      <c r="E216" s="309"/>
      <c r="F216" s="309"/>
      <c r="G216" s="309"/>
    </row>
    <row r="217" spans="1:7" ht="21" x14ac:dyDescent="0.25">
      <c r="A217" s="309"/>
      <c r="B217" s="309"/>
      <c r="C217" s="309"/>
      <c r="D217" s="309"/>
      <c r="E217" s="309"/>
      <c r="F217" s="309"/>
      <c r="G217" s="309"/>
    </row>
    <row r="218" spans="1:7" ht="21" x14ac:dyDescent="0.25">
      <c r="A218" s="309"/>
      <c r="B218" s="309"/>
      <c r="C218" s="309"/>
      <c r="D218" s="309"/>
      <c r="E218" s="309"/>
      <c r="F218" s="309"/>
      <c r="G218" s="309"/>
    </row>
    <row r="219" spans="1:7" ht="21" x14ac:dyDescent="0.25">
      <c r="A219" s="309"/>
      <c r="B219" s="309"/>
      <c r="C219" s="309"/>
      <c r="D219" s="309"/>
      <c r="E219" s="309"/>
      <c r="F219" s="309"/>
      <c r="G219" s="309"/>
    </row>
    <row r="220" spans="1:7" ht="21" x14ac:dyDescent="0.25">
      <c r="A220" s="309"/>
      <c r="B220" s="309"/>
      <c r="C220" s="309"/>
      <c r="D220" s="309"/>
      <c r="E220" s="309"/>
      <c r="F220" s="309"/>
      <c r="G220" s="309"/>
    </row>
    <row r="221" spans="1:7" ht="21" x14ac:dyDescent="0.25">
      <c r="A221" s="309"/>
      <c r="B221" s="309"/>
      <c r="C221" s="309"/>
      <c r="D221" s="309"/>
      <c r="E221" s="309"/>
      <c r="F221" s="309"/>
      <c r="G221" s="309"/>
    </row>
    <row r="222" spans="1:7" ht="21" x14ac:dyDescent="0.25">
      <c r="A222" s="309"/>
      <c r="B222" s="309"/>
      <c r="C222" s="309"/>
      <c r="D222" s="309"/>
      <c r="E222" s="309"/>
      <c r="F222" s="309"/>
      <c r="G222" s="309"/>
    </row>
    <row r="223" spans="1:7" ht="21" x14ac:dyDescent="0.25">
      <c r="A223" s="309"/>
      <c r="B223" s="309"/>
      <c r="C223" s="309"/>
      <c r="D223" s="309"/>
      <c r="E223" s="309"/>
      <c r="F223" s="309"/>
      <c r="G223" s="309"/>
    </row>
    <row r="224" spans="1:7" ht="21" x14ac:dyDescent="0.25">
      <c r="A224" s="309"/>
      <c r="B224" s="309"/>
      <c r="C224" s="309"/>
      <c r="D224" s="309"/>
      <c r="E224" s="309"/>
      <c r="F224" s="309"/>
      <c r="G224" s="309"/>
    </row>
    <row r="225" spans="1:7" ht="21" x14ac:dyDescent="0.25">
      <c r="A225" s="309"/>
      <c r="B225" s="309"/>
      <c r="C225" s="309"/>
      <c r="D225" s="309"/>
      <c r="E225" s="309"/>
      <c r="F225" s="309"/>
      <c r="G225" s="309"/>
    </row>
    <row r="226" spans="1:7" ht="21" x14ac:dyDescent="0.25">
      <c r="A226" s="309"/>
      <c r="B226" s="309"/>
      <c r="C226" s="309"/>
      <c r="D226" s="309"/>
      <c r="E226" s="309"/>
      <c r="F226" s="309"/>
      <c r="G226" s="309"/>
    </row>
    <row r="227" spans="1:7" ht="21" x14ac:dyDescent="0.25">
      <c r="A227" s="309"/>
      <c r="B227" s="309"/>
      <c r="C227" s="309"/>
      <c r="D227" s="309"/>
      <c r="E227" s="309"/>
      <c r="F227" s="309"/>
      <c r="G227" s="309"/>
    </row>
    <row r="228" spans="1:7" ht="21" x14ac:dyDescent="0.25">
      <c r="A228" s="309"/>
      <c r="B228" s="309"/>
      <c r="C228" s="309"/>
      <c r="D228" s="309"/>
      <c r="E228" s="309"/>
      <c r="F228" s="309"/>
      <c r="G228" s="309"/>
    </row>
    <row r="229" spans="1:7" ht="21" x14ac:dyDescent="0.25">
      <c r="A229" s="309"/>
      <c r="B229" s="309"/>
      <c r="C229" s="309"/>
      <c r="D229" s="309"/>
      <c r="E229" s="309"/>
      <c r="F229" s="309"/>
      <c r="G229" s="309"/>
    </row>
    <row r="230" spans="1:7" ht="21" x14ac:dyDescent="0.25">
      <c r="A230" s="309"/>
      <c r="B230" s="309"/>
      <c r="C230" s="309"/>
      <c r="D230" s="309"/>
      <c r="E230" s="309"/>
      <c r="F230" s="309"/>
      <c r="G230" s="309"/>
    </row>
    <row r="231" spans="1:7" ht="21" x14ac:dyDescent="0.25">
      <c r="A231" s="309"/>
      <c r="B231" s="309"/>
      <c r="C231" s="309"/>
      <c r="D231" s="309"/>
      <c r="E231" s="309"/>
      <c r="F231" s="309"/>
      <c r="G231" s="309"/>
    </row>
    <row r="232" spans="1:7" ht="21" x14ac:dyDescent="0.25">
      <c r="A232" s="309"/>
      <c r="B232" s="309"/>
      <c r="C232" s="309"/>
      <c r="D232" s="309"/>
      <c r="E232" s="309"/>
      <c r="F232" s="309"/>
      <c r="G232" s="309"/>
    </row>
    <row r="233" spans="1:7" ht="21" x14ac:dyDescent="0.25">
      <c r="A233" s="309"/>
      <c r="B233" s="309"/>
      <c r="C233" s="309"/>
      <c r="D233" s="309"/>
      <c r="E233" s="309"/>
      <c r="F233" s="309"/>
      <c r="G233" s="309"/>
    </row>
    <row r="234" spans="1:7" ht="21" x14ac:dyDescent="0.25">
      <c r="A234" s="309"/>
      <c r="B234" s="309"/>
      <c r="C234" s="309"/>
      <c r="D234" s="309"/>
      <c r="E234" s="309"/>
      <c r="F234" s="309"/>
      <c r="G234" s="309"/>
    </row>
    <row r="235" spans="1:7" ht="21" x14ac:dyDescent="0.25">
      <c r="A235" s="309"/>
      <c r="B235" s="309"/>
      <c r="C235" s="309"/>
      <c r="D235" s="309"/>
      <c r="E235" s="309"/>
      <c r="F235" s="309"/>
      <c r="G235" s="309"/>
    </row>
    <row r="236" spans="1:7" ht="21" x14ac:dyDescent="0.25">
      <c r="A236" s="309"/>
      <c r="B236" s="309"/>
      <c r="C236" s="309"/>
      <c r="D236" s="309"/>
      <c r="E236" s="309"/>
      <c r="F236" s="309"/>
      <c r="G236" s="309"/>
    </row>
    <row r="237" spans="1:7" ht="21" x14ac:dyDescent="0.25">
      <c r="A237" s="309"/>
      <c r="B237" s="309"/>
      <c r="C237" s="309"/>
      <c r="D237" s="309"/>
      <c r="E237" s="309"/>
      <c r="F237" s="309"/>
      <c r="G237" s="309"/>
    </row>
    <row r="238" spans="1:7" ht="21" x14ac:dyDescent="0.25">
      <c r="A238" s="309"/>
      <c r="B238" s="309"/>
      <c r="C238" s="309"/>
      <c r="D238" s="309"/>
      <c r="E238" s="309"/>
      <c r="F238" s="309"/>
      <c r="G238" s="309"/>
    </row>
    <row r="239" spans="1:7" ht="21" x14ac:dyDescent="0.25">
      <c r="A239" s="309"/>
      <c r="B239" s="309"/>
      <c r="C239" s="309"/>
      <c r="D239" s="309"/>
      <c r="E239" s="309"/>
      <c r="F239" s="309"/>
      <c r="G239" s="309"/>
    </row>
    <row r="240" spans="1:7" ht="21" x14ac:dyDescent="0.25">
      <c r="A240" s="309"/>
      <c r="B240" s="309"/>
      <c r="C240" s="309"/>
      <c r="D240" s="309"/>
      <c r="E240" s="309"/>
      <c r="F240" s="309"/>
      <c r="G240" s="309"/>
    </row>
    <row r="241" spans="1:7" ht="21" x14ac:dyDescent="0.25">
      <c r="A241" s="309"/>
      <c r="B241" s="309"/>
      <c r="C241" s="309"/>
      <c r="D241" s="309"/>
      <c r="E241" s="309"/>
      <c r="F241" s="309"/>
      <c r="G241" s="309"/>
    </row>
    <row r="242" spans="1:7" ht="21" x14ac:dyDescent="0.25">
      <c r="A242" s="309"/>
      <c r="B242" s="309"/>
      <c r="C242" s="309"/>
      <c r="D242" s="309"/>
      <c r="E242" s="309"/>
      <c r="F242" s="309"/>
      <c r="G242" s="309"/>
    </row>
    <row r="243" spans="1:7" ht="21" x14ac:dyDescent="0.25">
      <c r="A243" s="309"/>
      <c r="B243" s="309"/>
      <c r="C243" s="309"/>
      <c r="D243" s="309"/>
      <c r="E243" s="309"/>
      <c r="F243" s="309"/>
      <c r="G243" s="309"/>
    </row>
    <row r="244" spans="1:7" ht="21" x14ac:dyDescent="0.25">
      <c r="A244" s="309"/>
      <c r="B244" s="309"/>
      <c r="C244" s="309"/>
      <c r="D244" s="309"/>
      <c r="E244" s="309"/>
      <c r="F244" s="309"/>
      <c r="G244" s="309"/>
    </row>
    <row r="245" spans="1:7" ht="21" x14ac:dyDescent="0.25">
      <c r="A245" s="309"/>
      <c r="B245" s="309"/>
      <c r="C245" s="309"/>
      <c r="D245" s="309"/>
      <c r="E245" s="309"/>
      <c r="F245" s="309"/>
      <c r="G245" s="309"/>
    </row>
    <row r="246" spans="1:7" ht="21" x14ac:dyDescent="0.25">
      <c r="A246" s="309"/>
      <c r="B246" s="309"/>
      <c r="C246" s="309"/>
      <c r="D246" s="309"/>
      <c r="E246" s="309"/>
      <c r="F246" s="309"/>
      <c r="G246" s="309"/>
    </row>
    <row r="247" spans="1:7" ht="21" x14ac:dyDescent="0.25">
      <c r="A247" s="309"/>
      <c r="B247" s="309"/>
      <c r="C247" s="309"/>
      <c r="D247" s="309"/>
      <c r="E247" s="309"/>
      <c r="F247" s="309"/>
      <c r="G247" s="309"/>
    </row>
    <row r="248" spans="1:7" ht="21" x14ac:dyDescent="0.25">
      <c r="A248" s="309"/>
      <c r="B248" s="309"/>
      <c r="C248" s="309"/>
      <c r="D248" s="309"/>
      <c r="E248" s="309"/>
      <c r="F248" s="309"/>
      <c r="G248" s="309"/>
    </row>
    <row r="249" spans="1:7" ht="21" x14ac:dyDescent="0.25">
      <c r="A249" s="309"/>
      <c r="B249" s="309"/>
      <c r="C249" s="309"/>
      <c r="D249" s="309"/>
      <c r="E249" s="309"/>
      <c r="F249" s="309"/>
      <c r="G249" s="309"/>
    </row>
    <row r="250" spans="1:7" ht="21" x14ac:dyDescent="0.25">
      <c r="A250" s="309"/>
      <c r="B250" s="309"/>
      <c r="C250" s="309"/>
      <c r="D250" s="309"/>
      <c r="E250" s="309"/>
      <c r="F250" s="309"/>
      <c r="G250" s="309"/>
    </row>
    <row r="251" spans="1:7" ht="21" x14ac:dyDescent="0.25">
      <c r="A251" s="309"/>
      <c r="B251" s="309"/>
      <c r="C251" s="309"/>
      <c r="D251" s="309"/>
      <c r="E251" s="309"/>
      <c r="F251" s="309"/>
      <c r="G251" s="309"/>
    </row>
    <row r="252" spans="1:7" ht="21" x14ac:dyDescent="0.25">
      <c r="A252" s="309"/>
      <c r="B252" s="309"/>
      <c r="C252" s="309"/>
      <c r="D252" s="309"/>
      <c r="E252" s="309"/>
      <c r="F252" s="309"/>
      <c r="G252" s="309"/>
    </row>
    <row r="253" spans="1:7" ht="21" x14ac:dyDescent="0.25">
      <c r="A253" s="309"/>
      <c r="B253" s="309"/>
      <c r="C253" s="309"/>
      <c r="D253" s="309"/>
      <c r="E253" s="309"/>
      <c r="F253" s="309"/>
      <c r="G253" s="309"/>
    </row>
    <row r="254" spans="1:7" ht="21" x14ac:dyDescent="0.25">
      <c r="A254" s="309"/>
      <c r="B254" s="309"/>
      <c r="C254" s="309"/>
      <c r="D254" s="309"/>
      <c r="E254" s="309"/>
      <c r="F254" s="309"/>
      <c r="G254" s="309"/>
    </row>
    <row r="255" spans="1:7" ht="21" x14ac:dyDescent="0.25">
      <c r="A255" s="309"/>
      <c r="B255" s="309"/>
      <c r="C255" s="309"/>
      <c r="D255" s="309"/>
      <c r="E255" s="309"/>
      <c r="F255" s="309"/>
      <c r="G255" s="309"/>
    </row>
    <row r="256" spans="1:7" ht="21" x14ac:dyDescent="0.25">
      <c r="A256" s="309"/>
      <c r="B256" s="309"/>
      <c r="C256" s="309"/>
      <c r="D256" s="309"/>
      <c r="E256" s="309"/>
      <c r="F256" s="309"/>
      <c r="G256" s="309"/>
    </row>
    <row r="257" spans="1:7" ht="21" x14ac:dyDescent="0.25">
      <c r="A257" s="309"/>
      <c r="B257" s="309"/>
      <c r="C257" s="309"/>
      <c r="D257" s="309"/>
      <c r="E257" s="309"/>
      <c r="F257" s="309"/>
      <c r="G257" s="309"/>
    </row>
    <row r="258" spans="1:7" ht="21" x14ac:dyDescent="0.25">
      <c r="A258" s="309"/>
      <c r="B258" s="309"/>
      <c r="C258" s="309"/>
      <c r="D258" s="309"/>
      <c r="E258" s="309"/>
      <c r="F258" s="309"/>
      <c r="G258" s="309"/>
    </row>
    <row r="259" spans="1:7" ht="21" x14ac:dyDescent="0.25">
      <c r="A259" s="309"/>
      <c r="B259" s="309"/>
      <c r="C259" s="309"/>
      <c r="D259" s="309"/>
      <c r="E259" s="309"/>
      <c r="F259" s="309"/>
      <c r="G259" s="309"/>
    </row>
    <row r="260" spans="1:7" ht="21" x14ac:dyDescent="0.25">
      <c r="A260" s="309"/>
      <c r="B260" s="309"/>
      <c r="C260" s="309"/>
      <c r="D260" s="309"/>
      <c r="E260" s="309"/>
      <c r="F260" s="309"/>
      <c r="G260" s="309"/>
    </row>
    <row r="261" spans="1:7" ht="21" x14ac:dyDescent="0.25">
      <c r="A261" s="309"/>
      <c r="B261" s="309"/>
      <c r="C261" s="309"/>
      <c r="D261" s="309"/>
      <c r="E261" s="309"/>
      <c r="F261" s="309"/>
      <c r="G261" s="309"/>
    </row>
    <row r="262" spans="1:7" ht="21" x14ac:dyDescent="0.25">
      <c r="A262" s="309"/>
      <c r="B262" s="309"/>
      <c r="C262" s="309"/>
      <c r="D262" s="309"/>
      <c r="E262" s="309"/>
      <c r="F262" s="309"/>
      <c r="G262" s="309"/>
    </row>
    <row r="263" spans="1:7" ht="21" x14ac:dyDescent="0.25">
      <c r="A263" s="309"/>
      <c r="B263" s="309"/>
      <c r="C263" s="309"/>
      <c r="D263" s="309"/>
      <c r="E263" s="309"/>
      <c r="F263" s="309"/>
      <c r="G263" s="309"/>
    </row>
    <row r="264" spans="1:7" ht="21" x14ac:dyDescent="0.25">
      <c r="A264" s="309"/>
      <c r="B264" s="309"/>
      <c r="C264" s="309"/>
      <c r="D264" s="309"/>
      <c r="E264" s="309"/>
      <c r="F264" s="309"/>
      <c r="G264" s="309"/>
    </row>
    <row r="265" spans="1:7" ht="21" x14ac:dyDescent="0.25">
      <c r="A265" s="309"/>
      <c r="B265" s="309"/>
      <c r="C265" s="309"/>
      <c r="D265" s="309"/>
      <c r="E265" s="309"/>
      <c r="F265" s="309"/>
      <c r="G265" s="309"/>
    </row>
    <row r="266" spans="1:7" ht="21" x14ac:dyDescent="0.25">
      <c r="A266" s="309"/>
      <c r="B266" s="309"/>
      <c r="C266" s="309"/>
      <c r="D266" s="309"/>
      <c r="E266" s="309"/>
      <c r="F266" s="309"/>
      <c r="G266" s="309"/>
    </row>
    <row r="267" spans="1:7" ht="21" x14ac:dyDescent="0.25">
      <c r="A267" s="309"/>
      <c r="B267" s="309"/>
      <c r="C267" s="309"/>
      <c r="D267" s="309"/>
      <c r="E267" s="309"/>
      <c r="F267" s="309"/>
      <c r="G267" s="309"/>
    </row>
    <row r="268" spans="1:7" ht="21" x14ac:dyDescent="0.25">
      <c r="A268" s="309"/>
      <c r="B268" s="309"/>
      <c r="C268" s="309"/>
      <c r="D268" s="309"/>
      <c r="E268" s="309"/>
      <c r="F268" s="309"/>
      <c r="G268" s="309"/>
    </row>
    <row r="269" spans="1:7" ht="21" x14ac:dyDescent="0.25">
      <c r="A269" s="309"/>
      <c r="B269" s="309"/>
      <c r="C269" s="309"/>
      <c r="D269" s="309"/>
      <c r="E269" s="309"/>
      <c r="F269" s="309"/>
      <c r="G269" s="309"/>
    </row>
    <row r="270" spans="1:7" ht="21" x14ac:dyDescent="0.25">
      <c r="A270" s="309"/>
      <c r="B270" s="309"/>
      <c r="C270" s="309"/>
      <c r="D270" s="309"/>
      <c r="E270" s="309"/>
      <c r="F270" s="309"/>
      <c r="G270" s="309"/>
    </row>
    <row r="271" spans="1:7" ht="21" x14ac:dyDescent="0.25">
      <c r="A271" s="309"/>
      <c r="B271" s="309"/>
      <c r="C271" s="309"/>
      <c r="D271" s="309"/>
      <c r="E271" s="309"/>
      <c r="F271" s="309"/>
      <c r="G271" s="309"/>
    </row>
    <row r="272" spans="1:7" ht="21" x14ac:dyDescent="0.25">
      <c r="A272" s="309"/>
      <c r="B272" s="309"/>
      <c r="C272" s="309"/>
      <c r="D272" s="309"/>
      <c r="E272" s="309"/>
      <c r="F272" s="309"/>
      <c r="G272" s="309"/>
    </row>
    <row r="273" spans="1:7" ht="21" x14ac:dyDescent="0.25">
      <c r="A273" s="309"/>
      <c r="B273" s="309"/>
      <c r="C273" s="309"/>
      <c r="D273" s="309"/>
      <c r="E273" s="309"/>
      <c r="F273" s="309"/>
      <c r="G273" s="309"/>
    </row>
    <row r="274" spans="1:7" ht="21" x14ac:dyDescent="0.25">
      <c r="A274" s="309"/>
      <c r="B274" s="309"/>
      <c r="C274" s="309"/>
      <c r="D274" s="309"/>
      <c r="E274" s="309"/>
      <c r="F274" s="309"/>
      <c r="G274" s="309"/>
    </row>
    <row r="275" spans="1:7" ht="21" x14ac:dyDescent="0.25">
      <c r="A275" s="309"/>
      <c r="B275" s="309"/>
      <c r="C275" s="309"/>
      <c r="D275" s="309"/>
      <c r="E275" s="309"/>
      <c r="F275" s="309"/>
      <c r="G275" s="309"/>
    </row>
    <row r="276" spans="1:7" ht="21" x14ac:dyDescent="0.25">
      <c r="A276" s="309"/>
      <c r="B276" s="309"/>
      <c r="C276" s="309"/>
      <c r="D276" s="309"/>
      <c r="E276" s="309"/>
      <c r="F276" s="309"/>
      <c r="G276" s="309"/>
    </row>
    <row r="277" spans="1:7" ht="21" x14ac:dyDescent="0.25">
      <c r="A277" s="309"/>
      <c r="B277" s="309"/>
      <c r="C277" s="309"/>
      <c r="D277" s="309"/>
      <c r="E277" s="309"/>
      <c r="F277" s="309"/>
      <c r="G277" s="309"/>
    </row>
    <row r="278" spans="1:7" ht="21" x14ac:dyDescent="0.25">
      <c r="A278" s="309"/>
      <c r="B278" s="309"/>
      <c r="C278" s="309"/>
      <c r="D278" s="309"/>
      <c r="E278" s="309"/>
      <c r="F278" s="309"/>
      <c r="G278" s="309"/>
    </row>
    <row r="279" spans="1:7" ht="21" x14ac:dyDescent="0.25">
      <c r="A279" s="309"/>
      <c r="B279" s="309"/>
      <c r="C279" s="309"/>
      <c r="D279" s="309"/>
      <c r="E279" s="309"/>
      <c r="F279" s="309"/>
      <c r="G279" s="309"/>
    </row>
    <row r="280" spans="1:7" ht="21" x14ac:dyDescent="0.25">
      <c r="A280" s="309"/>
      <c r="B280" s="309"/>
      <c r="C280" s="309"/>
      <c r="D280" s="309"/>
      <c r="E280" s="309"/>
      <c r="F280" s="309"/>
      <c r="G280" s="309"/>
    </row>
    <row r="281" spans="1:7" ht="21" x14ac:dyDescent="0.25">
      <c r="A281" s="309"/>
      <c r="B281" s="309"/>
      <c r="C281" s="309"/>
      <c r="D281" s="309"/>
      <c r="E281" s="309"/>
      <c r="F281" s="309"/>
      <c r="G281" s="309"/>
    </row>
    <row r="282" spans="1:7" ht="21" x14ac:dyDescent="0.25">
      <c r="A282" s="309"/>
      <c r="B282" s="309"/>
      <c r="C282" s="309"/>
      <c r="D282" s="309"/>
      <c r="E282" s="309"/>
      <c r="F282" s="309"/>
      <c r="G282" s="309"/>
    </row>
    <row r="283" spans="1:7" ht="21" x14ac:dyDescent="0.25">
      <c r="A283" s="309"/>
      <c r="B283" s="309"/>
      <c r="C283" s="309"/>
      <c r="D283" s="309"/>
      <c r="E283" s="309"/>
      <c r="F283" s="309"/>
      <c r="G283" s="309"/>
    </row>
    <row r="284" spans="1:7" ht="21" x14ac:dyDescent="0.25">
      <c r="A284" s="309"/>
      <c r="B284" s="309"/>
      <c r="C284" s="309"/>
      <c r="D284" s="309"/>
      <c r="E284" s="309"/>
      <c r="F284" s="309"/>
      <c r="G284" s="309"/>
    </row>
    <row r="285" spans="1:7" ht="21" x14ac:dyDescent="0.25">
      <c r="A285" s="309"/>
      <c r="B285" s="309"/>
      <c r="C285" s="309"/>
      <c r="D285" s="309"/>
      <c r="E285" s="309"/>
      <c r="F285" s="309"/>
      <c r="G285" s="309"/>
    </row>
    <row r="286" spans="1:7" ht="21" x14ac:dyDescent="0.25">
      <c r="A286" s="309"/>
      <c r="B286" s="309"/>
      <c r="C286" s="309"/>
      <c r="D286" s="309"/>
      <c r="E286" s="309"/>
      <c r="F286" s="309"/>
      <c r="G286" s="309"/>
    </row>
    <row r="287" spans="1:7" ht="21" x14ac:dyDescent="0.25">
      <c r="A287" s="309"/>
      <c r="B287" s="309"/>
      <c r="C287" s="309"/>
      <c r="D287" s="309"/>
      <c r="E287" s="309"/>
      <c r="F287" s="309"/>
      <c r="G287" s="309"/>
    </row>
    <row r="288" spans="1:7" ht="21" x14ac:dyDescent="0.25">
      <c r="A288" s="309"/>
      <c r="B288" s="309"/>
      <c r="C288" s="309"/>
      <c r="D288" s="309"/>
      <c r="E288" s="309"/>
      <c r="F288" s="309"/>
      <c r="G288" s="309"/>
    </row>
    <row r="289" spans="1:7" ht="21" x14ac:dyDescent="0.25">
      <c r="A289" s="309"/>
      <c r="B289" s="309"/>
      <c r="C289" s="309"/>
      <c r="D289" s="309"/>
      <c r="E289" s="309"/>
      <c r="F289" s="309"/>
      <c r="G289" s="309"/>
    </row>
    <row r="290" spans="1:7" ht="21" x14ac:dyDescent="0.25">
      <c r="A290" s="309"/>
      <c r="B290" s="309"/>
      <c r="C290" s="309"/>
      <c r="D290" s="309"/>
      <c r="E290" s="309"/>
      <c r="F290" s="309"/>
      <c r="G290" s="309"/>
    </row>
    <row r="291" spans="1:7" ht="21" x14ac:dyDescent="0.25">
      <c r="A291" s="309"/>
      <c r="B291" s="309"/>
      <c r="C291" s="309"/>
      <c r="D291" s="309"/>
      <c r="E291" s="309"/>
      <c r="F291" s="309"/>
      <c r="G291" s="309"/>
    </row>
    <row r="292" spans="1:7" ht="21" x14ac:dyDescent="0.25">
      <c r="A292" s="309"/>
      <c r="B292" s="309"/>
      <c r="C292" s="309"/>
      <c r="D292" s="309"/>
      <c r="E292" s="309"/>
      <c r="F292" s="309"/>
      <c r="G292" s="309"/>
    </row>
    <row r="293" spans="1:7" ht="21" x14ac:dyDescent="0.25">
      <c r="A293" s="309"/>
      <c r="B293" s="309"/>
      <c r="C293" s="309"/>
      <c r="D293" s="309"/>
      <c r="E293" s="309"/>
      <c r="F293" s="309"/>
      <c r="G293" s="309"/>
    </row>
    <row r="294" spans="1:7" ht="21" x14ac:dyDescent="0.25">
      <c r="A294" s="309"/>
      <c r="B294" s="309"/>
      <c r="C294" s="309"/>
      <c r="D294" s="309"/>
      <c r="E294" s="309"/>
      <c r="F294" s="309"/>
      <c r="G294" s="309"/>
    </row>
    <row r="295" spans="1:7" ht="21" x14ac:dyDescent="0.25">
      <c r="A295" s="309"/>
      <c r="B295" s="309"/>
      <c r="C295" s="309"/>
      <c r="D295" s="309"/>
      <c r="E295" s="309"/>
      <c r="F295" s="309"/>
      <c r="G295" s="309"/>
    </row>
    <row r="296" spans="1:7" ht="21" x14ac:dyDescent="0.25">
      <c r="A296" s="309"/>
      <c r="B296" s="309"/>
      <c r="C296" s="309"/>
      <c r="D296" s="309"/>
      <c r="E296" s="309"/>
      <c r="F296" s="309"/>
      <c r="G296" s="309"/>
    </row>
    <row r="297" spans="1:7" ht="21" x14ac:dyDescent="0.25">
      <c r="A297" s="309"/>
      <c r="B297" s="309"/>
      <c r="C297" s="309"/>
      <c r="D297" s="309"/>
      <c r="E297" s="309"/>
      <c r="F297" s="309"/>
      <c r="G297" s="309"/>
    </row>
    <row r="298" spans="1:7" ht="21" x14ac:dyDescent="0.25">
      <c r="A298" s="309"/>
      <c r="B298" s="309"/>
      <c r="C298" s="309"/>
      <c r="D298" s="309"/>
      <c r="E298" s="309"/>
      <c r="F298" s="309"/>
      <c r="G298" s="309"/>
    </row>
    <row r="299" spans="1:7" ht="21" x14ac:dyDescent="0.25">
      <c r="A299" s="309"/>
      <c r="B299" s="309"/>
      <c r="C299" s="309"/>
      <c r="D299" s="309"/>
      <c r="E299" s="309"/>
      <c r="F299" s="309"/>
      <c r="G299" s="309"/>
    </row>
    <row r="300" spans="1:7" ht="21" x14ac:dyDescent="0.25">
      <c r="A300" s="309"/>
      <c r="B300" s="309"/>
      <c r="C300" s="309"/>
      <c r="D300" s="309"/>
      <c r="E300" s="309"/>
      <c r="F300" s="309"/>
      <c r="G300" s="309"/>
    </row>
    <row r="301" spans="1:7" ht="21" x14ac:dyDescent="0.25">
      <c r="A301" s="309"/>
      <c r="B301" s="309"/>
      <c r="C301" s="309"/>
      <c r="D301" s="309"/>
      <c r="E301" s="309"/>
      <c r="F301" s="309"/>
      <c r="G301" s="309"/>
    </row>
    <row r="302" spans="1:7" ht="21" x14ac:dyDescent="0.25">
      <c r="A302" s="309"/>
      <c r="B302" s="309"/>
      <c r="C302" s="309"/>
      <c r="D302" s="309"/>
      <c r="E302" s="309"/>
      <c r="F302" s="309"/>
      <c r="G302" s="309"/>
    </row>
    <row r="303" spans="1:7" ht="21" x14ac:dyDescent="0.25">
      <c r="A303" s="309"/>
      <c r="B303" s="309"/>
      <c r="C303" s="309"/>
      <c r="D303" s="309"/>
      <c r="E303" s="309"/>
      <c r="F303" s="309"/>
      <c r="G303" s="309"/>
    </row>
    <row r="304" spans="1:7" ht="21" x14ac:dyDescent="0.25">
      <c r="A304" s="309"/>
      <c r="B304" s="309"/>
      <c r="C304" s="309"/>
      <c r="D304" s="309"/>
      <c r="E304" s="309"/>
      <c r="F304" s="309"/>
      <c r="G304" s="309"/>
    </row>
    <row r="305" spans="1:7" ht="21" x14ac:dyDescent="0.25">
      <c r="A305" s="309"/>
      <c r="B305" s="309"/>
      <c r="C305" s="309"/>
      <c r="D305" s="309"/>
      <c r="E305" s="309"/>
      <c r="F305" s="309"/>
      <c r="G305" s="309"/>
    </row>
    <row r="306" spans="1:7" ht="21" x14ac:dyDescent="0.25">
      <c r="A306" s="309"/>
      <c r="B306" s="309"/>
      <c r="C306" s="309"/>
      <c r="D306" s="309"/>
      <c r="E306" s="309"/>
      <c r="F306" s="309"/>
      <c r="G306" s="309"/>
    </row>
    <row r="307" spans="1:7" ht="21" x14ac:dyDescent="0.25">
      <c r="A307" s="309"/>
      <c r="B307" s="309"/>
      <c r="C307" s="309"/>
      <c r="D307" s="309"/>
      <c r="E307" s="309"/>
      <c r="F307" s="309"/>
      <c r="G307" s="309"/>
    </row>
    <row r="308" spans="1:7" ht="21" x14ac:dyDescent="0.25">
      <c r="A308" s="309"/>
      <c r="B308" s="309"/>
      <c r="C308" s="309"/>
      <c r="D308" s="309"/>
      <c r="E308" s="309"/>
      <c r="F308" s="309"/>
      <c r="G308" s="309"/>
    </row>
    <row r="309" spans="1:7" ht="21" x14ac:dyDescent="0.25">
      <c r="A309" s="309"/>
      <c r="B309" s="309"/>
      <c r="C309" s="309"/>
      <c r="D309" s="309"/>
      <c r="E309" s="309"/>
      <c r="F309" s="309"/>
      <c r="G309" s="309"/>
    </row>
    <row r="310" spans="1:7" ht="21" x14ac:dyDescent="0.25">
      <c r="A310" s="309"/>
      <c r="B310" s="309"/>
      <c r="C310" s="309"/>
      <c r="D310" s="309"/>
      <c r="E310" s="309"/>
      <c r="F310" s="309"/>
      <c r="G310" s="309"/>
    </row>
    <row r="311" spans="1:7" ht="21" x14ac:dyDescent="0.25">
      <c r="A311" s="309"/>
      <c r="B311" s="309"/>
      <c r="C311" s="309"/>
      <c r="D311" s="309"/>
      <c r="E311" s="309"/>
      <c r="F311" s="309"/>
      <c r="G311" s="309"/>
    </row>
    <row r="312" spans="1:7" ht="21" x14ac:dyDescent="0.25">
      <c r="A312" s="309"/>
      <c r="B312" s="309"/>
      <c r="C312" s="309"/>
      <c r="D312" s="309"/>
      <c r="E312" s="309"/>
      <c r="F312" s="309"/>
      <c r="G312" s="309"/>
    </row>
    <row r="313" spans="1:7" ht="21" x14ac:dyDescent="0.25">
      <c r="A313" s="309"/>
      <c r="B313" s="309"/>
      <c r="C313" s="309"/>
      <c r="D313" s="309"/>
      <c r="E313" s="309"/>
      <c r="F313" s="309"/>
      <c r="G313" s="309"/>
    </row>
    <row r="314" spans="1:7" ht="21" x14ac:dyDescent="0.25">
      <c r="A314" s="309"/>
      <c r="B314" s="309"/>
      <c r="C314" s="309"/>
      <c r="D314" s="309"/>
      <c r="E314" s="309"/>
      <c r="F314" s="309"/>
      <c r="G314" s="309"/>
    </row>
    <row r="315" spans="1:7" ht="21" x14ac:dyDescent="0.25">
      <c r="A315" s="309"/>
      <c r="B315" s="309"/>
      <c r="C315" s="309"/>
      <c r="D315" s="309"/>
      <c r="E315" s="309"/>
      <c r="F315" s="309"/>
      <c r="G315" s="309"/>
    </row>
    <row r="316" spans="1:7" ht="21" x14ac:dyDescent="0.25">
      <c r="A316" s="309"/>
      <c r="B316" s="309"/>
      <c r="C316" s="309"/>
      <c r="D316" s="309"/>
      <c r="E316" s="309"/>
      <c r="F316" s="309"/>
      <c r="G316" s="309"/>
    </row>
    <row r="317" spans="1:7" ht="21" x14ac:dyDescent="0.25">
      <c r="A317" s="309"/>
      <c r="B317" s="309"/>
      <c r="C317" s="309"/>
      <c r="D317" s="309"/>
      <c r="E317" s="309"/>
      <c r="F317" s="309"/>
      <c r="G317" s="309"/>
    </row>
    <row r="318" spans="1:7" ht="21" x14ac:dyDescent="0.25">
      <c r="A318" s="309"/>
      <c r="B318" s="309"/>
      <c r="C318" s="309"/>
      <c r="D318" s="309"/>
      <c r="E318" s="309"/>
      <c r="F318" s="309"/>
      <c r="G318" s="309"/>
    </row>
    <row r="319" spans="1:7" ht="21" x14ac:dyDescent="0.25">
      <c r="A319" s="309"/>
      <c r="B319" s="309"/>
      <c r="C319" s="309"/>
      <c r="D319" s="309"/>
      <c r="E319" s="309"/>
      <c r="F319" s="309"/>
      <c r="G319" s="309"/>
    </row>
    <row r="320" spans="1:7" ht="21" x14ac:dyDescent="0.25">
      <c r="A320" s="309"/>
      <c r="B320" s="309"/>
      <c r="C320" s="309"/>
      <c r="D320" s="309"/>
      <c r="E320" s="309"/>
      <c r="F320" s="309"/>
      <c r="G320" s="309"/>
    </row>
    <row r="321" spans="1:7" ht="21" x14ac:dyDescent="0.25">
      <c r="A321" s="309"/>
      <c r="B321" s="309"/>
      <c r="C321" s="309"/>
      <c r="D321" s="309"/>
      <c r="E321" s="309"/>
      <c r="F321" s="309"/>
      <c r="G321" s="309"/>
    </row>
    <row r="322" spans="1:7" ht="21" x14ac:dyDescent="0.25">
      <c r="A322" s="309"/>
      <c r="B322" s="309"/>
      <c r="C322" s="309"/>
      <c r="D322" s="309"/>
      <c r="E322" s="309"/>
      <c r="F322" s="309"/>
      <c r="G322" s="309"/>
    </row>
    <row r="323" spans="1:7" ht="21" x14ac:dyDescent="0.25">
      <c r="A323" s="309"/>
      <c r="B323" s="309"/>
      <c r="C323" s="309"/>
      <c r="D323" s="309"/>
      <c r="E323" s="309"/>
      <c r="F323" s="309"/>
      <c r="G323" s="309"/>
    </row>
    <row r="324" spans="1:7" ht="21" x14ac:dyDescent="0.25">
      <c r="A324" s="309"/>
      <c r="B324" s="309"/>
      <c r="C324" s="309"/>
      <c r="D324" s="309"/>
      <c r="E324" s="309"/>
      <c r="F324" s="309"/>
      <c r="G324" s="309"/>
    </row>
    <row r="325" spans="1:7" ht="21" x14ac:dyDescent="0.25">
      <c r="A325" s="309"/>
      <c r="B325" s="309"/>
      <c r="C325" s="309"/>
      <c r="D325" s="309"/>
      <c r="E325" s="309"/>
      <c r="F325" s="309"/>
      <c r="G325" s="309"/>
    </row>
    <row r="326" spans="1:7" ht="21" x14ac:dyDescent="0.25">
      <c r="A326" s="309"/>
      <c r="B326" s="309"/>
      <c r="C326" s="309"/>
      <c r="D326" s="309"/>
      <c r="E326" s="309"/>
      <c r="F326" s="309"/>
      <c r="G326" s="309"/>
    </row>
    <row r="327" spans="1:7" ht="21" x14ac:dyDescent="0.25">
      <c r="A327" s="309"/>
      <c r="B327" s="309"/>
      <c r="C327" s="309"/>
      <c r="D327" s="309"/>
      <c r="E327" s="309"/>
      <c r="F327" s="309"/>
      <c r="G327" s="309"/>
    </row>
    <row r="328" spans="1:7" ht="21" x14ac:dyDescent="0.25">
      <c r="A328" s="309"/>
      <c r="B328" s="309"/>
      <c r="C328" s="309"/>
      <c r="D328" s="309"/>
      <c r="E328" s="309"/>
      <c r="F328" s="309"/>
      <c r="G328" s="309"/>
    </row>
    <row r="329" spans="1:7" ht="21" x14ac:dyDescent="0.25">
      <c r="A329" s="309"/>
      <c r="B329" s="309"/>
      <c r="C329" s="309"/>
      <c r="D329" s="309"/>
      <c r="E329" s="309"/>
      <c r="F329" s="309"/>
      <c r="G329" s="309"/>
    </row>
    <row r="330" spans="1:7" ht="21" x14ac:dyDescent="0.25">
      <c r="A330" s="309"/>
      <c r="B330" s="309"/>
      <c r="C330" s="309"/>
      <c r="D330" s="309"/>
      <c r="E330" s="309"/>
      <c r="F330" s="309"/>
      <c r="G330" s="309"/>
    </row>
    <row r="331" spans="1:7" ht="21" x14ac:dyDescent="0.25">
      <c r="A331" s="309"/>
      <c r="B331" s="309"/>
      <c r="C331" s="309"/>
      <c r="D331" s="309"/>
      <c r="E331" s="309"/>
      <c r="F331" s="309"/>
      <c r="G331" s="309"/>
    </row>
    <row r="332" spans="1:7" ht="21" x14ac:dyDescent="0.25">
      <c r="A332" s="309"/>
      <c r="B332" s="309"/>
      <c r="C332" s="309"/>
      <c r="D332" s="309"/>
      <c r="E332" s="309"/>
      <c r="F332" s="309"/>
      <c r="G332" s="309"/>
    </row>
    <row r="333" spans="1:7" ht="21" x14ac:dyDescent="0.25">
      <c r="A333" s="309"/>
      <c r="B333" s="309"/>
      <c r="C333" s="309"/>
      <c r="D333" s="309"/>
      <c r="E333" s="309"/>
      <c r="F333" s="309"/>
      <c r="G333" s="309"/>
    </row>
    <row r="334" spans="1:7" ht="21" x14ac:dyDescent="0.25">
      <c r="A334" s="309"/>
      <c r="B334" s="309"/>
      <c r="C334" s="309"/>
      <c r="D334" s="309"/>
      <c r="E334" s="309"/>
      <c r="F334" s="309"/>
      <c r="G334" s="309"/>
    </row>
    <row r="335" spans="1:7" ht="21" x14ac:dyDescent="0.25">
      <c r="A335" s="309"/>
      <c r="B335" s="309"/>
      <c r="C335" s="309"/>
      <c r="D335" s="309"/>
      <c r="E335" s="309"/>
      <c r="F335" s="309"/>
      <c r="G335" s="309"/>
    </row>
    <row r="336" spans="1:7" ht="21" x14ac:dyDescent="0.25">
      <c r="A336" s="309"/>
      <c r="B336" s="309"/>
      <c r="C336" s="309"/>
      <c r="D336" s="309"/>
      <c r="E336" s="309"/>
      <c r="F336" s="309"/>
      <c r="G336" s="309"/>
    </row>
    <row r="337" spans="1:7" ht="21" x14ac:dyDescent="0.25">
      <c r="A337" s="309"/>
      <c r="B337" s="309"/>
      <c r="C337" s="309"/>
      <c r="D337" s="309"/>
      <c r="E337" s="309"/>
      <c r="F337" s="309"/>
      <c r="G337" s="309"/>
    </row>
    <row r="338" spans="1:7" ht="21" x14ac:dyDescent="0.25">
      <c r="A338" s="309"/>
      <c r="B338" s="309"/>
      <c r="C338" s="309"/>
      <c r="D338" s="309"/>
      <c r="E338" s="309"/>
      <c r="F338" s="309"/>
      <c r="G338" s="309"/>
    </row>
    <row r="339" spans="1:7" ht="21" x14ac:dyDescent="0.25">
      <c r="A339" s="309"/>
      <c r="B339" s="309"/>
      <c r="C339" s="309"/>
      <c r="D339" s="309"/>
      <c r="E339" s="309"/>
      <c r="F339" s="309"/>
      <c r="G339" s="309"/>
    </row>
    <row r="340" spans="1:7" ht="21" x14ac:dyDescent="0.25">
      <c r="A340" s="309"/>
      <c r="B340" s="309"/>
      <c r="C340" s="309"/>
      <c r="D340" s="309"/>
      <c r="E340" s="309"/>
      <c r="F340" s="309"/>
      <c r="G340" s="309"/>
    </row>
    <row r="341" spans="1:7" ht="21" x14ac:dyDescent="0.25">
      <c r="A341" s="309"/>
      <c r="B341" s="309"/>
      <c r="C341" s="309"/>
      <c r="D341" s="309"/>
      <c r="E341" s="309"/>
      <c r="F341" s="309"/>
      <c r="G341" s="309"/>
    </row>
    <row r="342" spans="1:7" ht="21" x14ac:dyDescent="0.25">
      <c r="A342" s="309"/>
      <c r="B342" s="309"/>
      <c r="C342" s="309"/>
      <c r="D342" s="309"/>
      <c r="E342" s="309"/>
      <c r="F342" s="309"/>
      <c r="G342" s="309"/>
    </row>
    <row r="343" spans="1:7" ht="21" x14ac:dyDescent="0.25">
      <c r="A343" s="309"/>
      <c r="B343" s="309"/>
      <c r="C343" s="309"/>
      <c r="D343" s="309"/>
      <c r="E343" s="309"/>
      <c r="F343" s="309"/>
      <c r="G343" s="309"/>
    </row>
    <row r="344" spans="1:7" ht="21" x14ac:dyDescent="0.25">
      <c r="A344" s="309"/>
      <c r="B344" s="309"/>
      <c r="C344" s="309"/>
      <c r="D344" s="309"/>
      <c r="E344" s="309"/>
      <c r="F344" s="309"/>
      <c r="G344" s="309"/>
    </row>
    <row r="345" spans="1:7" ht="21" x14ac:dyDescent="0.25">
      <c r="A345" s="309"/>
      <c r="B345" s="309"/>
      <c r="C345" s="309"/>
      <c r="D345" s="309"/>
      <c r="E345" s="309"/>
      <c r="F345" s="309"/>
      <c r="G345" s="309"/>
    </row>
    <row r="346" spans="1:7" ht="21" x14ac:dyDescent="0.25">
      <c r="A346" s="309"/>
      <c r="B346" s="309"/>
      <c r="C346" s="309"/>
      <c r="D346" s="309"/>
      <c r="E346" s="309"/>
      <c r="F346" s="309"/>
      <c r="G346" s="309"/>
    </row>
    <row r="347" spans="1:7" ht="21" x14ac:dyDescent="0.25">
      <c r="A347" s="309"/>
      <c r="B347" s="309"/>
      <c r="C347" s="309"/>
      <c r="D347" s="309"/>
      <c r="E347" s="309"/>
      <c r="F347" s="309"/>
      <c r="G347" s="309"/>
    </row>
    <row r="348" spans="1:7" ht="21" x14ac:dyDescent="0.25">
      <c r="A348" s="309"/>
      <c r="B348" s="309"/>
      <c r="C348" s="309"/>
      <c r="D348" s="309"/>
      <c r="E348" s="309"/>
      <c r="F348" s="309"/>
      <c r="G348" s="309"/>
    </row>
    <row r="349" spans="1:7" ht="21" x14ac:dyDescent="0.25">
      <c r="A349" s="309"/>
      <c r="B349" s="309"/>
      <c r="C349" s="309"/>
      <c r="D349" s="309"/>
      <c r="E349" s="309"/>
      <c r="F349" s="309"/>
      <c r="G349" s="309"/>
    </row>
    <row r="350" spans="1:7" ht="21" x14ac:dyDescent="0.25">
      <c r="A350" s="309"/>
      <c r="B350" s="309"/>
      <c r="C350" s="309"/>
      <c r="D350" s="309"/>
      <c r="E350" s="309"/>
      <c r="F350" s="309"/>
      <c r="G350" s="309"/>
    </row>
    <row r="351" spans="1:7" ht="21" x14ac:dyDescent="0.25">
      <c r="A351" s="309"/>
      <c r="B351" s="309"/>
      <c r="C351" s="309"/>
      <c r="D351" s="309"/>
      <c r="E351" s="309"/>
      <c r="F351" s="309"/>
      <c r="G351" s="309"/>
    </row>
    <row r="352" spans="1:7" ht="21" x14ac:dyDescent="0.25">
      <c r="A352" s="309"/>
      <c r="B352" s="309"/>
      <c r="C352" s="309"/>
      <c r="D352" s="309"/>
      <c r="E352" s="309"/>
      <c r="F352" s="309"/>
      <c r="G352" s="309"/>
    </row>
    <row r="353" spans="1:7" ht="21" x14ac:dyDescent="0.25">
      <c r="A353" s="309"/>
      <c r="B353" s="309"/>
      <c r="C353" s="309"/>
      <c r="D353" s="309"/>
      <c r="E353" s="309"/>
      <c r="F353" s="309"/>
      <c r="G353" s="309"/>
    </row>
    <row r="354" spans="1:7" ht="21" x14ac:dyDescent="0.25">
      <c r="A354" s="309"/>
      <c r="B354" s="309"/>
      <c r="C354" s="309"/>
      <c r="D354" s="309"/>
      <c r="E354" s="309"/>
      <c r="F354" s="309"/>
      <c r="G354" s="309"/>
    </row>
    <row r="355" spans="1:7" ht="21" x14ac:dyDescent="0.25">
      <c r="A355" s="309"/>
      <c r="B355" s="309"/>
      <c r="C355" s="309"/>
      <c r="D355" s="309"/>
      <c r="E355" s="309"/>
      <c r="F355" s="309"/>
      <c r="G355" s="309"/>
    </row>
    <row r="356" spans="1:7" ht="21" x14ac:dyDescent="0.25">
      <c r="A356" s="309"/>
      <c r="B356" s="309"/>
      <c r="C356" s="309"/>
      <c r="D356" s="309"/>
      <c r="E356" s="309"/>
      <c r="F356" s="309"/>
      <c r="G356" s="309"/>
    </row>
    <row r="357" spans="1:7" ht="21" x14ac:dyDescent="0.25">
      <c r="A357" s="309"/>
      <c r="B357" s="309"/>
      <c r="C357" s="309"/>
      <c r="D357" s="309"/>
      <c r="E357" s="309"/>
      <c r="F357" s="309"/>
      <c r="G357" s="309"/>
    </row>
    <row r="358" spans="1:7" ht="21" x14ac:dyDescent="0.25">
      <c r="A358" s="309"/>
      <c r="B358" s="309"/>
      <c r="C358" s="309"/>
      <c r="D358" s="309"/>
      <c r="E358" s="309"/>
      <c r="F358" s="309"/>
      <c r="G358" s="309"/>
    </row>
    <row r="359" spans="1:7" ht="21" x14ac:dyDescent="0.25">
      <c r="A359" s="309"/>
      <c r="B359" s="309"/>
      <c r="C359" s="309"/>
      <c r="D359" s="309"/>
      <c r="E359" s="309"/>
      <c r="F359" s="309"/>
      <c r="G359" s="309"/>
    </row>
    <row r="360" spans="1:7" ht="21" x14ac:dyDescent="0.25">
      <c r="A360" s="309"/>
      <c r="B360" s="309"/>
      <c r="C360" s="309"/>
      <c r="D360" s="309"/>
      <c r="E360" s="309"/>
      <c r="F360" s="309"/>
      <c r="G360" s="309"/>
    </row>
    <row r="361" spans="1:7" ht="21" x14ac:dyDescent="0.25">
      <c r="A361" s="309"/>
      <c r="B361" s="309"/>
      <c r="C361" s="309"/>
      <c r="D361" s="309"/>
      <c r="E361" s="309"/>
      <c r="F361" s="309"/>
      <c r="G361" s="309"/>
    </row>
    <row r="362" spans="1:7" ht="21" x14ac:dyDescent="0.25">
      <c r="A362" s="309"/>
      <c r="B362" s="309"/>
      <c r="C362" s="309"/>
      <c r="D362" s="309"/>
      <c r="E362" s="309"/>
      <c r="F362" s="309"/>
      <c r="G362" s="309"/>
    </row>
    <row r="363" spans="1:7" ht="21" x14ac:dyDescent="0.25">
      <c r="A363" s="309"/>
      <c r="B363" s="309"/>
      <c r="C363" s="309"/>
      <c r="D363" s="309"/>
      <c r="E363" s="309"/>
      <c r="F363" s="309"/>
      <c r="G363" s="309"/>
    </row>
    <row r="364" spans="1:7" ht="21" x14ac:dyDescent="0.25">
      <c r="A364" s="309"/>
      <c r="B364" s="309"/>
      <c r="C364" s="309"/>
      <c r="D364" s="309"/>
      <c r="E364" s="309"/>
      <c r="F364" s="309"/>
      <c r="G364" s="309"/>
    </row>
    <row r="365" spans="1:7" ht="21" x14ac:dyDescent="0.25">
      <c r="A365" s="309"/>
      <c r="B365" s="309"/>
      <c r="C365" s="309"/>
      <c r="D365" s="309"/>
      <c r="E365" s="309"/>
      <c r="F365" s="309"/>
      <c r="G365" s="309"/>
    </row>
    <row r="366" spans="1:7" ht="21" x14ac:dyDescent="0.25">
      <c r="A366" s="309"/>
      <c r="B366" s="309"/>
      <c r="C366" s="309"/>
      <c r="D366" s="309"/>
      <c r="E366" s="309"/>
      <c r="F366" s="309"/>
      <c r="G366" s="309"/>
    </row>
    <row r="367" spans="1:7" ht="21" x14ac:dyDescent="0.25">
      <c r="A367" s="309"/>
      <c r="B367" s="309"/>
      <c r="C367" s="309"/>
      <c r="D367" s="309"/>
      <c r="E367" s="309"/>
      <c r="F367" s="309"/>
      <c r="G367" s="309"/>
    </row>
    <row r="368" spans="1:7" ht="21" x14ac:dyDescent="0.25">
      <c r="A368" s="309"/>
      <c r="B368" s="309"/>
      <c r="C368" s="309"/>
      <c r="D368" s="309"/>
      <c r="E368" s="309"/>
      <c r="F368" s="309"/>
      <c r="G368" s="309"/>
    </row>
    <row r="369" spans="1:7" ht="21" x14ac:dyDescent="0.25">
      <c r="A369" s="309"/>
      <c r="B369" s="309"/>
      <c r="C369" s="309"/>
      <c r="D369" s="309"/>
      <c r="E369" s="309"/>
      <c r="F369" s="309"/>
      <c r="G369" s="309"/>
    </row>
    <row r="370" spans="1:7" ht="21" x14ac:dyDescent="0.25">
      <c r="A370" s="309"/>
      <c r="B370" s="309"/>
      <c r="C370" s="309"/>
      <c r="D370" s="309"/>
      <c r="E370" s="309"/>
      <c r="F370" s="309"/>
      <c r="G370" s="309"/>
    </row>
    <row r="371" spans="1:7" ht="21" x14ac:dyDescent="0.25">
      <c r="A371" s="309"/>
      <c r="B371" s="309"/>
      <c r="C371" s="309"/>
      <c r="D371" s="309"/>
      <c r="E371" s="309"/>
      <c r="F371" s="309"/>
      <c r="G371" s="309"/>
    </row>
    <row r="372" spans="1:7" ht="21" x14ac:dyDescent="0.25">
      <c r="A372" s="309"/>
      <c r="B372" s="309"/>
      <c r="C372" s="309"/>
      <c r="D372" s="309"/>
      <c r="E372" s="309"/>
      <c r="F372" s="309"/>
      <c r="G372" s="309"/>
    </row>
    <row r="373" spans="1:7" ht="21" x14ac:dyDescent="0.25">
      <c r="A373" s="309"/>
      <c r="B373" s="309"/>
      <c r="C373" s="309"/>
      <c r="D373" s="309"/>
      <c r="E373" s="309"/>
      <c r="F373" s="309"/>
      <c r="G373" s="309"/>
    </row>
    <row r="374" spans="1:7" ht="21" x14ac:dyDescent="0.25">
      <c r="A374" s="309"/>
      <c r="B374" s="309"/>
      <c r="C374" s="309"/>
      <c r="D374" s="309"/>
      <c r="E374" s="309"/>
      <c r="F374" s="309"/>
      <c r="G374" s="309"/>
    </row>
    <row r="375" spans="1:7" ht="21" x14ac:dyDescent="0.25">
      <c r="A375" s="309"/>
      <c r="B375" s="309"/>
      <c r="C375" s="309"/>
      <c r="D375" s="309"/>
      <c r="E375" s="309"/>
      <c r="F375" s="309"/>
      <c r="G375" s="309"/>
    </row>
    <row r="376" spans="1:7" ht="21" x14ac:dyDescent="0.25">
      <c r="A376" s="309"/>
      <c r="B376" s="309"/>
      <c r="C376" s="309"/>
      <c r="D376" s="309"/>
      <c r="E376" s="309"/>
      <c r="F376" s="309"/>
      <c r="G376" s="309"/>
    </row>
    <row r="377" spans="1:7" ht="21" x14ac:dyDescent="0.25">
      <c r="A377" s="309"/>
      <c r="B377" s="309"/>
      <c r="C377" s="309"/>
      <c r="D377" s="309"/>
      <c r="E377" s="309"/>
      <c r="F377" s="309"/>
      <c r="G377" s="309"/>
    </row>
    <row r="378" spans="1:7" ht="21" x14ac:dyDescent="0.25">
      <c r="A378" s="309"/>
      <c r="B378" s="309"/>
      <c r="C378" s="309"/>
      <c r="D378" s="309"/>
      <c r="E378" s="309"/>
      <c r="F378" s="309"/>
      <c r="G378" s="309"/>
    </row>
    <row r="379" spans="1:7" ht="21" x14ac:dyDescent="0.25">
      <c r="A379" s="309"/>
      <c r="B379" s="309"/>
      <c r="C379" s="309"/>
      <c r="D379" s="309"/>
      <c r="E379" s="309"/>
      <c r="F379" s="309"/>
      <c r="G379" s="309"/>
    </row>
    <row r="380" spans="1:7" ht="21" x14ac:dyDescent="0.25">
      <c r="A380" s="309"/>
      <c r="B380" s="309"/>
      <c r="C380" s="309"/>
      <c r="D380" s="309"/>
      <c r="E380" s="309"/>
      <c r="F380" s="309"/>
      <c r="G380" s="309"/>
    </row>
    <row r="381" spans="1:7" ht="21" x14ac:dyDescent="0.25">
      <c r="A381" s="309"/>
      <c r="B381" s="309"/>
      <c r="C381" s="309"/>
      <c r="D381" s="309"/>
      <c r="E381" s="309"/>
      <c r="F381" s="309"/>
      <c r="G381" s="309"/>
    </row>
    <row r="382" spans="1:7" ht="21" x14ac:dyDescent="0.25">
      <c r="A382" s="309"/>
      <c r="B382" s="309"/>
      <c r="C382" s="309"/>
      <c r="D382" s="309"/>
      <c r="E382" s="309"/>
      <c r="F382" s="309"/>
      <c r="G382" s="309"/>
    </row>
    <row r="383" spans="1:7" ht="21" x14ac:dyDescent="0.25">
      <c r="A383" s="309"/>
      <c r="B383" s="309"/>
      <c r="C383" s="309"/>
      <c r="D383" s="309"/>
      <c r="E383" s="309"/>
      <c r="F383" s="309"/>
      <c r="G383" s="309"/>
    </row>
    <row r="384" spans="1:7" ht="21" x14ac:dyDescent="0.25">
      <c r="A384" s="309"/>
      <c r="B384" s="309"/>
      <c r="C384" s="309"/>
      <c r="D384" s="309"/>
      <c r="E384" s="309"/>
      <c r="F384" s="309"/>
      <c r="G384" s="309"/>
    </row>
    <row r="385" spans="1:7" ht="21" x14ac:dyDescent="0.25">
      <c r="A385" s="309"/>
      <c r="B385" s="309"/>
      <c r="C385" s="309"/>
      <c r="D385" s="309"/>
      <c r="E385" s="309"/>
      <c r="F385" s="309"/>
      <c r="G385" s="309"/>
    </row>
    <row r="386" spans="1:7" ht="21" x14ac:dyDescent="0.25">
      <c r="A386" s="309"/>
      <c r="B386" s="309"/>
      <c r="C386" s="309"/>
      <c r="D386" s="309"/>
      <c r="E386" s="309"/>
      <c r="F386" s="309"/>
      <c r="G386" s="309"/>
    </row>
    <row r="387" spans="1:7" ht="21" x14ac:dyDescent="0.25">
      <c r="A387" s="309"/>
      <c r="B387" s="309"/>
      <c r="C387" s="309"/>
      <c r="D387" s="309"/>
      <c r="E387" s="309"/>
      <c r="F387" s="309"/>
      <c r="G387" s="309"/>
    </row>
    <row r="388" spans="1:7" ht="21" x14ac:dyDescent="0.25">
      <c r="A388" s="309"/>
      <c r="B388" s="309"/>
      <c r="C388" s="309"/>
      <c r="D388" s="309"/>
      <c r="E388" s="309"/>
      <c r="F388" s="309"/>
      <c r="G388" s="309"/>
    </row>
    <row r="389" spans="1:7" ht="21" x14ac:dyDescent="0.25">
      <c r="A389" s="309"/>
      <c r="B389" s="309"/>
      <c r="C389" s="309"/>
      <c r="D389" s="309"/>
      <c r="E389" s="309"/>
      <c r="F389" s="309"/>
      <c r="G389" s="309"/>
    </row>
    <row r="390" spans="1:7" ht="21" x14ac:dyDescent="0.25">
      <c r="A390" s="309"/>
      <c r="B390" s="309"/>
      <c r="C390" s="309"/>
      <c r="D390" s="309"/>
      <c r="E390" s="309"/>
      <c r="F390" s="309"/>
      <c r="G390" s="309"/>
    </row>
    <row r="391" spans="1:7" ht="21" x14ac:dyDescent="0.25">
      <c r="A391" s="309"/>
      <c r="B391" s="309"/>
      <c r="C391" s="309"/>
      <c r="D391" s="309"/>
      <c r="E391" s="309"/>
      <c r="F391" s="309"/>
      <c r="G391" s="309"/>
    </row>
    <row r="392" spans="1:7" ht="21" x14ac:dyDescent="0.25">
      <c r="A392" s="309"/>
      <c r="B392" s="309"/>
      <c r="C392" s="309"/>
      <c r="D392" s="309"/>
      <c r="E392" s="309"/>
      <c r="F392" s="309"/>
      <c r="G392" s="309"/>
    </row>
    <row r="393" spans="1:7" ht="21" x14ac:dyDescent="0.25">
      <c r="A393" s="309"/>
      <c r="B393" s="309"/>
      <c r="C393" s="309"/>
      <c r="D393" s="309"/>
      <c r="E393" s="309"/>
      <c r="F393" s="309"/>
      <c r="G393" s="309"/>
    </row>
    <row r="394" spans="1:7" ht="21" x14ac:dyDescent="0.25">
      <c r="A394" s="309"/>
      <c r="B394" s="309"/>
      <c r="C394" s="309"/>
      <c r="D394" s="309"/>
      <c r="E394" s="309"/>
      <c r="F394" s="309"/>
      <c r="G394" s="309"/>
    </row>
    <row r="395" spans="1:7" ht="21" x14ac:dyDescent="0.25">
      <c r="A395" s="309"/>
      <c r="B395" s="309"/>
      <c r="C395" s="309"/>
      <c r="D395" s="309"/>
      <c r="E395" s="309"/>
      <c r="F395" s="309"/>
      <c r="G395" s="309"/>
    </row>
    <row r="396" spans="1:7" ht="21" x14ac:dyDescent="0.25">
      <c r="A396" s="309"/>
      <c r="B396" s="309"/>
      <c r="C396" s="309"/>
      <c r="D396" s="309"/>
      <c r="E396" s="309"/>
      <c r="F396" s="309"/>
      <c r="G396" s="309"/>
    </row>
    <row r="397" spans="1:7" ht="21" x14ac:dyDescent="0.25">
      <c r="A397" s="309"/>
      <c r="B397" s="309"/>
      <c r="C397" s="309"/>
      <c r="D397" s="309"/>
      <c r="E397" s="309"/>
      <c r="F397" s="309"/>
      <c r="G397" s="309"/>
    </row>
    <row r="398" spans="1:7" ht="21" x14ac:dyDescent="0.25">
      <c r="A398" s="309"/>
      <c r="B398" s="309"/>
      <c r="C398" s="309"/>
      <c r="D398" s="309"/>
      <c r="E398" s="309"/>
      <c r="F398" s="309"/>
      <c r="G398" s="309"/>
    </row>
    <row r="399" spans="1:7" ht="21" x14ac:dyDescent="0.25">
      <c r="A399" s="309"/>
      <c r="B399" s="309"/>
      <c r="C399" s="309"/>
      <c r="D399" s="309"/>
      <c r="E399" s="309"/>
      <c r="F399" s="309"/>
      <c r="G399" s="309"/>
    </row>
    <row r="400" spans="1:7" ht="21" x14ac:dyDescent="0.25">
      <c r="A400" s="309"/>
      <c r="B400" s="309"/>
      <c r="C400" s="309"/>
      <c r="D400" s="309"/>
      <c r="E400" s="309"/>
      <c r="F400" s="309"/>
      <c r="G400" s="309"/>
    </row>
    <row r="401" spans="1:7" ht="21" x14ac:dyDescent="0.25">
      <c r="A401" s="309"/>
      <c r="B401" s="309"/>
      <c r="C401" s="309"/>
      <c r="D401" s="309"/>
      <c r="E401" s="309"/>
      <c r="F401" s="309"/>
      <c r="G401" s="309"/>
    </row>
    <row r="402" spans="1:7" ht="21" x14ac:dyDescent="0.25">
      <c r="A402" s="309"/>
      <c r="B402" s="309"/>
      <c r="C402" s="309"/>
      <c r="D402" s="309"/>
      <c r="E402" s="309"/>
      <c r="F402" s="309"/>
      <c r="G402" s="309"/>
    </row>
    <row r="403" spans="1:7" ht="21" x14ac:dyDescent="0.25">
      <c r="A403" s="309"/>
      <c r="B403" s="309"/>
      <c r="C403" s="309"/>
      <c r="D403" s="309"/>
      <c r="E403" s="309"/>
      <c r="F403" s="309"/>
      <c r="G403" s="309"/>
    </row>
    <row r="404" spans="1:7" ht="21" x14ac:dyDescent="0.25">
      <c r="A404" s="309"/>
      <c r="B404" s="309"/>
      <c r="C404" s="309"/>
      <c r="D404" s="309"/>
      <c r="E404" s="309"/>
      <c r="F404" s="309"/>
      <c r="G404" s="309"/>
    </row>
    <row r="405" spans="1:7" ht="21" x14ac:dyDescent="0.25">
      <c r="A405" s="309"/>
      <c r="B405" s="309"/>
      <c r="C405" s="309"/>
      <c r="D405" s="309"/>
      <c r="E405" s="309"/>
      <c r="F405" s="309"/>
      <c r="G405" s="309"/>
    </row>
    <row r="406" spans="1:7" ht="21" x14ac:dyDescent="0.25">
      <c r="A406" s="309"/>
      <c r="B406" s="309"/>
      <c r="C406" s="309"/>
      <c r="D406" s="309"/>
      <c r="E406" s="309"/>
      <c r="F406" s="309"/>
      <c r="G406" s="309"/>
    </row>
    <row r="407" spans="1:7" ht="21" x14ac:dyDescent="0.25">
      <c r="A407" s="309"/>
      <c r="B407" s="309"/>
      <c r="C407" s="309"/>
      <c r="D407" s="309"/>
      <c r="E407" s="309"/>
      <c r="F407" s="309"/>
      <c r="G407" s="309"/>
    </row>
    <row r="408" spans="1:7" ht="21" x14ac:dyDescent="0.25">
      <c r="A408" s="309"/>
      <c r="B408" s="309"/>
      <c r="C408" s="309"/>
      <c r="D408" s="309"/>
      <c r="E408" s="309"/>
      <c r="F408" s="309"/>
      <c r="G408" s="309"/>
    </row>
    <row r="409" spans="1:7" ht="21" x14ac:dyDescent="0.25">
      <c r="A409" s="309"/>
      <c r="B409" s="309"/>
      <c r="C409" s="309"/>
      <c r="D409" s="309"/>
      <c r="E409" s="309"/>
      <c r="F409" s="309"/>
      <c r="G409" s="309"/>
    </row>
    <row r="410" spans="1:7" ht="21" x14ac:dyDescent="0.25">
      <c r="A410" s="309"/>
      <c r="B410" s="309"/>
      <c r="C410" s="309"/>
      <c r="D410" s="309"/>
      <c r="E410" s="309"/>
      <c r="F410" s="309"/>
      <c r="G410" s="309"/>
    </row>
    <row r="411" spans="1:7" ht="21" x14ac:dyDescent="0.25">
      <c r="A411" s="309"/>
      <c r="B411" s="309"/>
      <c r="C411" s="309"/>
      <c r="D411" s="309"/>
      <c r="E411" s="309"/>
      <c r="F411" s="309"/>
      <c r="G411" s="309"/>
    </row>
    <row r="412" spans="1:7" ht="21" x14ac:dyDescent="0.25">
      <c r="A412" s="309"/>
      <c r="B412" s="309"/>
      <c r="C412" s="309"/>
      <c r="D412" s="309"/>
      <c r="E412" s="309"/>
      <c r="F412" s="309"/>
      <c r="G412" s="309"/>
    </row>
    <row r="413" spans="1:7" ht="21" x14ac:dyDescent="0.25">
      <c r="A413" s="309"/>
      <c r="B413" s="309"/>
      <c r="C413" s="309"/>
      <c r="D413" s="309"/>
      <c r="E413" s="309"/>
      <c r="F413" s="309"/>
      <c r="G413" s="309"/>
    </row>
    <row r="414" spans="1:7" ht="21" x14ac:dyDescent="0.25">
      <c r="A414" s="309"/>
      <c r="B414" s="309"/>
      <c r="C414" s="309"/>
      <c r="D414" s="309"/>
      <c r="E414" s="309"/>
      <c r="F414" s="309"/>
      <c r="G414" s="309"/>
    </row>
    <row r="415" spans="1:7" ht="21" x14ac:dyDescent="0.25">
      <c r="A415" s="309"/>
      <c r="B415" s="309"/>
      <c r="C415" s="309"/>
      <c r="D415" s="309"/>
      <c r="E415" s="309"/>
      <c r="F415" s="309"/>
      <c r="G415" s="309"/>
    </row>
    <row r="416" spans="1:7" ht="21" x14ac:dyDescent="0.25">
      <c r="A416" s="309"/>
      <c r="B416" s="309"/>
      <c r="C416" s="309"/>
      <c r="D416" s="309"/>
      <c r="E416" s="309"/>
      <c r="F416" s="309"/>
      <c r="G416" s="309"/>
    </row>
    <row r="417" spans="1:7" ht="21" x14ac:dyDescent="0.25">
      <c r="A417" s="309"/>
      <c r="B417" s="309"/>
      <c r="C417" s="309"/>
      <c r="D417" s="309"/>
      <c r="E417" s="309"/>
      <c r="F417" s="309"/>
      <c r="G417" s="309"/>
    </row>
    <row r="418" spans="1:7" ht="21" x14ac:dyDescent="0.25">
      <c r="A418" s="309"/>
      <c r="B418" s="309"/>
      <c r="C418" s="309"/>
      <c r="D418" s="309"/>
      <c r="E418" s="309"/>
      <c r="F418" s="309"/>
      <c r="G418" s="309"/>
    </row>
    <row r="419" spans="1:7" ht="21" x14ac:dyDescent="0.25">
      <c r="A419" s="309"/>
      <c r="B419" s="309"/>
      <c r="C419" s="309"/>
      <c r="D419" s="309"/>
      <c r="E419" s="309"/>
      <c r="F419" s="309"/>
      <c r="G419" s="309"/>
    </row>
    <row r="420" spans="1:7" ht="21" x14ac:dyDescent="0.25">
      <c r="A420" s="309"/>
      <c r="B420" s="309"/>
      <c r="C420" s="309"/>
      <c r="D420" s="309"/>
      <c r="E420" s="309"/>
      <c r="F420" s="309"/>
      <c r="G420" s="309"/>
    </row>
    <row r="421" spans="1:7" ht="21" x14ac:dyDescent="0.25">
      <c r="A421" s="309"/>
      <c r="B421" s="309"/>
      <c r="C421" s="309"/>
      <c r="D421" s="309"/>
      <c r="E421" s="309"/>
      <c r="F421" s="309"/>
      <c r="G421" s="309"/>
    </row>
    <row r="422" spans="1:7" ht="21" x14ac:dyDescent="0.25">
      <c r="A422" s="309"/>
      <c r="B422" s="309"/>
      <c r="C422" s="309"/>
      <c r="D422" s="309"/>
      <c r="E422" s="309"/>
      <c r="F422" s="309"/>
      <c r="G422" s="309"/>
    </row>
    <row r="423" spans="1:7" ht="21" x14ac:dyDescent="0.25">
      <c r="A423" s="309"/>
      <c r="B423" s="309"/>
      <c r="C423" s="309"/>
      <c r="D423" s="309"/>
      <c r="E423" s="309"/>
      <c r="F423" s="309"/>
      <c r="G423" s="309"/>
    </row>
    <row r="424" spans="1:7" ht="21" x14ac:dyDescent="0.25">
      <c r="A424" s="309"/>
      <c r="B424" s="309"/>
      <c r="C424" s="309"/>
      <c r="D424" s="309"/>
      <c r="E424" s="309"/>
      <c r="F424" s="309"/>
      <c r="G424" s="309"/>
    </row>
    <row r="425" spans="1:7" ht="21" x14ac:dyDescent="0.25">
      <c r="A425" s="309"/>
      <c r="B425" s="309"/>
      <c r="C425" s="309"/>
      <c r="D425" s="309"/>
      <c r="E425" s="309"/>
      <c r="F425" s="309"/>
      <c r="G425" s="309"/>
    </row>
    <row r="426" spans="1:7" ht="21" x14ac:dyDescent="0.25">
      <c r="A426" s="309"/>
      <c r="B426" s="309"/>
      <c r="C426" s="309"/>
      <c r="D426" s="309"/>
      <c r="E426" s="309"/>
      <c r="F426" s="309"/>
      <c r="G426" s="309"/>
    </row>
    <row r="427" spans="1:7" ht="21" x14ac:dyDescent="0.25">
      <c r="A427" s="309"/>
      <c r="B427" s="309"/>
      <c r="C427" s="309"/>
      <c r="D427" s="309"/>
      <c r="E427" s="309"/>
      <c r="F427" s="309"/>
      <c r="G427" s="309"/>
    </row>
    <row r="428" spans="1:7" ht="21" x14ac:dyDescent="0.25">
      <c r="A428" s="309"/>
      <c r="B428" s="309"/>
      <c r="C428" s="309"/>
      <c r="D428" s="309"/>
      <c r="E428" s="309"/>
      <c r="F428" s="309"/>
      <c r="G428" s="309"/>
    </row>
    <row r="429" spans="1:7" ht="21" x14ac:dyDescent="0.25">
      <c r="A429" s="309"/>
      <c r="B429" s="309"/>
      <c r="C429" s="309"/>
      <c r="D429" s="309"/>
      <c r="E429" s="309"/>
      <c r="F429" s="309"/>
      <c r="G429" s="309"/>
    </row>
    <row r="430" spans="1:7" ht="21" x14ac:dyDescent="0.25">
      <c r="A430" s="309"/>
      <c r="B430" s="309"/>
      <c r="C430" s="309"/>
      <c r="D430" s="309"/>
      <c r="E430" s="309"/>
      <c r="F430" s="309"/>
      <c r="G430" s="309"/>
    </row>
    <row r="431" spans="1:7" ht="21" x14ac:dyDescent="0.25">
      <c r="A431" s="309"/>
      <c r="B431" s="309"/>
      <c r="C431" s="309"/>
      <c r="D431" s="309"/>
      <c r="E431" s="309"/>
      <c r="F431" s="309"/>
      <c r="G431" s="309"/>
    </row>
    <row r="432" spans="1:7" ht="21" x14ac:dyDescent="0.25">
      <c r="A432" s="309"/>
      <c r="B432" s="309"/>
      <c r="C432" s="309"/>
      <c r="D432" s="309"/>
      <c r="E432" s="309"/>
      <c r="F432" s="309"/>
      <c r="G432" s="309"/>
    </row>
    <row r="433" spans="1:7" ht="21" x14ac:dyDescent="0.25">
      <c r="A433" s="309"/>
      <c r="B433" s="309"/>
      <c r="C433" s="309"/>
      <c r="D433" s="309"/>
      <c r="E433" s="309"/>
      <c r="F433" s="309"/>
      <c r="G433" s="309"/>
    </row>
    <row r="434" spans="1:7" ht="21" x14ac:dyDescent="0.25">
      <c r="A434" s="309"/>
      <c r="B434" s="309"/>
      <c r="C434" s="309"/>
      <c r="D434" s="309"/>
      <c r="E434" s="309"/>
      <c r="F434" s="309"/>
      <c r="G434" s="309"/>
    </row>
    <row r="435" spans="1:7" ht="21" x14ac:dyDescent="0.25">
      <c r="A435" s="309"/>
      <c r="B435" s="309"/>
      <c r="C435" s="309"/>
      <c r="D435" s="309"/>
      <c r="E435" s="309"/>
      <c r="F435" s="309"/>
      <c r="G435" s="309"/>
    </row>
    <row r="436" spans="1:7" ht="21" x14ac:dyDescent="0.25">
      <c r="A436" s="309"/>
      <c r="B436" s="309"/>
      <c r="C436" s="309"/>
      <c r="D436" s="309"/>
      <c r="E436" s="309"/>
      <c r="F436" s="309"/>
      <c r="G436" s="309"/>
    </row>
    <row r="437" spans="1:7" ht="21" x14ac:dyDescent="0.25">
      <c r="A437" s="309"/>
      <c r="B437" s="309"/>
      <c r="C437" s="309"/>
      <c r="D437" s="309"/>
      <c r="E437" s="309"/>
      <c r="F437" s="309"/>
      <c r="G437" s="309"/>
    </row>
    <row r="438" spans="1:7" ht="21" x14ac:dyDescent="0.25">
      <c r="A438" s="309"/>
      <c r="B438" s="309"/>
      <c r="C438" s="309"/>
      <c r="D438" s="309"/>
      <c r="E438" s="309"/>
      <c r="F438" s="309"/>
      <c r="G438" s="309"/>
    </row>
    <row r="439" spans="1:7" ht="21" x14ac:dyDescent="0.25">
      <c r="A439" s="309"/>
      <c r="B439" s="309"/>
      <c r="C439" s="309"/>
      <c r="D439" s="309"/>
      <c r="E439" s="309"/>
      <c r="F439" s="309"/>
      <c r="G439" s="309"/>
    </row>
    <row r="440" spans="1:7" ht="21" x14ac:dyDescent="0.25">
      <c r="A440" s="309"/>
      <c r="B440" s="309"/>
      <c r="C440" s="309"/>
      <c r="D440" s="309"/>
      <c r="E440" s="309"/>
      <c r="F440" s="309"/>
      <c r="G440" s="309"/>
    </row>
    <row r="441" spans="1:7" ht="21" x14ac:dyDescent="0.25">
      <c r="A441" s="309"/>
      <c r="B441" s="309"/>
      <c r="C441" s="309"/>
      <c r="D441" s="309"/>
      <c r="E441" s="309"/>
      <c r="F441" s="309"/>
      <c r="G441" s="309"/>
    </row>
    <row r="442" spans="1:7" ht="21" x14ac:dyDescent="0.25">
      <c r="A442" s="309"/>
      <c r="B442" s="309"/>
      <c r="C442" s="309"/>
      <c r="D442" s="309"/>
      <c r="E442" s="309"/>
      <c r="F442" s="309"/>
      <c r="G442" s="309"/>
    </row>
    <row r="443" spans="1:7" ht="21" x14ac:dyDescent="0.25">
      <c r="A443" s="309"/>
      <c r="B443" s="309"/>
      <c r="C443" s="309"/>
      <c r="D443" s="309"/>
      <c r="E443" s="309"/>
      <c r="F443" s="309"/>
      <c r="G443" s="309"/>
    </row>
    <row r="444" spans="1:7" ht="21" x14ac:dyDescent="0.25">
      <c r="A444" s="309"/>
      <c r="B444" s="309"/>
      <c r="C444" s="309"/>
      <c r="D444" s="309"/>
      <c r="E444" s="309"/>
      <c r="F444" s="309"/>
      <c r="G444" s="309"/>
    </row>
    <row r="445" spans="1:7" ht="21" x14ac:dyDescent="0.25">
      <c r="A445" s="309"/>
      <c r="B445" s="309"/>
      <c r="C445" s="309"/>
      <c r="D445" s="309"/>
      <c r="E445" s="309"/>
      <c r="F445" s="309"/>
      <c r="G445" s="309"/>
    </row>
    <row r="446" spans="1:7" ht="21" x14ac:dyDescent="0.25">
      <c r="A446" s="309"/>
      <c r="B446" s="309"/>
      <c r="C446" s="309"/>
      <c r="D446" s="309"/>
      <c r="E446" s="309"/>
      <c r="F446" s="309"/>
      <c r="G446" s="309"/>
    </row>
    <row r="447" spans="1:7" ht="21" x14ac:dyDescent="0.25">
      <c r="A447" s="309"/>
      <c r="B447" s="309"/>
      <c r="C447" s="309"/>
      <c r="D447" s="309"/>
      <c r="E447" s="309"/>
      <c r="F447" s="309"/>
      <c r="G447" s="309"/>
    </row>
    <row r="448" spans="1:7" ht="21" x14ac:dyDescent="0.25">
      <c r="A448" s="309"/>
      <c r="B448" s="309"/>
      <c r="C448" s="309"/>
      <c r="D448" s="309"/>
      <c r="E448" s="309"/>
      <c r="F448" s="309"/>
      <c r="G448" s="309"/>
    </row>
    <row r="449" spans="1:7" ht="21" x14ac:dyDescent="0.25">
      <c r="A449" s="309"/>
      <c r="B449" s="309"/>
      <c r="C449" s="309"/>
      <c r="D449" s="309"/>
      <c r="E449" s="309"/>
      <c r="F449" s="309"/>
      <c r="G449" s="309"/>
    </row>
    <row r="450" spans="1:7" ht="21" x14ac:dyDescent="0.25">
      <c r="A450" s="309"/>
      <c r="B450" s="309"/>
      <c r="C450" s="309"/>
      <c r="D450" s="309"/>
      <c r="E450" s="309"/>
      <c r="F450" s="309"/>
      <c r="G450" s="309"/>
    </row>
    <row r="451" spans="1:7" ht="21" x14ac:dyDescent="0.25">
      <c r="A451" s="309"/>
      <c r="B451" s="309"/>
      <c r="C451" s="309"/>
      <c r="D451" s="309"/>
      <c r="E451" s="309"/>
      <c r="F451" s="309"/>
      <c r="G451" s="309"/>
    </row>
    <row r="452" spans="1:7" ht="21" x14ac:dyDescent="0.25">
      <c r="A452" s="309"/>
      <c r="B452" s="309"/>
      <c r="C452" s="309"/>
      <c r="D452" s="309"/>
      <c r="E452" s="309"/>
      <c r="F452" s="309"/>
      <c r="G452" s="309"/>
    </row>
    <row r="453" spans="1:7" ht="21" x14ac:dyDescent="0.25">
      <c r="A453" s="309"/>
      <c r="B453" s="309"/>
      <c r="C453" s="309"/>
      <c r="D453" s="309"/>
      <c r="E453" s="309"/>
      <c r="F453" s="309"/>
      <c r="G453" s="309"/>
    </row>
    <row r="454" spans="1:7" ht="21" x14ac:dyDescent="0.25">
      <c r="A454" s="309"/>
      <c r="B454" s="309"/>
      <c r="C454" s="309"/>
      <c r="D454" s="309"/>
      <c r="E454" s="309"/>
      <c r="F454" s="309"/>
      <c r="G454" s="309"/>
    </row>
    <row r="455" spans="1:7" ht="21" x14ac:dyDescent="0.25">
      <c r="A455" s="309"/>
      <c r="B455" s="309"/>
      <c r="C455" s="309"/>
      <c r="D455" s="309"/>
      <c r="E455" s="309"/>
      <c r="F455" s="309"/>
      <c r="G455" s="309"/>
    </row>
    <row r="456" spans="1:7" ht="21" x14ac:dyDescent="0.25">
      <c r="A456" s="309"/>
      <c r="B456" s="309"/>
      <c r="C456" s="309"/>
      <c r="D456" s="309"/>
      <c r="E456" s="309"/>
      <c r="F456" s="309"/>
      <c r="G456" s="309"/>
    </row>
    <row r="457" spans="1:7" ht="21" x14ac:dyDescent="0.25">
      <c r="A457" s="309"/>
      <c r="B457" s="309"/>
      <c r="C457" s="309"/>
      <c r="D457" s="309"/>
      <c r="E457" s="309"/>
      <c r="F457" s="309"/>
      <c r="G457" s="309"/>
    </row>
    <row r="458" spans="1:7" ht="21" x14ac:dyDescent="0.25">
      <c r="A458" s="309"/>
      <c r="B458" s="309"/>
      <c r="C458" s="309"/>
      <c r="D458" s="309"/>
      <c r="E458" s="309"/>
      <c r="F458" s="309"/>
      <c r="G458" s="309"/>
    </row>
    <row r="459" spans="1:7" ht="21" x14ac:dyDescent="0.25">
      <c r="A459" s="309"/>
      <c r="B459" s="309"/>
      <c r="C459" s="309"/>
      <c r="D459" s="309"/>
      <c r="E459" s="309"/>
      <c r="F459" s="309"/>
      <c r="G459" s="309"/>
    </row>
    <row r="460" spans="1:7" ht="21" x14ac:dyDescent="0.25">
      <c r="A460" s="309"/>
      <c r="B460" s="309"/>
      <c r="C460" s="309"/>
      <c r="D460" s="309"/>
      <c r="E460" s="309"/>
      <c r="F460" s="309"/>
      <c r="G460" s="309"/>
    </row>
    <row r="461" spans="1:7" ht="21" x14ac:dyDescent="0.25">
      <c r="A461" s="309"/>
      <c r="B461" s="309"/>
      <c r="C461" s="309"/>
      <c r="D461" s="309"/>
      <c r="E461" s="309"/>
      <c r="F461" s="309"/>
      <c r="G461" s="309"/>
    </row>
    <row r="462" spans="1:7" ht="21" x14ac:dyDescent="0.25">
      <c r="A462" s="309"/>
      <c r="B462" s="309"/>
      <c r="C462" s="309"/>
      <c r="D462" s="309"/>
      <c r="E462" s="309"/>
      <c r="F462" s="309"/>
      <c r="G462" s="309"/>
    </row>
    <row r="463" spans="1:7" ht="21" x14ac:dyDescent="0.25">
      <c r="A463" s="309"/>
      <c r="B463" s="309"/>
      <c r="C463" s="309"/>
      <c r="D463" s="309"/>
      <c r="E463" s="309"/>
      <c r="F463" s="309"/>
      <c r="G463" s="309"/>
    </row>
    <row r="464" spans="1:7" ht="21" x14ac:dyDescent="0.25">
      <c r="A464" s="309"/>
      <c r="B464" s="309"/>
      <c r="C464" s="309"/>
      <c r="D464" s="309"/>
      <c r="E464" s="309"/>
      <c r="F464" s="309"/>
      <c r="G464" s="309"/>
    </row>
    <row r="465" spans="1:7" ht="21" x14ac:dyDescent="0.25">
      <c r="A465" s="309"/>
      <c r="B465" s="309"/>
      <c r="C465" s="309"/>
      <c r="D465" s="309"/>
      <c r="E465" s="309"/>
      <c r="F465" s="309"/>
      <c r="G465" s="309"/>
    </row>
    <row r="466" spans="1:7" ht="21" x14ac:dyDescent="0.25">
      <c r="A466" s="309"/>
      <c r="B466" s="309"/>
      <c r="C466" s="309"/>
      <c r="D466" s="309"/>
      <c r="E466" s="309"/>
      <c r="F466" s="309"/>
      <c r="G466" s="309"/>
    </row>
    <row r="467" spans="1:7" ht="21" x14ac:dyDescent="0.25">
      <c r="A467" s="309"/>
      <c r="B467" s="309"/>
      <c r="C467" s="309"/>
      <c r="D467" s="309"/>
      <c r="E467" s="309"/>
      <c r="F467" s="309"/>
      <c r="G467" s="309"/>
    </row>
    <row r="468" spans="1:7" ht="21" x14ac:dyDescent="0.25">
      <c r="A468" s="309"/>
      <c r="B468" s="309"/>
      <c r="C468" s="309"/>
      <c r="D468" s="309"/>
      <c r="E468" s="309"/>
      <c r="F468" s="309"/>
      <c r="G468" s="309"/>
    </row>
    <row r="469" spans="1:7" ht="21" x14ac:dyDescent="0.25">
      <c r="A469" s="309"/>
      <c r="B469" s="309"/>
      <c r="C469" s="309"/>
      <c r="D469" s="309"/>
      <c r="E469" s="309"/>
      <c r="F469" s="309"/>
      <c r="G469" s="309"/>
    </row>
    <row r="470" spans="1:7" ht="21" x14ac:dyDescent="0.25">
      <c r="A470" s="309"/>
      <c r="B470" s="309"/>
      <c r="C470" s="309"/>
      <c r="D470" s="309"/>
      <c r="E470" s="309"/>
      <c r="F470" s="309"/>
      <c r="G470" s="309"/>
    </row>
    <row r="471" spans="1:7" ht="21" x14ac:dyDescent="0.25">
      <c r="A471" s="309"/>
      <c r="B471" s="309"/>
      <c r="C471" s="309"/>
      <c r="D471" s="309"/>
      <c r="E471" s="309"/>
      <c r="F471" s="309"/>
      <c r="G471" s="309"/>
    </row>
    <row r="472" spans="1:7" ht="21" x14ac:dyDescent="0.25">
      <c r="A472" s="309"/>
      <c r="B472" s="309"/>
      <c r="C472" s="309"/>
      <c r="D472" s="309"/>
      <c r="E472" s="309"/>
      <c r="F472" s="309"/>
      <c r="G472" s="309"/>
    </row>
    <row r="473" spans="1:7" ht="21" x14ac:dyDescent="0.25">
      <c r="A473" s="309"/>
      <c r="B473" s="309"/>
      <c r="C473" s="309"/>
      <c r="D473" s="309"/>
      <c r="E473" s="309"/>
      <c r="F473" s="309"/>
      <c r="G473" s="309"/>
    </row>
    <row r="474" spans="1:7" ht="21" x14ac:dyDescent="0.25">
      <c r="A474" s="309"/>
      <c r="B474" s="309"/>
      <c r="C474" s="309"/>
      <c r="D474" s="309"/>
      <c r="E474" s="309"/>
      <c r="F474" s="309"/>
      <c r="G474" s="309"/>
    </row>
    <row r="475" spans="1:7" ht="21" x14ac:dyDescent="0.25">
      <c r="A475" s="309"/>
      <c r="B475" s="309"/>
      <c r="C475" s="309"/>
      <c r="D475" s="309"/>
      <c r="E475" s="309"/>
      <c r="F475" s="309"/>
      <c r="G475" s="309"/>
    </row>
    <row r="476" spans="1:7" ht="21" x14ac:dyDescent="0.25">
      <c r="A476" s="309"/>
      <c r="B476" s="309"/>
      <c r="C476" s="309"/>
      <c r="D476" s="309"/>
      <c r="E476" s="309"/>
      <c r="F476" s="309"/>
      <c r="G476" s="309"/>
    </row>
    <row r="477" spans="1:7" ht="21" x14ac:dyDescent="0.25">
      <c r="A477" s="309"/>
      <c r="B477" s="309"/>
      <c r="C477" s="309"/>
      <c r="D477" s="309"/>
      <c r="E477" s="309"/>
      <c r="F477" s="309"/>
      <c r="G477" s="309"/>
    </row>
    <row r="478" spans="1:7" ht="21" x14ac:dyDescent="0.25">
      <c r="A478" s="309"/>
      <c r="B478" s="309"/>
      <c r="C478" s="309"/>
      <c r="D478" s="309"/>
      <c r="E478" s="309"/>
      <c r="F478" s="309"/>
      <c r="G478" s="309"/>
    </row>
    <row r="479" spans="1:7" ht="21" x14ac:dyDescent="0.25">
      <c r="A479" s="309"/>
      <c r="B479" s="309"/>
      <c r="C479" s="309"/>
      <c r="D479" s="309"/>
      <c r="E479" s="309"/>
      <c r="F479" s="309"/>
      <c r="G479" s="309"/>
    </row>
    <row r="480" spans="1:7" ht="21" x14ac:dyDescent="0.25">
      <c r="A480" s="309"/>
      <c r="B480" s="309"/>
      <c r="C480" s="309"/>
      <c r="D480" s="309"/>
      <c r="E480" s="309"/>
      <c r="F480" s="309"/>
      <c r="G480" s="309"/>
    </row>
    <row r="481" spans="1:7" ht="21" x14ac:dyDescent="0.25">
      <c r="A481" s="309"/>
      <c r="B481" s="309"/>
      <c r="C481" s="309"/>
      <c r="D481" s="309"/>
      <c r="E481" s="309"/>
      <c r="F481" s="309"/>
      <c r="G481" s="309"/>
    </row>
    <row r="482" spans="1:7" ht="21" x14ac:dyDescent="0.25">
      <c r="A482" s="309"/>
      <c r="B482" s="309"/>
      <c r="C482" s="309"/>
      <c r="D482" s="309"/>
      <c r="E482" s="309"/>
      <c r="F482" s="309"/>
      <c r="G482" s="309"/>
    </row>
    <row r="483" spans="1:7" ht="21" x14ac:dyDescent="0.25">
      <c r="A483" s="309"/>
      <c r="B483" s="309"/>
      <c r="C483" s="309"/>
      <c r="D483" s="309"/>
      <c r="E483" s="309"/>
      <c r="F483" s="309"/>
      <c r="G483" s="309"/>
    </row>
    <row r="484" spans="1:7" ht="21" x14ac:dyDescent="0.25">
      <c r="A484" s="309"/>
      <c r="B484" s="309"/>
      <c r="C484" s="309"/>
      <c r="D484" s="309"/>
      <c r="E484" s="309"/>
      <c r="F484" s="309"/>
      <c r="G484" s="309"/>
    </row>
    <row r="485" spans="1:7" ht="21" x14ac:dyDescent="0.25">
      <c r="A485" s="309"/>
      <c r="B485" s="309"/>
      <c r="C485" s="309"/>
      <c r="D485" s="309"/>
      <c r="E485" s="309"/>
      <c r="F485" s="309"/>
      <c r="G485" s="309"/>
    </row>
    <row r="486" spans="1:7" ht="21" x14ac:dyDescent="0.25">
      <c r="A486" s="309"/>
      <c r="B486" s="309"/>
      <c r="C486" s="309"/>
      <c r="D486" s="309"/>
      <c r="E486" s="309"/>
      <c r="F486" s="309"/>
      <c r="G486" s="309"/>
    </row>
    <row r="487" spans="1:7" ht="21" x14ac:dyDescent="0.25">
      <c r="A487" s="309"/>
      <c r="B487" s="309"/>
      <c r="C487" s="309"/>
      <c r="D487" s="309"/>
      <c r="E487" s="309"/>
      <c r="F487" s="309"/>
      <c r="G487" s="309"/>
    </row>
    <row r="488" spans="1:7" ht="21" x14ac:dyDescent="0.25">
      <c r="A488" s="309"/>
      <c r="B488" s="309"/>
      <c r="C488" s="309"/>
      <c r="D488" s="309"/>
      <c r="E488" s="309"/>
      <c r="F488" s="309"/>
      <c r="G488" s="309"/>
    </row>
    <row r="489" spans="1:7" ht="21" x14ac:dyDescent="0.25">
      <c r="A489" s="309"/>
      <c r="B489" s="309"/>
      <c r="C489" s="309"/>
      <c r="D489" s="309"/>
      <c r="E489" s="309"/>
      <c r="F489" s="309"/>
      <c r="G489" s="309"/>
    </row>
    <row r="490" spans="1:7" ht="21" x14ac:dyDescent="0.25">
      <c r="A490" s="309"/>
      <c r="B490" s="309"/>
      <c r="C490" s="309"/>
      <c r="D490" s="309"/>
      <c r="E490" s="309"/>
      <c r="F490" s="309"/>
      <c r="G490" s="309"/>
    </row>
    <row r="491" spans="1:7" ht="21" x14ac:dyDescent="0.25">
      <c r="A491" s="309"/>
      <c r="B491" s="309"/>
      <c r="C491" s="309"/>
      <c r="D491" s="309"/>
      <c r="E491" s="309"/>
      <c r="F491" s="309"/>
      <c r="G491" s="309"/>
    </row>
    <row r="492" spans="1:7" ht="21" x14ac:dyDescent="0.25">
      <c r="A492" s="309"/>
      <c r="B492" s="309"/>
      <c r="C492" s="309"/>
      <c r="D492" s="309"/>
      <c r="E492" s="309"/>
      <c r="F492" s="309"/>
      <c r="G492" s="309"/>
    </row>
    <row r="493" spans="1:7" ht="21" x14ac:dyDescent="0.25">
      <c r="A493" s="309"/>
      <c r="B493" s="309"/>
      <c r="C493" s="309"/>
      <c r="D493" s="309"/>
      <c r="E493" s="309"/>
      <c r="F493" s="309"/>
      <c r="G493" s="309"/>
    </row>
    <row r="494" spans="1:7" ht="21" x14ac:dyDescent="0.25">
      <c r="A494" s="309"/>
      <c r="B494" s="309"/>
      <c r="C494" s="309"/>
      <c r="D494" s="309"/>
      <c r="E494" s="309"/>
      <c r="F494" s="309"/>
      <c r="G494" s="309"/>
    </row>
    <row r="495" spans="1:7" ht="21" x14ac:dyDescent="0.25">
      <c r="A495" s="309"/>
      <c r="B495" s="309"/>
      <c r="C495" s="309"/>
      <c r="D495" s="309"/>
      <c r="E495" s="309"/>
      <c r="F495" s="309"/>
      <c r="G495" s="309"/>
    </row>
    <row r="496" spans="1:7" ht="21" x14ac:dyDescent="0.25">
      <c r="A496" s="309"/>
      <c r="B496" s="309"/>
      <c r="C496" s="309"/>
      <c r="D496" s="309"/>
      <c r="E496" s="309"/>
      <c r="F496" s="309"/>
      <c r="G496" s="309"/>
    </row>
    <row r="497" spans="1:7" ht="21" x14ac:dyDescent="0.25">
      <c r="A497" s="309"/>
      <c r="B497" s="309"/>
      <c r="C497" s="309"/>
      <c r="D497" s="309"/>
      <c r="E497" s="309"/>
      <c r="F497" s="309"/>
      <c r="G497" s="309"/>
    </row>
    <row r="498" spans="1:7" ht="21" x14ac:dyDescent="0.25">
      <c r="A498" s="309"/>
      <c r="B498" s="309"/>
      <c r="C498" s="309"/>
      <c r="D498" s="309"/>
      <c r="E498" s="309"/>
      <c r="F498" s="309"/>
      <c r="G498" s="309"/>
    </row>
    <row r="499" spans="1:7" ht="21" x14ac:dyDescent="0.25">
      <c r="A499" s="309"/>
      <c r="B499" s="309"/>
      <c r="C499" s="309"/>
      <c r="D499" s="309"/>
      <c r="E499" s="309"/>
      <c r="F499" s="309"/>
      <c r="G499" s="309"/>
    </row>
    <row r="500" spans="1:7" ht="21" x14ac:dyDescent="0.25">
      <c r="A500" s="309"/>
      <c r="B500" s="309"/>
      <c r="C500" s="309"/>
      <c r="D500" s="309"/>
      <c r="E500" s="309"/>
      <c r="F500" s="309"/>
      <c r="G500" s="309"/>
    </row>
    <row r="501" spans="1:7" ht="21" x14ac:dyDescent="0.25">
      <c r="A501" s="309"/>
      <c r="B501" s="309"/>
      <c r="C501" s="309"/>
      <c r="D501" s="309"/>
      <c r="E501" s="309"/>
      <c r="F501" s="309"/>
      <c r="G501" s="309"/>
    </row>
    <row r="502" spans="1:7" ht="21" x14ac:dyDescent="0.25">
      <c r="A502" s="309"/>
      <c r="B502" s="309"/>
      <c r="C502" s="309"/>
      <c r="D502" s="309"/>
      <c r="E502" s="309"/>
      <c r="F502" s="309"/>
      <c r="G502" s="309"/>
    </row>
    <row r="503" spans="1:7" ht="21" x14ac:dyDescent="0.25">
      <c r="A503" s="309"/>
      <c r="B503" s="309"/>
      <c r="C503" s="309"/>
      <c r="D503" s="309"/>
      <c r="E503" s="309"/>
      <c r="F503" s="309"/>
      <c r="G503" s="309"/>
    </row>
    <row r="504" spans="1:7" ht="21" x14ac:dyDescent="0.25">
      <c r="A504" s="309"/>
      <c r="B504" s="309"/>
      <c r="C504" s="309"/>
      <c r="D504" s="309"/>
      <c r="E504" s="309"/>
      <c r="F504" s="309"/>
      <c r="G504" s="309"/>
    </row>
    <row r="505" spans="1:7" ht="21" x14ac:dyDescent="0.25">
      <c r="A505" s="309"/>
      <c r="B505" s="309"/>
      <c r="C505" s="309"/>
      <c r="D505" s="309"/>
      <c r="E505" s="309"/>
      <c r="F505" s="309"/>
      <c r="G505" s="309"/>
    </row>
    <row r="506" spans="1:7" ht="21" x14ac:dyDescent="0.25">
      <c r="A506" s="309"/>
      <c r="B506" s="309"/>
      <c r="C506" s="309"/>
      <c r="D506" s="309"/>
      <c r="E506" s="309"/>
      <c r="F506" s="309"/>
      <c r="G506" s="309"/>
    </row>
    <row r="507" spans="1:7" ht="21" x14ac:dyDescent="0.25">
      <c r="A507" s="309"/>
      <c r="B507" s="309"/>
      <c r="C507" s="309"/>
      <c r="D507" s="309"/>
      <c r="E507" s="309"/>
      <c r="F507" s="309"/>
      <c r="G507" s="309"/>
    </row>
    <row r="508" spans="1:7" ht="21" x14ac:dyDescent="0.25">
      <c r="A508" s="309"/>
      <c r="B508" s="309"/>
      <c r="C508" s="309"/>
      <c r="D508" s="309"/>
      <c r="E508" s="309"/>
      <c r="F508" s="309"/>
      <c r="G508" s="309"/>
    </row>
    <row r="509" spans="1:7" ht="21" x14ac:dyDescent="0.25">
      <c r="A509" s="309"/>
      <c r="B509" s="309"/>
      <c r="C509" s="309"/>
      <c r="D509" s="309"/>
      <c r="E509" s="309"/>
      <c r="F509" s="309"/>
      <c r="G509" s="309"/>
    </row>
    <row r="510" spans="1:7" ht="21" x14ac:dyDescent="0.25">
      <c r="A510" s="309"/>
      <c r="B510" s="309"/>
      <c r="C510" s="309"/>
      <c r="D510" s="309"/>
      <c r="E510" s="309"/>
      <c r="F510" s="309"/>
      <c r="G510" s="309"/>
    </row>
    <row r="511" spans="1:7" ht="21" x14ac:dyDescent="0.25">
      <c r="A511" s="309"/>
      <c r="B511" s="309"/>
      <c r="C511" s="309"/>
      <c r="D511" s="309"/>
      <c r="E511" s="309"/>
      <c r="F511" s="309"/>
      <c r="G511" s="309"/>
    </row>
    <row r="512" spans="1:7" ht="21" x14ac:dyDescent="0.25">
      <c r="A512" s="309"/>
      <c r="B512" s="309"/>
      <c r="C512" s="309"/>
      <c r="D512" s="309"/>
      <c r="E512" s="309"/>
      <c r="F512" s="309"/>
      <c r="G512" s="309"/>
    </row>
    <row r="513" spans="1:7" ht="21" x14ac:dyDescent="0.25">
      <c r="A513" s="309"/>
      <c r="B513" s="309"/>
      <c r="C513" s="309"/>
      <c r="D513" s="309"/>
      <c r="E513" s="309"/>
      <c r="F513" s="309"/>
      <c r="G513" s="309"/>
    </row>
    <row r="514" spans="1:7" ht="21" x14ac:dyDescent="0.25">
      <c r="A514" s="309"/>
      <c r="B514" s="309"/>
      <c r="C514" s="309"/>
      <c r="D514" s="309"/>
      <c r="E514" s="309"/>
      <c r="F514" s="309"/>
      <c r="G514" s="309"/>
    </row>
    <row r="515" spans="1:7" ht="21" x14ac:dyDescent="0.25">
      <c r="A515" s="309"/>
      <c r="B515" s="309"/>
      <c r="C515" s="309"/>
      <c r="D515" s="309"/>
      <c r="E515" s="309"/>
      <c r="F515" s="309"/>
      <c r="G515" s="309"/>
    </row>
    <row r="516" spans="1:7" ht="21" x14ac:dyDescent="0.25">
      <c r="A516" s="309"/>
      <c r="B516" s="309"/>
      <c r="C516" s="309"/>
      <c r="D516" s="309"/>
      <c r="E516" s="309"/>
      <c r="F516" s="309"/>
      <c r="G516" s="309"/>
    </row>
    <row r="517" spans="1:7" ht="21" x14ac:dyDescent="0.25">
      <c r="A517" s="309"/>
      <c r="B517" s="309"/>
      <c r="C517" s="309"/>
      <c r="D517" s="309"/>
      <c r="E517" s="309"/>
      <c r="F517" s="309"/>
      <c r="G517" s="309"/>
    </row>
    <row r="518" spans="1:7" ht="21" x14ac:dyDescent="0.25">
      <c r="A518" s="309"/>
      <c r="B518" s="309"/>
      <c r="C518" s="309"/>
      <c r="D518" s="309"/>
      <c r="E518" s="309"/>
      <c r="F518" s="309"/>
      <c r="G518" s="309"/>
    </row>
    <row r="519" spans="1:7" ht="21" x14ac:dyDescent="0.25">
      <c r="A519" s="309"/>
      <c r="B519" s="309"/>
      <c r="C519" s="309"/>
      <c r="D519" s="309"/>
      <c r="E519" s="309"/>
      <c r="F519" s="309"/>
      <c r="G519" s="309"/>
    </row>
    <row r="520" spans="1:7" ht="21" x14ac:dyDescent="0.25">
      <c r="A520" s="309"/>
      <c r="B520" s="309"/>
      <c r="C520" s="309"/>
      <c r="D520" s="309"/>
      <c r="E520" s="309"/>
      <c r="F520" s="309"/>
      <c r="G520" s="309"/>
    </row>
    <row r="521" spans="1:7" ht="21" x14ac:dyDescent="0.25">
      <c r="A521" s="309"/>
      <c r="B521" s="309"/>
      <c r="C521" s="309"/>
      <c r="D521" s="309"/>
      <c r="E521" s="309"/>
      <c r="F521" s="309"/>
      <c r="G521" s="309"/>
    </row>
    <row r="522" spans="1:7" ht="21" x14ac:dyDescent="0.25">
      <c r="A522" s="309"/>
      <c r="B522" s="309"/>
      <c r="C522" s="309"/>
      <c r="D522" s="309"/>
      <c r="E522" s="309"/>
      <c r="F522" s="309"/>
      <c r="G522" s="309"/>
    </row>
    <row r="523" spans="1:7" ht="21" x14ac:dyDescent="0.25">
      <c r="A523" s="309"/>
      <c r="B523" s="309"/>
      <c r="C523" s="309"/>
      <c r="D523" s="309"/>
      <c r="E523" s="309"/>
      <c r="F523" s="309"/>
      <c r="G523" s="309"/>
    </row>
    <row r="524" spans="1:7" ht="21" x14ac:dyDescent="0.25">
      <c r="A524" s="309"/>
      <c r="B524" s="309"/>
      <c r="C524" s="309"/>
      <c r="D524" s="309"/>
      <c r="E524" s="309"/>
      <c r="F524" s="309"/>
      <c r="G524" s="309"/>
    </row>
    <row r="525" spans="1:7" ht="21" x14ac:dyDescent="0.25">
      <c r="A525" s="309"/>
      <c r="B525" s="309"/>
      <c r="C525" s="309"/>
      <c r="D525" s="309"/>
      <c r="E525" s="309"/>
      <c r="F525" s="309"/>
      <c r="G525" s="309"/>
    </row>
    <row r="526" spans="1:7" ht="21" x14ac:dyDescent="0.25">
      <c r="A526" s="309"/>
      <c r="B526" s="309"/>
      <c r="C526" s="309"/>
      <c r="D526" s="309"/>
      <c r="E526" s="309"/>
      <c r="F526" s="309"/>
      <c r="G526" s="309"/>
    </row>
    <row r="527" spans="1:7" ht="21" x14ac:dyDescent="0.25">
      <c r="A527" s="309"/>
      <c r="B527" s="309"/>
      <c r="C527" s="309"/>
      <c r="D527" s="309"/>
      <c r="E527" s="309"/>
      <c r="F527" s="309"/>
      <c r="G527" s="309"/>
    </row>
    <row r="528" spans="1:7" ht="21" x14ac:dyDescent="0.25">
      <c r="A528" s="309"/>
      <c r="B528" s="309"/>
      <c r="C528" s="309"/>
      <c r="D528" s="309"/>
      <c r="E528" s="309"/>
      <c r="F528" s="309"/>
      <c r="G528" s="309"/>
    </row>
    <row r="529" spans="1:7" ht="21" x14ac:dyDescent="0.25">
      <c r="A529" s="309"/>
      <c r="B529" s="309"/>
      <c r="C529" s="309"/>
      <c r="D529" s="309"/>
      <c r="E529" s="309"/>
      <c r="F529" s="309"/>
      <c r="G529" s="309"/>
    </row>
    <row r="530" spans="1:7" ht="21" x14ac:dyDescent="0.25">
      <c r="A530" s="309"/>
      <c r="B530" s="309"/>
      <c r="C530" s="309"/>
      <c r="D530" s="309"/>
      <c r="E530" s="309"/>
      <c r="F530" s="309"/>
      <c r="G530" s="309"/>
    </row>
    <row r="531" spans="1:7" ht="21" x14ac:dyDescent="0.25">
      <c r="A531" s="309"/>
      <c r="B531" s="309"/>
      <c r="C531" s="309"/>
      <c r="D531" s="309"/>
      <c r="E531" s="309"/>
      <c r="F531" s="309"/>
      <c r="G531" s="309"/>
    </row>
    <row r="532" spans="1:7" ht="21" x14ac:dyDescent="0.25">
      <c r="A532" s="309"/>
      <c r="B532" s="309"/>
      <c r="C532" s="309"/>
      <c r="D532" s="309"/>
      <c r="E532" s="309"/>
      <c r="F532" s="309"/>
      <c r="G532" s="309"/>
    </row>
    <row r="533" spans="1:7" ht="21" x14ac:dyDescent="0.25">
      <c r="A533" s="309"/>
      <c r="B533" s="309"/>
      <c r="C533" s="309"/>
      <c r="D533" s="309"/>
      <c r="E533" s="309"/>
      <c r="F533" s="309"/>
      <c r="G533" s="309"/>
    </row>
    <row r="534" spans="1:7" ht="21" x14ac:dyDescent="0.25">
      <c r="A534" s="309"/>
      <c r="B534" s="309"/>
      <c r="C534" s="309"/>
      <c r="D534" s="309"/>
      <c r="E534" s="309"/>
      <c r="F534" s="309"/>
      <c r="G534" s="309"/>
    </row>
    <row r="535" spans="1:7" ht="21" x14ac:dyDescent="0.25">
      <c r="A535" s="309"/>
      <c r="B535" s="309"/>
      <c r="C535" s="309"/>
      <c r="D535" s="309"/>
      <c r="E535" s="309"/>
      <c r="F535" s="309"/>
      <c r="G535" s="309"/>
    </row>
    <row r="536" spans="1:7" ht="21" x14ac:dyDescent="0.25">
      <c r="A536" s="309"/>
      <c r="B536" s="309"/>
      <c r="C536" s="309"/>
      <c r="D536" s="309"/>
      <c r="E536" s="309"/>
      <c r="F536" s="309"/>
      <c r="G536" s="309"/>
    </row>
    <row r="537" spans="1:7" ht="21" x14ac:dyDescent="0.25">
      <c r="A537" s="309"/>
      <c r="B537" s="309"/>
      <c r="C537" s="309"/>
      <c r="D537" s="309"/>
      <c r="E537" s="309"/>
      <c r="F537" s="309"/>
      <c r="G537" s="309"/>
    </row>
    <row r="538" spans="1:7" ht="21" x14ac:dyDescent="0.25">
      <c r="A538" s="309"/>
      <c r="B538" s="309"/>
      <c r="C538" s="309"/>
      <c r="D538" s="309"/>
      <c r="E538" s="309"/>
      <c r="F538" s="309"/>
      <c r="G538" s="309"/>
    </row>
    <row r="539" spans="1:7" ht="21" x14ac:dyDescent="0.25">
      <c r="A539" s="309"/>
      <c r="B539" s="309"/>
      <c r="C539" s="309"/>
      <c r="D539" s="309"/>
      <c r="E539" s="309"/>
      <c r="F539" s="309"/>
      <c r="G539" s="309"/>
    </row>
    <row r="540" spans="1:7" ht="21" x14ac:dyDescent="0.25">
      <c r="A540" s="309"/>
      <c r="B540" s="309"/>
      <c r="C540" s="309"/>
      <c r="D540" s="309"/>
      <c r="E540" s="309"/>
      <c r="F540" s="309"/>
      <c r="G540" s="309"/>
    </row>
    <row r="541" spans="1:7" ht="21" x14ac:dyDescent="0.25">
      <c r="A541" s="309"/>
      <c r="B541" s="309"/>
      <c r="C541" s="309"/>
      <c r="D541" s="309"/>
      <c r="E541" s="309"/>
      <c r="F541" s="309"/>
      <c r="G541" s="309"/>
    </row>
    <row r="542" spans="1:7" ht="21" x14ac:dyDescent="0.25">
      <c r="A542" s="309"/>
      <c r="B542" s="309"/>
      <c r="C542" s="309"/>
      <c r="D542" s="309"/>
      <c r="E542" s="309"/>
      <c r="F542" s="309"/>
      <c r="G542" s="309"/>
    </row>
    <row r="543" spans="1:7" ht="21" x14ac:dyDescent="0.25">
      <c r="A543" s="309"/>
      <c r="B543" s="309"/>
      <c r="C543" s="309"/>
      <c r="D543" s="309"/>
      <c r="E543" s="309"/>
      <c r="F543" s="309"/>
      <c r="G543" s="309"/>
    </row>
    <row r="544" spans="1:7" ht="21" x14ac:dyDescent="0.25">
      <c r="A544" s="309"/>
      <c r="B544" s="309"/>
      <c r="C544" s="309"/>
      <c r="D544" s="309"/>
      <c r="E544" s="309"/>
      <c r="F544" s="309"/>
      <c r="G544" s="309"/>
    </row>
    <row r="545" spans="1:7" ht="21" x14ac:dyDescent="0.25">
      <c r="A545" s="309"/>
      <c r="B545" s="309"/>
      <c r="C545" s="309"/>
      <c r="D545" s="309"/>
      <c r="E545" s="309"/>
      <c r="F545" s="309"/>
      <c r="G545" s="309"/>
    </row>
    <row r="546" spans="1:7" ht="21" x14ac:dyDescent="0.25">
      <c r="A546" s="309"/>
      <c r="B546" s="309"/>
      <c r="C546" s="309"/>
      <c r="D546" s="309"/>
      <c r="E546" s="309"/>
      <c r="F546" s="309"/>
      <c r="G546" s="309"/>
    </row>
    <row r="547" spans="1:7" ht="21" x14ac:dyDescent="0.25">
      <c r="A547" s="309"/>
      <c r="B547" s="309"/>
      <c r="C547" s="309"/>
      <c r="D547" s="309"/>
      <c r="E547" s="309"/>
      <c r="F547" s="309"/>
      <c r="G547" s="309"/>
    </row>
    <row r="548" spans="1:7" ht="21" x14ac:dyDescent="0.25">
      <c r="A548" s="309"/>
      <c r="B548" s="309"/>
      <c r="C548" s="309"/>
      <c r="D548" s="309"/>
      <c r="E548" s="309"/>
      <c r="F548" s="309"/>
      <c r="G548" s="309"/>
    </row>
    <row r="549" spans="1:7" ht="21" x14ac:dyDescent="0.25">
      <c r="A549" s="309"/>
      <c r="B549" s="309"/>
      <c r="C549" s="309"/>
      <c r="D549" s="309"/>
      <c r="E549" s="309"/>
      <c r="F549" s="309"/>
      <c r="G549" s="309"/>
    </row>
    <row r="550" spans="1:7" ht="21" x14ac:dyDescent="0.25">
      <c r="A550" s="309"/>
      <c r="B550" s="309"/>
      <c r="C550" s="309"/>
      <c r="D550" s="309"/>
      <c r="E550" s="309"/>
      <c r="F550" s="309"/>
      <c r="G550" s="309"/>
    </row>
    <row r="551" spans="1:7" ht="21" x14ac:dyDescent="0.25">
      <c r="A551" s="309"/>
      <c r="B551" s="309"/>
      <c r="C551" s="309"/>
      <c r="D551" s="309"/>
      <c r="E551" s="309"/>
      <c r="F551" s="309"/>
      <c r="G551" s="309"/>
    </row>
    <row r="552" spans="1:7" ht="21" x14ac:dyDescent="0.25">
      <c r="A552" s="309"/>
      <c r="B552" s="309"/>
      <c r="C552" s="309"/>
      <c r="D552" s="309"/>
      <c r="E552" s="309"/>
      <c r="F552" s="309"/>
      <c r="G552" s="309"/>
    </row>
    <row r="553" spans="1:7" ht="21" x14ac:dyDescent="0.25">
      <c r="A553" s="309"/>
      <c r="B553" s="309"/>
      <c r="C553" s="309"/>
      <c r="D553" s="309"/>
      <c r="E553" s="309"/>
      <c r="F553" s="309"/>
      <c r="G553" s="309"/>
    </row>
    <row r="554" spans="1:7" ht="21" x14ac:dyDescent="0.25">
      <c r="A554" s="309"/>
      <c r="B554" s="309"/>
      <c r="C554" s="309"/>
      <c r="D554" s="309"/>
      <c r="E554" s="309"/>
      <c r="F554" s="309"/>
      <c r="G554" s="309"/>
    </row>
    <row r="555" spans="1:7" ht="21" x14ac:dyDescent="0.25">
      <c r="A555" s="309"/>
      <c r="B555" s="309"/>
      <c r="C555" s="309"/>
      <c r="D555" s="309"/>
      <c r="E555" s="309"/>
      <c r="F555" s="309"/>
      <c r="G555" s="309"/>
    </row>
    <row r="556" spans="1:7" ht="21" x14ac:dyDescent="0.25">
      <c r="A556" s="309"/>
      <c r="B556" s="309"/>
      <c r="C556" s="309"/>
      <c r="D556" s="309"/>
      <c r="E556" s="309"/>
      <c r="F556" s="309"/>
      <c r="G556" s="309"/>
    </row>
    <row r="557" spans="1:7" ht="21" x14ac:dyDescent="0.25">
      <c r="A557" s="309"/>
      <c r="B557" s="309"/>
      <c r="C557" s="309"/>
      <c r="D557" s="309"/>
      <c r="E557" s="309"/>
      <c r="F557" s="309"/>
      <c r="G557" s="309"/>
    </row>
    <row r="558" spans="1:7" ht="21" x14ac:dyDescent="0.25">
      <c r="A558" s="309"/>
      <c r="B558" s="309"/>
      <c r="C558" s="309"/>
      <c r="D558" s="309"/>
      <c r="E558" s="309"/>
      <c r="F558" s="309"/>
      <c r="G558" s="309"/>
    </row>
    <row r="559" spans="1:7" ht="21" x14ac:dyDescent="0.25">
      <c r="A559" s="309"/>
      <c r="B559" s="309"/>
      <c r="C559" s="309"/>
      <c r="D559" s="309"/>
      <c r="E559" s="309"/>
      <c r="F559" s="309"/>
      <c r="G559" s="309"/>
    </row>
    <row r="560" spans="1:7" ht="21" x14ac:dyDescent="0.25">
      <c r="A560" s="309"/>
      <c r="B560" s="309"/>
      <c r="C560" s="309"/>
      <c r="D560" s="309"/>
      <c r="E560" s="309"/>
      <c r="F560" s="309"/>
      <c r="G560" s="309"/>
    </row>
    <row r="561" spans="1:7" ht="21" x14ac:dyDescent="0.25">
      <c r="A561" s="309"/>
      <c r="B561" s="309"/>
      <c r="C561" s="309"/>
      <c r="D561" s="309"/>
      <c r="E561" s="309"/>
      <c r="F561" s="309"/>
      <c r="G561" s="309"/>
    </row>
    <row r="562" spans="1:7" ht="21" x14ac:dyDescent="0.25">
      <c r="A562" s="309"/>
      <c r="B562" s="309"/>
      <c r="C562" s="309"/>
      <c r="D562" s="309"/>
      <c r="E562" s="309"/>
      <c r="F562" s="309"/>
      <c r="G562" s="309"/>
    </row>
    <row r="563" spans="1:7" ht="21" x14ac:dyDescent="0.25">
      <c r="A563" s="309"/>
      <c r="B563" s="309"/>
      <c r="C563" s="309"/>
      <c r="D563" s="309"/>
      <c r="E563" s="309"/>
      <c r="F563" s="309"/>
      <c r="G563" s="309"/>
    </row>
    <row r="564" spans="1:7" ht="21" x14ac:dyDescent="0.25">
      <c r="A564" s="309"/>
      <c r="B564" s="309"/>
      <c r="C564" s="309"/>
      <c r="D564" s="309"/>
      <c r="E564" s="309"/>
      <c r="F564" s="309"/>
      <c r="G564" s="309"/>
    </row>
    <row r="565" spans="1:7" ht="21" x14ac:dyDescent="0.25">
      <c r="A565" s="309"/>
      <c r="B565" s="309"/>
      <c r="C565" s="309"/>
      <c r="D565" s="309"/>
      <c r="E565" s="309"/>
      <c r="F565" s="309"/>
      <c r="G565" s="309"/>
    </row>
    <row r="566" spans="1:7" ht="21" x14ac:dyDescent="0.25">
      <c r="A566" s="309"/>
      <c r="B566" s="309"/>
      <c r="C566" s="309"/>
      <c r="D566" s="309"/>
      <c r="E566" s="309"/>
      <c r="F566" s="309"/>
      <c r="G566" s="309"/>
    </row>
    <row r="567" spans="1:7" ht="21" x14ac:dyDescent="0.25">
      <c r="A567" s="309"/>
      <c r="B567" s="309"/>
      <c r="C567" s="309"/>
      <c r="D567" s="309"/>
      <c r="E567" s="309"/>
      <c r="F567" s="309"/>
      <c r="G567" s="309"/>
    </row>
    <row r="568" spans="1:7" ht="21" x14ac:dyDescent="0.25">
      <c r="A568" s="309"/>
      <c r="B568" s="309"/>
      <c r="C568" s="309"/>
      <c r="D568" s="309"/>
      <c r="E568" s="309"/>
      <c r="F568" s="309"/>
      <c r="G568" s="309"/>
    </row>
    <row r="569" spans="1:7" ht="21" x14ac:dyDescent="0.25">
      <c r="A569" s="309"/>
      <c r="B569" s="309"/>
      <c r="C569" s="309"/>
      <c r="D569" s="309"/>
      <c r="E569" s="309"/>
      <c r="F569" s="309"/>
      <c r="G569" s="309"/>
    </row>
    <row r="570" spans="1:7" ht="21" x14ac:dyDescent="0.25">
      <c r="A570" s="309"/>
      <c r="B570" s="309"/>
      <c r="C570" s="309"/>
      <c r="D570" s="309"/>
      <c r="E570" s="309"/>
      <c r="F570" s="309"/>
      <c r="G570" s="309"/>
    </row>
    <row r="571" spans="1:7" ht="21" x14ac:dyDescent="0.25">
      <c r="A571" s="309"/>
      <c r="B571" s="309"/>
      <c r="C571" s="309"/>
      <c r="D571" s="309"/>
      <c r="E571" s="309"/>
      <c r="F571" s="309"/>
      <c r="G571" s="309"/>
    </row>
    <row r="572" spans="1:7" ht="21" x14ac:dyDescent="0.25">
      <c r="A572" s="309"/>
      <c r="B572" s="309"/>
      <c r="C572" s="309"/>
      <c r="D572" s="309"/>
      <c r="E572" s="309"/>
      <c r="F572" s="309"/>
      <c r="G572" s="309"/>
    </row>
    <row r="573" spans="1:7" ht="21" x14ac:dyDescent="0.25">
      <c r="A573" s="309"/>
      <c r="B573" s="309"/>
      <c r="C573" s="309"/>
      <c r="D573" s="309"/>
      <c r="E573" s="309"/>
      <c r="F573" s="309"/>
      <c r="G573" s="309"/>
    </row>
    <row r="574" spans="1:7" ht="21" x14ac:dyDescent="0.25">
      <c r="A574" s="309"/>
      <c r="B574" s="309"/>
      <c r="C574" s="309"/>
      <c r="D574" s="309"/>
      <c r="E574" s="309"/>
      <c r="F574" s="309"/>
      <c r="G574" s="309"/>
    </row>
    <row r="575" spans="1:7" ht="21" x14ac:dyDescent="0.25">
      <c r="A575" s="309"/>
      <c r="B575" s="309"/>
      <c r="C575" s="309"/>
      <c r="D575" s="309"/>
      <c r="E575" s="309"/>
      <c r="F575" s="309"/>
      <c r="G575" s="309"/>
    </row>
    <row r="576" spans="1:7" ht="21" x14ac:dyDescent="0.25">
      <c r="A576" s="309"/>
      <c r="B576" s="309"/>
      <c r="C576" s="309"/>
      <c r="D576" s="309"/>
      <c r="E576" s="309"/>
      <c r="F576" s="309"/>
      <c r="G576" s="309"/>
    </row>
    <row r="577" spans="1:7" ht="21" x14ac:dyDescent="0.25">
      <c r="A577" s="309"/>
      <c r="B577" s="309"/>
      <c r="C577" s="309"/>
      <c r="D577" s="309"/>
      <c r="E577" s="309"/>
      <c r="F577" s="309"/>
      <c r="G577" s="309"/>
    </row>
    <row r="578" spans="1:7" ht="21" x14ac:dyDescent="0.25">
      <c r="A578" s="309"/>
      <c r="B578" s="309"/>
      <c r="C578" s="309"/>
      <c r="D578" s="309"/>
      <c r="E578" s="309"/>
      <c r="F578" s="309"/>
      <c r="G578" s="309"/>
    </row>
    <row r="579" spans="1:7" ht="21" x14ac:dyDescent="0.25">
      <c r="A579" s="309"/>
      <c r="B579" s="309"/>
      <c r="C579" s="309"/>
      <c r="D579" s="309"/>
      <c r="E579" s="309"/>
      <c r="F579" s="309"/>
      <c r="G579" s="309"/>
    </row>
    <row r="580" spans="1:7" ht="21" x14ac:dyDescent="0.25">
      <c r="A580" s="309"/>
      <c r="B580" s="309"/>
      <c r="C580" s="309"/>
      <c r="D580" s="309"/>
      <c r="E580" s="309"/>
      <c r="F580" s="309"/>
      <c r="G580" s="309"/>
    </row>
    <row r="581" spans="1:7" ht="21" x14ac:dyDescent="0.25">
      <c r="A581" s="309"/>
      <c r="B581" s="309"/>
      <c r="C581" s="309"/>
      <c r="D581" s="309"/>
      <c r="E581" s="309"/>
      <c r="F581" s="309"/>
      <c r="G581" s="309"/>
    </row>
    <row r="582" spans="1:7" ht="21" x14ac:dyDescent="0.25">
      <c r="A582" s="309"/>
      <c r="B582" s="309"/>
      <c r="C582" s="309"/>
      <c r="D582" s="309"/>
      <c r="E582" s="309"/>
      <c r="F582" s="309"/>
      <c r="G582" s="309"/>
    </row>
    <row r="583" spans="1:7" ht="21" x14ac:dyDescent="0.25">
      <c r="A583" s="309"/>
      <c r="B583" s="309"/>
      <c r="C583" s="309"/>
      <c r="D583" s="309"/>
      <c r="E583" s="309"/>
      <c r="F583" s="309"/>
      <c r="G583" s="309"/>
    </row>
    <row r="584" spans="1:7" ht="21" x14ac:dyDescent="0.25">
      <c r="A584" s="309"/>
      <c r="B584" s="309"/>
      <c r="C584" s="309"/>
      <c r="D584" s="309"/>
      <c r="E584" s="309"/>
      <c r="F584" s="309"/>
      <c r="G584" s="309"/>
    </row>
    <row r="585" spans="1:7" ht="21" x14ac:dyDescent="0.25">
      <c r="A585" s="309"/>
      <c r="B585" s="309"/>
      <c r="C585" s="309"/>
      <c r="D585" s="309"/>
      <c r="E585" s="309"/>
      <c r="F585" s="309"/>
      <c r="G585" s="309"/>
    </row>
    <row r="586" spans="1:7" ht="21" x14ac:dyDescent="0.25">
      <c r="A586" s="309"/>
      <c r="B586" s="309"/>
      <c r="C586" s="309"/>
      <c r="D586" s="309"/>
      <c r="E586" s="309"/>
      <c r="F586" s="309"/>
      <c r="G586" s="309"/>
    </row>
    <row r="587" spans="1:7" ht="21" x14ac:dyDescent="0.25">
      <c r="A587" s="309"/>
      <c r="B587" s="309"/>
      <c r="C587" s="309"/>
      <c r="D587" s="309"/>
      <c r="E587" s="309"/>
      <c r="F587" s="309"/>
      <c r="G587" s="309"/>
    </row>
    <row r="588" spans="1:7" ht="21" x14ac:dyDescent="0.25">
      <c r="A588" s="309"/>
      <c r="B588" s="309"/>
      <c r="C588" s="309"/>
      <c r="D588" s="309"/>
      <c r="E588" s="309"/>
      <c r="F588" s="309"/>
      <c r="G588" s="309"/>
    </row>
    <row r="589" spans="1:7" ht="21" x14ac:dyDescent="0.25">
      <c r="A589" s="309"/>
      <c r="B589" s="309"/>
      <c r="C589" s="309"/>
      <c r="D589" s="309"/>
      <c r="E589" s="309"/>
      <c r="F589" s="309"/>
      <c r="G589" s="309"/>
    </row>
    <row r="590" spans="1:7" ht="21" x14ac:dyDescent="0.25">
      <c r="A590" s="309"/>
      <c r="B590" s="309"/>
      <c r="C590" s="309"/>
      <c r="D590" s="309"/>
      <c r="E590" s="309"/>
      <c r="F590" s="309"/>
      <c r="G590" s="309"/>
    </row>
    <row r="591" spans="1:7" ht="21" x14ac:dyDescent="0.25">
      <c r="A591" s="309"/>
      <c r="B591" s="309"/>
      <c r="C591" s="309"/>
      <c r="D591" s="309"/>
      <c r="E591" s="309"/>
      <c r="F591" s="309"/>
      <c r="G591" s="309"/>
    </row>
    <row r="592" spans="1:7" ht="21" x14ac:dyDescent="0.25">
      <c r="A592" s="309"/>
      <c r="B592" s="309"/>
      <c r="C592" s="309"/>
      <c r="D592" s="309"/>
      <c r="E592" s="309"/>
      <c r="F592" s="309"/>
      <c r="G592" s="309"/>
    </row>
    <row r="593" spans="1:7" ht="21" x14ac:dyDescent="0.25">
      <c r="A593" s="309"/>
      <c r="B593" s="309"/>
      <c r="C593" s="309"/>
      <c r="D593" s="309"/>
      <c r="E593" s="309"/>
      <c r="F593" s="309"/>
      <c r="G593" s="309"/>
    </row>
    <row r="594" spans="1:7" ht="21" x14ac:dyDescent="0.25">
      <c r="A594" s="309"/>
      <c r="B594" s="309"/>
      <c r="C594" s="309"/>
      <c r="D594" s="309"/>
      <c r="E594" s="309"/>
      <c r="F594" s="309"/>
      <c r="G594" s="309"/>
    </row>
    <row r="595" spans="1:7" ht="21" x14ac:dyDescent="0.25">
      <c r="A595" s="309"/>
      <c r="B595" s="309"/>
      <c r="C595" s="309"/>
      <c r="D595" s="309"/>
      <c r="E595" s="309"/>
      <c r="F595" s="309"/>
      <c r="G595" s="309"/>
    </row>
    <row r="596" spans="1:7" ht="21" x14ac:dyDescent="0.25">
      <c r="A596" s="309"/>
      <c r="B596" s="309"/>
      <c r="C596" s="309"/>
      <c r="D596" s="309"/>
      <c r="E596" s="309"/>
      <c r="F596" s="309"/>
      <c r="G596" s="309"/>
    </row>
    <row r="597" spans="1:7" ht="21" x14ac:dyDescent="0.25">
      <c r="A597" s="309"/>
      <c r="B597" s="309"/>
      <c r="C597" s="309"/>
      <c r="D597" s="309"/>
      <c r="E597" s="309"/>
      <c r="F597" s="309"/>
      <c r="G597" s="309"/>
    </row>
    <row r="598" spans="1:7" ht="21" x14ac:dyDescent="0.25">
      <c r="A598" s="309"/>
      <c r="B598" s="309"/>
      <c r="C598" s="309"/>
      <c r="D598" s="309"/>
      <c r="E598" s="309"/>
      <c r="F598" s="309"/>
      <c r="G598" s="309"/>
    </row>
    <row r="599" spans="1:7" ht="21" x14ac:dyDescent="0.25">
      <c r="A599" s="309"/>
      <c r="B599" s="309"/>
      <c r="C599" s="309"/>
      <c r="D599" s="309"/>
      <c r="E599" s="309"/>
      <c r="F599" s="309"/>
      <c r="G599" s="309"/>
    </row>
    <row r="600" spans="1:7" ht="21" x14ac:dyDescent="0.25">
      <c r="A600" s="309"/>
      <c r="B600" s="309"/>
      <c r="C600" s="309"/>
      <c r="D600" s="309"/>
      <c r="E600" s="309"/>
      <c r="F600" s="309"/>
      <c r="G600" s="309"/>
    </row>
    <row r="601" spans="1:7" ht="21" x14ac:dyDescent="0.25">
      <c r="A601" s="309"/>
      <c r="B601" s="309"/>
      <c r="C601" s="309"/>
      <c r="D601" s="309"/>
      <c r="E601" s="309"/>
      <c r="F601" s="309"/>
      <c r="G601" s="309"/>
    </row>
    <row r="602" spans="1:7" ht="21" x14ac:dyDescent="0.25">
      <c r="A602" s="309"/>
      <c r="B602" s="309"/>
      <c r="C602" s="309"/>
      <c r="D602" s="309"/>
      <c r="E602" s="309"/>
      <c r="F602" s="309"/>
      <c r="G602" s="309"/>
    </row>
    <row r="603" spans="1:7" ht="21" x14ac:dyDescent="0.25">
      <c r="A603" s="309"/>
      <c r="B603" s="309"/>
      <c r="C603" s="309"/>
      <c r="D603" s="309"/>
      <c r="E603" s="309"/>
      <c r="F603" s="309"/>
      <c r="G603" s="309"/>
    </row>
    <row r="604" spans="1:7" ht="21" x14ac:dyDescent="0.25">
      <c r="A604" s="309"/>
      <c r="B604" s="309"/>
      <c r="C604" s="309"/>
      <c r="D604" s="309"/>
      <c r="E604" s="309"/>
      <c r="F604" s="309"/>
      <c r="G604" s="309"/>
    </row>
    <row r="605" spans="1:7" ht="21" x14ac:dyDescent="0.25">
      <c r="A605" s="309"/>
      <c r="B605" s="309"/>
      <c r="C605" s="309"/>
      <c r="D605" s="309"/>
      <c r="E605" s="309"/>
      <c r="F605" s="309"/>
      <c r="G605" s="309"/>
    </row>
    <row r="606" spans="1:7" ht="21" x14ac:dyDescent="0.25">
      <c r="A606" s="309"/>
      <c r="B606" s="309"/>
      <c r="C606" s="309"/>
      <c r="D606" s="309"/>
      <c r="E606" s="309"/>
      <c r="F606" s="309"/>
      <c r="G606" s="309"/>
    </row>
    <row r="607" spans="1:7" ht="21" x14ac:dyDescent="0.25">
      <c r="A607" s="309"/>
      <c r="B607" s="309"/>
      <c r="C607" s="309"/>
      <c r="D607" s="309"/>
      <c r="E607" s="309"/>
      <c r="F607" s="309"/>
      <c r="G607" s="309"/>
    </row>
    <row r="608" spans="1:7" ht="21" x14ac:dyDescent="0.25">
      <c r="A608" s="309"/>
      <c r="B608" s="309"/>
      <c r="C608" s="309"/>
      <c r="D608" s="309"/>
      <c r="E608" s="309"/>
      <c r="F608" s="309"/>
      <c r="G608" s="309"/>
    </row>
    <row r="609" spans="1:7" ht="21" x14ac:dyDescent="0.25">
      <c r="A609" s="309"/>
      <c r="B609" s="309"/>
      <c r="C609" s="309"/>
      <c r="D609" s="309"/>
      <c r="E609" s="309"/>
      <c r="F609" s="309"/>
      <c r="G609" s="309"/>
    </row>
    <row r="610" spans="1:7" ht="21" x14ac:dyDescent="0.25">
      <c r="A610" s="309"/>
      <c r="B610" s="309"/>
      <c r="C610" s="309"/>
      <c r="D610" s="309"/>
      <c r="E610" s="309"/>
      <c r="F610" s="309"/>
      <c r="G610" s="309"/>
    </row>
    <row r="611" spans="1:7" ht="21" x14ac:dyDescent="0.25">
      <c r="A611" s="309"/>
      <c r="B611" s="309"/>
      <c r="C611" s="309"/>
      <c r="D611" s="309"/>
      <c r="E611" s="309"/>
      <c r="F611" s="309"/>
      <c r="G611" s="309"/>
    </row>
    <row r="612" spans="1:7" ht="21" x14ac:dyDescent="0.25">
      <c r="A612" s="309"/>
      <c r="B612" s="309"/>
      <c r="C612" s="309"/>
      <c r="D612" s="309"/>
      <c r="E612" s="309"/>
      <c r="F612" s="309"/>
      <c r="G612" s="309"/>
    </row>
    <row r="613" spans="1:7" ht="21" x14ac:dyDescent="0.25">
      <c r="A613" s="309"/>
      <c r="B613" s="309"/>
      <c r="C613" s="309"/>
      <c r="D613" s="309"/>
      <c r="E613" s="309"/>
      <c r="F613" s="309"/>
      <c r="G613" s="309"/>
    </row>
    <row r="614" spans="1:7" ht="21" x14ac:dyDescent="0.25">
      <c r="A614" s="309"/>
      <c r="B614" s="309"/>
      <c r="C614" s="309"/>
      <c r="D614" s="309"/>
      <c r="E614" s="309"/>
      <c r="F614" s="309"/>
      <c r="G614" s="309"/>
    </row>
    <row r="615" spans="1:7" ht="21" x14ac:dyDescent="0.25">
      <c r="A615" s="309"/>
      <c r="B615" s="309"/>
      <c r="C615" s="309"/>
      <c r="D615" s="309"/>
      <c r="E615" s="309"/>
      <c r="F615" s="309"/>
      <c r="G615" s="309"/>
    </row>
    <row r="616" spans="1:7" ht="21" x14ac:dyDescent="0.25">
      <c r="A616" s="309"/>
      <c r="B616" s="309"/>
      <c r="C616" s="309"/>
      <c r="D616" s="309"/>
      <c r="E616" s="309"/>
      <c r="F616" s="309"/>
      <c r="G616" s="309"/>
    </row>
    <row r="617" spans="1:7" ht="21" x14ac:dyDescent="0.25">
      <c r="A617" s="309"/>
      <c r="B617" s="309"/>
      <c r="C617" s="309"/>
      <c r="D617" s="309"/>
      <c r="E617" s="309"/>
      <c r="F617" s="309"/>
      <c r="G617" s="309"/>
    </row>
    <row r="618" spans="1:7" ht="21" x14ac:dyDescent="0.25">
      <c r="A618" s="309"/>
      <c r="B618" s="309"/>
      <c r="C618" s="309"/>
      <c r="D618" s="309"/>
      <c r="E618" s="309"/>
      <c r="F618" s="309"/>
      <c r="G618" s="309"/>
    </row>
    <row r="619" spans="1:7" ht="21" x14ac:dyDescent="0.25">
      <c r="A619" s="309"/>
      <c r="B619" s="309"/>
      <c r="C619" s="309"/>
      <c r="D619" s="309"/>
      <c r="E619" s="309"/>
      <c r="F619" s="309"/>
      <c r="G619" s="309"/>
    </row>
    <row r="620" spans="1:7" ht="21" x14ac:dyDescent="0.25">
      <c r="A620" s="309"/>
      <c r="B620" s="309"/>
      <c r="C620" s="309"/>
      <c r="D620" s="309"/>
      <c r="E620" s="309"/>
      <c r="F620" s="309"/>
      <c r="G620" s="309"/>
    </row>
    <row r="621" spans="1:7" ht="21" x14ac:dyDescent="0.25">
      <c r="A621" s="309"/>
      <c r="B621" s="309"/>
      <c r="C621" s="309"/>
      <c r="D621" s="309"/>
      <c r="E621" s="309"/>
      <c r="F621" s="309"/>
      <c r="G621" s="309"/>
    </row>
    <row r="622" spans="1:7" ht="21" x14ac:dyDescent="0.25">
      <c r="A622" s="309"/>
      <c r="B622" s="309"/>
      <c r="C622" s="309"/>
      <c r="D622" s="309"/>
      <c r="E622" s="309"/>
      <c r="F622" s="309"/>
      <c r="G622" s="309"/>
    </row>
    <row r="623" spans="1:7" ht="21" x14ac:dyDescent="0.25">
      <c r="A623" s="309"/>
      <c r="B623" s="309"/>
      <c r="C623" s="309"/>
      <c r="D623" s="309"/>
      <c r="E623" s="309"/>
      <c r="F623" s="309"/>
      <c r="G623" s="309"/>
    </row>
    <row r="624" spans="1:7" ht="21" x14ac:dyDescent="0.25">
      <c r="A624" s="309"/>
      <c r="B624" s="309"/>
      <c r="C624" s="309"/>
      <c r="D624" s="309"/>
      <c r="E624" s="309"/>
      <c r="F624" s="309"/>
      <c r="G624" s="309"/>
    </row>
    <row r="625" spans="1:7" ht="21" x14ac:dyDescent="0.25">
      <c r="A625" s="309"/>
      <c r="B625" s="309"/>
      <c r="C625" s="309"/>
      <c r="D625" s="309"/>
      <c r="E625" s="309"/>
      <c r="F625" s="309"/>
      <c r="G625" s="309"/>
    </row>
    <row r="626" spans="1:7" ht="21" x14ac:dyDescent="0.25">
      <c r="A626" s="309"/>
      <c r="B626" s="309"/>
      <c r="C626" s="309"/>
      <c r="D626" s="309"/>
      <c r="E626" s="309"/>
      <c r="F626" s="309"/>
      <c r="G626" s="309"/>
    </row>
    <row r="627" spans="1:7" ht="21" x14ac:dyDescent="0.25">
      <c r="A627" s="309"/>
      <c r="B627" s="309"/>
      <c r="C627" s="309"/>
      <c r="D627" s="309"/>
      <c r="E627" s="309"/>
      <c r="F627" s="309"/>
      <c r="G627" s="309"/>
    </row>
    <row r="628" spans="1:7" ht="21" x14ac:dyDescent="0.25">
      <c r="A628" s="309"/>
      <c r="B628" s="309"/>
      <c r="C628" s="309"/>
      <c r="D628" s="309"/>
      <c r="E628" s="309"/>
      <c r="F628" s="309"/>
      <c r="G628" s="309"/>
    </row>
    <row r="629" spans="1:7" ht="21" x14ac:dyDescent="0.25">
      <c r="A629" s="309"/>
      <c r="B629" s="309"/>
      <c r="C629" s="309"/>
      <c r="D629" s="309"/>
      <c r="E629" s="309"/>
      <c r="F629" s="309"/>
      <c r="G629" s="309"/>
    </row>
    <row r="630" spans="1:7" ht="21" x14ac:dyDescent="0.25">
      <c r="A630" s="309"/>
      <c r="B630" s="309"/>
      <c r="C630" s="309"/>
      <c r="D630" s="309"/>
      <c r="E630" s="309"/>
      <c r="F630" s="309"/>
      <c r="G630" s="309"/>
    </row>
    <row r="631" spans="1:7" ht="21" x14ac:dyDescent="0.25">
      <c r="A631" s="309"/>
      <c r="B631" s="309"/>
      <c r="C631" s="309"/>
      <c r="D631" s="309"/>
      <c r="E631" s="309"/>
      <c r="F631" s="309"/>
      <c r="G631" s="309"/>
    </row>
    <row r="632" spans="1:7" ht="21" x14ac:dyDescent="0.25">
      <c r="A632" s="309"/>
      <c r="B632" s="309"/>
      <c r="C632" s="309"/>
      <c r="D632" s="309"/>
      <c r="E632" s="309"/>
      <c r="F632" s="309"/>
      <c r="G632" s="309"/>
    </row>
    <row r="633" spans="1:7" ht="21" x14ac:dyDescent="0.25">
      <c r="A633" s="309"/>
      <c r="B633" s="309"/>
      <c r="C633" s="309"/>
      <c r="D633" s="309"/>
      <c r="E633" s="309"/>
      <c r="F633" s="309"/>
      <c r="G633" s="309"/>
    </row>
    <row r="634" spans="1:7" ht="21" x14ac:dyDescent="0.25">
      <c r="A634" s="309"/>
      <c r="B634" s="309"/>
      <c r="C634" s="309"/>
      <c r="D634" s="309"/>
      <c r="E634" s="309"/>
      <c r="F634" s="309"/>
      <c r="G634" s="309"/>
    </row>
    <row r="635" spans="1:7" ht="21" x14ac:dyDescent="0.25">
      <c r="A635" s="309"/>
      <c r="B635" s="309"/>
      <c r="C635" s="309"/>
      <c r="D635" s="309"/>
      <c r="E635" s="309"/>
      <c r="F635" s="309"/>
      <c r="G635" s="309"/>
    </row>
    <row r="636" spans="1:7" ht="21" x14ac:dyDescent="0.25">
      <c r="A636" s="309"/>
      <c r="B636" s="309"/>
      <c r="C636" s="309"/>
      <c r="D636" s="309"/>
      <c r="E636" s="309"/>
      <c r="F636" s="309"/>
      <c r="G636" s="309"/>
    </row>
    <row r="637" spans="1:7" ht="21" x14ac:dyDescent="0.25">
      <c r="A637" s="309"/>
      <c r="B637" s="309"/>
      <c r="C637" s="309"/>
      <c r="D637" s="309"/>
      <c r="E637" s="309"/>
      <c r="F637" s="309"/>
      <c r="G637" s="309"/>
    </row>
    <row r="638" spans="1:7" ht="21" x14ac:dyDescent="0.25">
      <c r="A638" s="309"/>
      <c r="B638" s="309"/>
      <c r="C638" s="309"/>
      <c r="D638" s="309"/>
      <c r="E638" s="309"/>
      <c r="F638" s="309"/>
      <c r="G638" s="309"/>
    </row>
    <row r="639" spans="1:7" ht="21" x14ac:dyDescent="0.25">
      <c r="A639" s="309"/>
      <c r="B639" s="309"/>
      <c r="C639" s="309"/>
      <c r="D639" s="309"/>
      <c r="E639" s="309"/>
      <c r="F639" s="309"/>
      <c r="G639" s="309"/>
    </row>
    <row r="640" spans="1:7" ht="21" x14ac:dyDescent="0.25">
      <c r="A640" s="309"/>
      <c r="B640" s="309"/>
      <c r="C640" s="309"/>
      <c r="D640" s="309"/>
      <c r="E640" s="309"/>
      <c r="F640" s="309"/>
      <c r="G640" s="309"/>
    </row>
    <row r="641" spans="1:7" ht="21" x14ac:dyDescent="0.25">
      <c r="A641" s="309"/>
      <c r="B641" s="309"/>
      <c r="C641" s="309"/>
      <c r="D641" s="309"/>
      <c r="E641" s="309"/>
      <c r="F641" s="309"/>
      <c r="G641" s="309"/>
    </row>
    <row r="642" spans="1:7" ht="21" x14ac:dyDescent="0.25">
      <c r="A642" s="309"/>
      <c r="B642" s="309"/>
      <c r="C642" s="309"/>
      <c r="D642" s="309"/>
      <c r="E642" s="309"/>
      <c r="F642" s="309"/>
      <c r="G642" s="309"/>
    </row>
    <row r="643" spans="1:7" ht="21" x14ac:dyDescent="0.25">
      <c r="A643" s="309"/>
      <c r="B643" s="309"/>
      <c r="C643" s="309"/>
      <c r="D643" s="309"/>
      <c r="E643" s="309"/>
      <c r="F643" s="309"/>
      <c r="G643" s="309"/>
    </row>
    <row r="644" spans="1:7" ht="21" x14ac:dyDescent="0.25">
      <c r="A644" s="309"/>
      <c r="B644" s="309"/>
      <c r="C644" s="309"/>
      <c r="D644" s="309"/>
      <c r="E644" s="309"/>
      <c r="F644" s="309"/>
      <c r="G644" s="309"/>
    </row>
    <row r="645" spans="1:7" ht="21" x14ac:dyDescent="0.25">
      <c r="A645" s="309"/>
      <c r="B645" s="309"/>
      <c r="C645" s="309"/>
      <c r="D645" s="309"/>
      <c r="E645" s="309"/>
      <c r="F645" s="309"/>
      <c r="G645" s="309"/>
    </row>
    <row r="646" spans="1:7" ht="21" x14ac:dyDescent="0.25">
      <c r="A646" s="309"/>
      <c r="B646" s="309"/>
      <c r="C646" s="309"/>
      <c r="D646" s="309"/>
      <c r="E646" s="309"/>
      <c r="F646" s="309"/>
      <c r="G646" s="309"/>
    </row>
    <row r="647" spans="1:7" ht="21" x14ac:dyDescent="0.25">
      <c r="A647" s="309"/>
      <c r="B647" s="309"/>
      <c r="C647" s="309"/>
      <c r="D647" s="309"/>
      <c r="E647" s="309"/>
      <c r="F647" s="309"/>
      <c r="G647" s="309"/>
    </row>
    <row r="648" spans="1:7" ht="21" x14ac:dyDescent="0.25">
      <c r="A648" s="309"/>
      <c r="B648" s="309"/>
      <c r="C648" s="309"/>
      <c r="D648" s="309"/>
      <c r="E648" s="309"/>
      <c r="F648" s="309"/>
      <c r="G648" s="309"/>
    </row>
    <row r="649" spans="1:7" ht="21" x14ac:dyDescent="0.25">
      <c r="A649" s="309"/>
      <c r="B649" s="309"/>
      <c r="C649" s="309"/>
      <c r="D649" s="309"/>
      <c r="E649" s="309"/>
      <c r="F649" s="309"/>
      <c r="G649" s="309"/>
    </row>
    <row r="650" spans="1:7" ht="21" x14ac:dyDescent="0.25">
      <c r="A650" s="309"/>
      <c r="B650" s="309"/>
      <c r="C650" s="309"/>
      <c r="D650" s="309"/>
      <c r="E650" s="309"/>
      <c r="F650" s="309"/>
      <c r="G650" s="309"/>
    </row>
    <row r="651" spans="1:7" ht="21" x14ac:dyDescent="0.25">
      <c r="A651" s="309"/>
      <c r="B651" s="309"/>
      <c r="C651" s="309"/>
      <c r="D651" s="309"/>
      <c r="E651" s="309"/>
      <c r="F651" s="309"/>
      <c r="G651" s="309"/>
    </row>
    <row r="652" spans="1:7" ht="21" x14ac:dyDescent="0.25">
      <c r="A652" s="309"/>
      <c r="B652" s="309"/>
      <c r="C652" s="309"/>
      <c r="D652" s="309"/>
      <c r="E652" s="309"/>
      <c r="F652" s="309"/>
      <c r="G652" s="309"/>
    </row>
    <row r="653" spans="1:7" ht="21" x14ac:dyDescent="0.25">
      <c r="A653" s="309"/>
      <c r="B653" s="309"/>
      <c r="C653" s="309"/>
      <c r="D653" s="309"/>
      <c r="E653" s="309"/>
      <c r="F653" s="309"/>
      <c r="G653" s="309"/>
    </row>
    <row r="654" spans="1:7" ht="21" x14ac:dyDescent="0.25">
      <c r="A654" s="309"/>
      <c r="B654" s="309"/>
      <c r="C654" s="309"/>
      <c r="D654" s="309"/>
      <c r="E654" s="309"/>
      <c r="F654" s="309"/>
      <c r="G654" s="309"/>
    </row>
    <row r="655" spans="1:7" ht="21" x14ac:dyDescent="0.25">
      <c r="A655" s="309"/>
      <c r="B655" s="309"/>
      <c r="C655" s="309"/>
      <c r="D655" s="309"/>
      <c r="E655" s="309"/>
      <c r="F655" s="309"/>
      <c r="G655" s="309"/>
    </row>
    <row r="656" spans="1:7" ht="21" x14ac:dyDescent="0.25">
      <c r="A656" s="309"/>
      <c r="B656" s="309"/>
      <c r="C656" s="309"/>
      <c r="D656" s="309"/>
      <c r="E656" s="309"/>
      <c r="F656" s="309"/>
      <c r="G656" s="309"/>
    </row>
    <row r="657" spans="1:7" ht="21" x14ac:dyDescent="0.25">
      <c r="A657" s="309"/>
      <c r="B657" s="309"/>
      <c r="C657" s="309"/>
      <c r="D657" s="309"/>
      <c r="E657" s="309"/>
      <c r="F657" s="309"/>
      <c r="G657" s="309"/>
    </row>
    <row r="658" spans="1:7" ht="21" x14ac:dyDescent="0.25">
      <c r="A658" s="309"/>
      <c r="B658" s="309"/>
      <c r="C658" s="309"/>
      <c r="D658" s="309"/>
      <c r="E658" s="309"/>
      <c r="F658" s="309"/>
      <c r="G658" s="309"/>
    </row>
    <row r="659" spans="1:7" ht="21" x14ac:dyDescent="0.25">
      <c r="A659" s="309"/>
      <c r="B659" s="309"/>
      <c r="C659" s="309"/>
      <c r="D659" s="309"/>
      <c r="E659" s="309"/>
      <c r="F659" s="309"/>
      <c r="G659" s="309"/>
    </row>
    <row r="660" spans="1:7" ht="21" x14ac:dyDescent="0.25">
      <c r="A660" s="309"/>
      <c r="B660" s="309"/>
      <c r="C660" s="309"/>
      <c r="D660" s="309"/>
      <c r="E660" s="309"/>
      <c r="F660" s="309"/>
      <c r="G660" s="309"/>
    </row>
    <row r="661" spans="1:7" ht="21" x14ac:dyDescent="0.25">
      <c r="A661" s="309"/>
      <c r="B661" s="309"/>
      <c r="C661" s="309"/>
      <c r="D661" s="309"/>
      <c r="E661" s="309"/>
      <c r="F661" s="309"/>
      <c r="G661" s="309"/>
    </row>
    <row r="662" spans="1:7" ht="21" x14ac:dyDescent="0.25">
      <c r="A662" s="309"/>
      <c r="B662" s="309"/>
      <c r="C662" s="309"/>
      <c r="D662" s="309"/>
      <c r="E662" s="309"/>
      <c r="F662" s="309"/>
      <c r="G662" s="309"/>
    </row>
    <row r="663" spans="1:7" ht="21" x14ac:dyDescent="0.25">
      <c r="A663" s="309"/>
      <c r="B663" s="309"/>
      <c r="C663" s="309"/>
      <c r="D663" s="309"/>
      <c r="E663" s="309"/>
      <c r="F663" s="309"/>
      <c r="G663" s="309"/>
    </row>
    <row r="664" spans="1:7" ht="21" x14ac:dyDescent="0.25">
      <c r="A664" s="309"/>
      <c r="B664" s="309"/>
      <c r="C664" s="309"/>
      <c r="D664" s="309"/>
      <c r="E664" s="309"/>
      <c r="F664" s="309"/>
      <c r="G664" s="309"/>
    </row>
    <row r="665" spans="1:7" ht="21" x14ac:dyDescent="0.25">
      <c r="A665" s="309"/>
      <c r="B665" s="309"/>
      <c r="C665" s="309"/>
      <c r="D665" s="309"/>
      <c r="E665" s="309"/>
      <c r="F665" s="309"/>
      <c r="G665" s="309"/>
    </row>
    <row r="666" spans="1:7" ht="21" x14ac:dyDescent="0.25">
      <c r="A666" s="309"/>
      <c r="B666" s="309"/>
      <c r="C666" s="309"/>
      <c r="D666" s="309"/>
      <c r="E666" s="309"/>
      <c r="F666" s="309"/>
      <c r="G666" s="309"/>
    </row>
    <row r="667" spans="1:7" ht="21" x14ac:dyDescent="0.25">
      <c r="A667" s="309"/>
      <c r="B667" s="309"/>
      <c r="C667" s="309"/>
      <c r="D667" s="309"/>
      <c r="E667" s="309"/>
      <c r="F667" s="309"/>
      <c r="G667" s="309"/>
    </row>
    <row r="668" spans="1:7" ht="21" x14ac:dyDescent="0.25">
      <c r="A668" s="309"/>
      <c r="B668" s="309"/>
      <c r="C668" s="309"/>
      <c r="D668" s="309"/>
      <c r="E668" s="309"/>
      <c r="F668" s="309"/>
      <c r="G668" s="309"/>
    </row>
    <row r="669" spans="1:7" ht="21" x14ac:dyDescent="0.25">
      <c r="A669" s="309"/>
      <c r="B669" s="309"/>
      <c r="C669" s="309"/>
      <c r="D669" s="309"/>
      <c r="E669" s="309"/>
      <c r="F669" s="309"/>
      <c r="G669" s="309"/>
    </row>
    <row r="670" spans="1:7" ht="21" x14ac:dyDescent="0.25">
      <c r="A670" s="309"/>
      <c r="B670" s="309"/>
      <c r="C670" s="309"/>
      <c r="D670" s="309"/>
      <c r="E670" s="309"/>
      <c r="F670" s="309"/>
      <c r="G670" s="309"/>
    </row>
    <row r="671" spans="1:7" ht="21" x14ac:dyDescent="0.25">
      <c r="A671" s="309"/>
      <c r="B671" s="309"/>
      <c r="C671" s="309"/>
      <c r="D671" s="309"/>
      <c r="E671" s="309"/>
      <c r="F671" s="309"/>
      <c r="G671" s="309"/>
    </row>
    <row r="672" spans="1:7" ht="21" x14ac:dyDescent="0.25">
      <c r="A672" s="309"/>
      <c r="B672" s="309"/>
      <c r="C672" s="309"/>
      <c r="D672" s="309"/>
      <c r="E672" s="309"/>
      <c r="F672" s="309"/>
      <c r="G672" s="309"/>
    </row>
    <row r="673" spans="1:7" ht="21" x14ac:dyDescent="0.25">
      <c r="A673" s="309"/>
      <c r="B673" s="309"/>
      <c r="C673" s="309"/>
      <c r="D673" s="309"/>
      <c r="E673" s="309"/>
      <c r="F673" s="309"/>
      <c r="G673" s="309"/>
    </row>
    <row r="674" spans="1:7" ht="21" x14ac:dyDescent="0.25">
      <c r="A674" s="309"/>
      <c r="B674" s="309"/>
      <c r="C674" s="309"/>
      <c r="D674" s="309"/>
      <c r="E674" s="309"/>
      <c r="F674" s="309"/>
      <c r="G674" s="309"/>
    </row>
    <row r="675" spans="1:7" ht="21" x14ac:dyDescent="0.25">
      <c r="A675" s="309"/>
      <c r="B675" s="309"/>
      <c r="C675" s="309"/>
      <c r="D675" s="309"/>
      <c r="E675" s="309"/>
      <c r="F675" s="309"/>
      <c r="G675" s="309"/>
    </row>
    <row r="676" spans="1:7" ht="21" x14ac:dyDescent="0.25">
      <c r="A676" s="309"/>
      <c r="B676" s="309"/>
      <c r="C676" s="309"/>
      <c r="D676" s="309"/>
      <c r="E676" s="309"/>
      <c r="F676" s="309"/>
      <c r="G676" s="309"/>
    </row>
    <row r="677" spans="1:7" ht="21" x14ac:dyDescent="0.25">
      <c r="A677" s="309"/>
      <c r="B677" s="309"/>
      <c r="C677" s="309"/>
      <c r="D677" s="309"/>
      <c r="E677" s="309"/>
      <c r="F677" s="309"/>
      <c r="G677" s="309"/>
    </row>
    <row r="678" spans="1:7" ht="21" x14ac:dyDescent="0.25">
      <c r="A678" s="309"/>
      <c r="B678" s="309"/>
      <c r="C678" s="309"/>
      <c r="D678" s="309"/>
      <c r="E678" s="309"/>
      <c r="F678" s="309"/>
      <c r="G678" s="309"/>
    </row>
    <row r="679" spans="1:7" ht="21" x14ac:dyDescent="0.25">
      <c r="A679" s="309"/>
      <c r="B679" s="309"/>
      <c r="C679" s="309"/>
      <c r="D679" s="309"/>
      <c r="E679" s="309"/>
      <c r="F679" s="309"/>
      <c r="G679" s="309"/>
    </row>
    <row r="680" spans="1:7" ht="21" x14ac:dyDescent="0.25">
      <c r="A680" s="309"/>
      <c r="B680" s="309"/>
      <c r="C680" s="309"/>
      <c r="D680" s="309"/>
      <c r="E680" s="309"/>
      <c r="F680" s="309"/>
      <c r="G680" s="309"/>
    </row>
    <row r="681" spans="1:7" ht="21" x14ac:dyDescent="0.25">
      <c r="A681" s="309"/>
      <c r="B681" s="309"/>
      <c r="C681" s="309"/>
      <c r="D681" s="309"/>
      <c r="E681" s="309"/>
      <c r="F681" s="309"/>
      <c r="G681" s="309"/>
    </row>
    <row r="682" spans="1:7" ht="21" x14ac:dyDescent="0.25">
      <c r="A682" s="309"/>
      <c r="B682" s="309"/>
      <c r="C682" s="309"/>
      <c r="D682" s="309"/>
      <c r="E682" s="309"/>
      <c r="F682" s="309"/>
      <c r="G682" s="309"/>
    </row>
    <row r="683" spans="1:7" ht="21" x14ac:dyDescent="0.25">
      <c r="A683" s="309"/>
      <c r="B683" s="309"/>
      <c r="C683" s="309"/>
      <c r="D683" s="309"/>
      <c r="E683" s="309"/>
      <c r="F683" s="309"/>
      <c r="G683" s="309"/>
    </row>
    <row r="684" spans="1:7" ht="21" x14ac:dyDescent="0.25">
      <c r="A684" s="309"/>
      <c r="B684" s="309"/>
      <c r="C684" s="309"/>
      <c r="D684" s="309"/>
      <c r="E684" s="309"/>
      <c r="F684" s="309"/>
      <c r="G684" s="309"/>
    </row>
    <row r="685" spans="1:7" ht="21" x14ac:dyDescent="0.25">
      <c r="A685" s="309"/>
      <c r="B685" s="309"/>
      <c r="C685" s="309"/>
      <c r="D685" s="309"/>
      <c r="E685" s="309"/>
      <c r="F685" s="309"/>
      <c r="G685" s="309"/>
    </row>
    <row r="686" spans="1:7" ht="21" x14ac:dyDescent="0.25">
      <c r="A686" s="309"/>
      <c r="B686" s="309"/>
      <c r="C686" s="309"/>
      <c r="D686" s="309"/>
      <c r="E686" s="309"/>
      <c r="F686" s="309"/>
      <c r="G686" s="309"/>
    </row>
    <row r="687" spans="1:7" ht="21" x14ac:dyDescent="0.25">
      <c r="A687" s="309"/>
      <c r="B687" s="309"/>
      <c r="C687" s="309"/>
      <c r="D687" s="309"/>
      <c r="E687" s="309"/>
      <c r="F687" s="309"/>
      <c r="G687" s="309"/>
    </row>
    <row r="688" spans="1:7" ht="21" x14ac:dyDescent="0.25">
      <c r="A688" s="309"/>
      <c r="B688" s="309"/>
      <c r="C688" s="309"/>
      <c r="D688" s="309"/>
      <c r="E688" s="309"/>
      <c r="F688" s="309"/>
      <c r="G688" s="309"/>
    </row>
    <row r="689" spans="1:7" ht="21" x14ac:dyDescent="0.25">
      <c r="A689" s="309"/>
      <c r="B689" s="309"/>
      <c r="C689" s="309"/>
      <c r="D689" s="309"/>
      <c r="E689" s="309"/>
      <c r="F689" s="309"/>
      <c r="G689" s="309"/>
    </row>
    <row r="690" spans="1:7" ht="21" x14ac:dyDescent="0.25">
      <c r="A690" s="309"/>
      <c r="B690" s="309"/>
      <c r="C690" s="309"/>
      <c r="D690" s="309"/>
      <c r="E690" s="309"/>
      <c r="F690" s="309"/>
      <c r="G690" s="309"/>
    </row>
    <row r="691" spans="1:7" ht="21" x14ac:dyDescent="0.25">
      <c r="A691" s="309"/>
      <c r="B691" s="309"/>
      <c r="C691" s="309"/>
      <c r="D691" s="309"/>
      <c r="E691" s="309"/>
      <c r="F691" s="309"/>
      <c r="G691" s="309"/>
    </row>
    <row r="692" spans="1:7" ht="21" x14ac:dyDescent="0.25">
      <c r="A692" s="309"/>
      <c r="B692" s="309"/>
      <c r="C692" s="309"/>
      <c r="D692" s="309"/>
      <c r="E692" s="309"/>
      <c r="F692" s="309"/>
      <c r="G692" s="309"/>
    </row>
    <row r="693" spans="1:7" ht="21" x14ac:dyDescent="0.25">
      <c r="A693" s="309"/>
      <c r="B693" s="309"/>
      <c r="C693" s="309"/>
      <c r="D693" s="309"/>
      <c r="E693" s="309"/>
      <c r="F693" s="309"/>
      <c r="G693" s="309"/>
    </row>
    <row r="694" spans="1:7" ht="21" x14ac:dyDescent="0.25">
      <c r="A694" s="309"/>
      <c r="B694" s="309"/>
      <c r="C694" s="309"/>
      <c r="D694" s="309"/>
      <c r="E694" s="309"/>
      <c r="F694" s="309"/>
      <c r="G694" s="309"/>
    </row>
    <row r="695" spans="1:7" ht="21" x14ac:dyDescent="0.25">
      <c r="A695" s="309"/>
      <c r="B695" s="309"/>
      <c r="C695" s="309"/>
      <c r="D695" s="309"/>
      <c r="E695" s="309"/>
      <c r="F695" s="309"/>
      <c r="G695" s="309"/>
    </row>
    <row r="696" spans="1:7" ht="21" x14ac:dyDescent="0.25">
      <c r="A696" s="309"/>
      <c r="B696" s="309"/>
      <c r="C696" s="309"/>
      <c r="D696" s="309"/>
      <c r="E696" s="309"/>
      <c r="F696" s="309"/>
      <c r="G696" s="309"/>
    </row>
    <row r="697" spans="1:7" ht="21" x14ac:dyDescent="0.25">
      <c r="A697" s="309"/>
      <c r="B697" s="309"/>
      <c r="C697" s="309"/>
      <c r="D697" s="309"/>
      <c r="E697" s="309"/>
      <c r="F697" s="309"/>
      <c r="G697" s="309"/>
    </row>
    <row r="698" spans="1:7" ht="21" x14ac:dyDescent="0.25">
      <c r="A698" s="309"/>
      <c r="B698" s="309"/>
      <c r="C698" s="309"/>
      <c r="D698" s="309"/>
      <c r="E698" s="309"/>
      <c r="F698" s="309"/>
      <c r="G698" s="309"/>
    </row>
    <row r="699" spans="1:7" ht="21" x14ac:dyDescent="0.25">
      <c r="A699" s="309"/>
      <c r="B699" s="309"/>
      <c r="C699" s="309"/>
      <c r="D699" s="309"/>
      <c r="E699" s="309"/>
      <c r="F699" s="309"/>
      <c r="G699" s="309"/>
    </row>
    <row r="700" spans="1:7" ht="21" x14ac:dyDescent="0.25">
      <c r="A700" s="309"/>
      <c r="B700" s="309"/>
      <c r="C700" s="309"/>
      <c r="D700" s="309"/>
      <c r="E700" s="309"/>
      <c r="F700" s="309"/>
      <c r="G700" s="309"/>
    </row>
    <row r="701" spans="1:7" ht="21" x14ac:dyDescent="0.25">
      <c r="A701" s="309"/>
      <c r="B701" s="309"/>
      <c r="C701" s="309"/>
      <c r="D701" s="309"/>
      <c r="E701" s="309"/>
      <c r="F701" s="309"/>
      <c r="G701" s="309"/>
    </row>
    <row r="702" spans="1:7" ht="21" x14ac:dyDescent="0.25">
      <c r="A702" s="309"/>
      <c r="B702" s="309"/>
      <c r="C702" s="309"/>
      <c r="D702" s="309"/>
      <c r="E702" s="309"/>
      <c r="F702" s="309"/>
      <c r="G702" s="309"/>
    </row>
    <row r="703" spans="1:7" ht="21" x14ac:dyDescent="0.25">
      <c r="A703" s="309"/>
      <c r="B703" s="309"/>
      <c r="C703" s="309"/>
      <c r="D703" s="309"/>
      <c r="E703" s="309"/>
      <c r="F703" s="309"/>
      <c r="G703" s="309"/>
    </row>
    <row r="704" spans="1:7" ht="21" x14ac:dyDescent="0.25">
      <c r="A704" s="309"/>
      <c r="B704" s="309"/>
      <c r="C704" s="309"/>
      <c r="D704" s="309"/>
      <c r="E704" s="309"/>
      <c r="F704" s="309"/>
      <c r="G704" s="309"/>
    </row>
    <row r="705" spans="1:7" ht="21" x14ac:dyDescent="0.25">
      <c r="A705" s="309"/>
      <c r="B705" s="309"/>
      <c r="C705" s="309"/>
      <c r="D705" s="309"/>
      <c r="E705" s="309"/>
      <c r="F705" s="309"/>
      <c r="G705" s="309"/>
    </row>
    <row r="706" spans="1:7" ht="21" x14ac:dyDescent="0.25">
      <c r="A706" s="309"/>
      <c r="B706" s="309"/>
      <c r="C706" s="309"/>
      <c r="D706" s="309"/>
      <c r="E706" s="309"/>
      <c r="F706" s="309"/>
      <c r="G706" s="309"/>
    </row>
    <row r="707" spans="1:7" ht="21" x14ac:dyDescent="0.25">
      <c r="A707" s="309"/>
      <c r="B707" s="309"/>
      <c r="C707" s="309"/>
      <c r="D707" s="309"/>
      <c r="E707" s="309"/>
      <c r="F707" s="309"/>
      <c r="G707" s="309"/>
    </row>
    <row r="708" spans="1:7" ht="21" x14ac:dyDescent="0.25">
      <c r="A708" s="309"/>
      <c r="B708" s="309"/>
      <c r="C708" s="309"/>
      <c r="D708" s="309"/>
      <c r="E708" s="309"/>
      <c r="F708" s="309"/>
      <c r="G708" s="309"/>
    </row>
    <row r="709" spans="1:7" ht="21" x14ac:dyDescent="0.25">
      <c r="A709" s="309"/>
      <c r="B709" s="309"/>
      <c r="C709" s="309"/>
      <c r="D709" s="309"/>
      <c r="E709" s="309"/>
      <c r="F709" s="309"/>
      <c r="G709" s="309"/>
    </row>
    <row r="710" spans="1:7" ht="21" x14ac:dyDescent="0.25">
      <c r="A710" s="309"/>
      <c r="B710" s="309"/>
      <c r="C710" s="309"/>
      <c r="D710" s="309"/>
      <c r="E710" s="309"/>
      <c r="F710" s="309"/>
      <c r="G710" s="309"/>
    </row>
    <row r="711" spans="1:7" ht="21" x14ac:dyDescent="0.25">
      <c r="A711" s="309"/>
      <c r="B711" s="309"/>
      <c r="C711" s="309"/>
      <c r="D711" s="309"/>
      <c r="E711" s="309"/>
      <c r="F711" s="309"/>
      <c r="G711" s="309"/>
    </row>
    <row r="712" spans="1:7" ht="21" x14ac:dyDescent="0.25">
      <c r="A712" s="309"/>
      <c r="B712" s="309"/>
      <c r="C712" s="309"/>
      <c r="D712" s="309"/>
      <c r="E712" s="309"/>
      <c r="F712" s="309"/>
      <c r="G712" s="309"/>
    </row>
    <row r="713" spans="1:7" ht="21" x14ac:dyDescent="0.25">
      <c r="A713" s="309"/>
      <c r="B713" s="309"/>
      <c r="C713" s="309"/>
      <c r="D713" s="309"/>
      <c r="E713" s="309"/>
      <c r="F713" s="309"/>
      <c r="G713" s="309"/>
    </row>
    <row r="714" spans="1:7" ht="21" x14ac:dyDescent="0.25">
      <c r="A714" s="309"/>
      <c r="B714" s="309"/>
      <c r="C714" s="309"/>
      <c r="D714" s="309"/>
      <c r="E714" s="309"/>
      <c r="F714" s="309"/>
      <c r="G714" s="309"/>
    </row>
    <row r="715" spans="1:7" ht="21" x14ac:dyDescent="0.25">
      <c r="A715" s="309"/>
      <c r="B715" s="309"/>
      <c r="C715" s="309"/>
      <c r="D715" s="309"/>
      <c r="E715" s="309"/>
      <c r="F715" s="309"/>
      <c r="G715" s="309"/>
    </row>
    <row r="716" spans="1:7" ht="21" x14ac:dyDescent="0.25">
      <c r="A716" s="309"/>
      <c r="B716" s="309"/>
      <c r="C716" s="309"/>
      <c r="D716" s="309"/>
      <c r="E716" s="309"/>
      <c r="F716" s="309"/>
      <c r="G716" s="309"/>
    </row>
    <row r="717" spans="1:7" ht="21" x14ac:dyDescent="0.25">
      <c r="A717" s="309"/>
      <c r="B717" s="309"/>
      <c r="C717" s="309"/>
      <c r="D717" s="309"/>
      <c r="E717" s="309"/>
      <c r="F717" s="309"/>
      <c r="G717" s="309"/>
    </row>
    <row r="718" spans="1:7" ht="21" x14ac:dyDescent="0.25">
      <c r="A718" s="309"/>
      <c r="B718" s="309"/>
      <c r="C718" s="309"/>
      <c r="D718" s="309"/>
      <c r="E718" s="309"/>
      <c r="F718" s="309"/>
      <c r="G718" s="309"/>
    </row>
    <row r="719" spans="1:7" ht="21" x14ac:dyDescent="0.25">
      <c r="A719" s="309"/>
      <c r="B719" s="309"/>
      <c r="C719" s="309"/>
      <c r="D719" s="309"/>
      <c r="E719" s="309"/>
      <c r="F719" s="309"/>
      <c r="G719" s="309"/>
    </row>
    <row r="720" spans="1:7" ht="21" x14ac:dyDescent="0.25">
      <c r="A720" s="309"/>
      <c r="B720" s="309"/>
      <c r="C720" s="309"/>
      <c r="D720" s="309"/>
      <c r="E720" s="309"/>
      <c r="F720" s="309"/>
      <c r="G720" s="309"/>
    </row>
    <row r="721" spans="1:7" ht="21" x14ac:dyDescent="0.25">
      <c r="A721" s="309"/>
      <c r="B721" s="309"/>
      <c r="C721" s="309"/>
      <c r="D721" s="309"/>
      <c r="E721" s="309"/>
      <c r="F721" s="309"/>
      <c r="G721" s="309"/>
    </row>
    <row r="722" spans="1:7" ht="21" x14ac:dyDescent="0.25">
      <c r="A722" s="309"/>
      <c r="B722" s="309"/>
      <c r="C722" s="309"/>
      <c r="D722" s="309"/>
      <c r="E722" s="309"/>
      <c r="F722" s="309"/>
      <c r="G722" s="309"/>
    </row>
    <row r="723" spans="1:7" ht="21" x14ac:dyDescent="0.25">
      <c r="A723" s="309"/>
      <c r="B723" s="309"/>
      <c r="C723" s="309"/>
      <c r="D723" s="309"/>
      <c r="E723" s="309"/>
      <c r="F723" s="309"/>
      <c r="G723" s="309"/>
    </row>
    <row r="724" spans="1:7" ht="21" x14ac:dyDescent="0.25">
      <c r="A724" s="309"/>
      <c r="B724" s="309"/>
      <c r="C724" s="309"/>
      <c r="D724" s="309"/>
      <c r="E724" s="309"/>
      <c r="F724" s="309"/>
      <c r="G724" s="309"/>
    </row>
    <row r="725" spans="1:7" ht="21" x14ac:dyDescent="0.25">
      <c r="A725" s="309"/>
      <c r="B725" s="309"/>
      <c r="C725" s="309"/>
      <c r="D725" s="309"/>
      <c r="E725" s="309"/>
      <c r="F725" s="309"/>
      <c r="G725" s="309"/>
    </row>
    <row r="726" spans="1:7" ht="21" x14ac:dyDescent="0.25">
      <c r="A726" s="309"/>
      <c r="B726" s="309"/>
      <c r="C726" s="309"/>
      <c r="D726" s="309"/>
      <c r="E726" s="309"/>
      <c r="F726" s="309"/>
      <c r="G726" s="309"/>
    </row>
    <row r="727" spans="1:7" ht="21" x14ac:dyDescent="0.25">
      <c r="A727" s="309"/>
      <c r="B727" s="309"/>
      <c r="C727" s="309"/>
      <c r="D727" s="309"/>
      <c r="E727" s="309"/>
      <c r="F727" s="309"/>
      <c r="G727" s="309"/>
    </row>
    <row r="728" spans="1:7" ht="21" x14ac:dyDescent="0.25">
      <c r="A728" s="309"/>
      <c r="B728" s="309"/>
      <c r="C728" s="309"/>
      <c r="D728" s="309"/>
      <c r="E728" s="309"/>
      <c r="F728" s="309"/>
      <c r="G728" s="309"/>
    </row>
    <row r="729" spans="1:7" ht="21" x14ac:dyDescent="0.25">
      <c r="A729" s="309"/>
      <c r="B729" s="309"/>
      <c r="C729" s="309"/>
      <c r="D729" s="309"/>
      <c r="E729" s="309"/>
      <c r="F729" s="309"/>
      <c r="G729" s="309"/>
    </row>
    <row r="730" spans="1:7" ht="21" x14ac:dyDescent="0.25">
      <c r="A730" s="309"/>
      <c r="B730" s="309"/>
      <c r="C730" s="309"/>
      <c r="D730" s="309"/>
      <c r="E730" s="309"/>
      <c r="F730" s="309"/>
      <c r="G730" s="309"/>
    </row>
    <row r="731" spans="1:7" ht="21" x14ac:dyDescent="0.25">
      <c r="A731" s="309"/>
      <c r="B731" s="309"/>
      <c r="C731" s="309"/>
      <c r="D731" s="309"/>
      <c r="E731" s="309"/>
      <c r="F731" s="309"/>
      <c r="G731" s="309"/>
    </row>
    <row r="732" spans="1:7" ht="21" x14ac:dyDescent="0.25">
      <c r="A732" s="309"/>
      <c r="B732" s="309"/>
      <c r="C732" s="309"/>
      <c r="D732" s="309"/>
      <c r="E732" s="309"/>
      <c r="F732" s="309"/>
      <c r="G732" s="309"/>
    </row>
    <row r="733" spans="1:7" ht="21" x14ac:dyDescent="0.25">
      <c r="A733" s="309"/>
      <c r="B733" s="309"/>
      <c r="C733" s="309"/>
      <c r="D733" s="309"/>
      <c r="E733" s="309"/>
      <c r="F733" s="309"/>
      <c r="G733" s="309"/>
    </row>
    <row r="734" spans="1:7" ht="21" x14ac:dyDescent="0.25">
      <c r="A734" s="309"/>
      <c r="B734" s="309"/>
      <c r="C734" s="309"/>
      <c r="D734" s="309"/>
      <c r="E734" s="309"/>
      <c r="F734" s="309"/>
      <c r="G734" s="309"/>
    </row>
    <row r="735" spans="1:7" ht="21" x14ac:dyDescent="0.25">
      <c r="A735" s="309"/>
      <c r="B735" s="309"/>
      <c r="C735" s="309"/>
      <c r="D735" s="309"/>
      <c r="E735" s="309"/>
      <c r="F735" s="309"/>
      <c r="G735" s="309"/>
    </row>
    <row r="736" spans="1:7" ht="21" x14ac:dyDescent="0.25">
      <c r="A736" s="309"/>
      <c r="B736" s="309"/>
      <c r="C736" s="309"/>
      <c r="D736" s="309"/>
      <c r="E736" s="309"/>
      <c r="F736" s="309"/>
      <c r="G736" s="309"/>
    </row>
    <row r="737" spans="1:7" ht="21" x14ac:dyDescent="0.25">
      <c r="A737" s="309"/>
      <c r="B737" s="309"/>
      <c r="C737" s="309"/>
      <c r="D737" s="309"/>
      <c r="E737" s="309"/>
      <c r="F737" s="309"/>
      <c r="G737" s="309"/>
    </row>
    <row r="738" spans="1:7" ht="21" x14ac:dyDescent="0.25">
      <c r="A738" s="309"/>
      <c r="B738" s="309"/>
      <c r="C738" s="309"/>
      <c r="D738" s="309"/>
      <c r="E738" s="309"/>
      <c r="F738" s="309"/>
      <c r="G738" s="309"/>
    </row>
    <row r="739" spans="1:7" ht="21" x14ac:dyDescent="0.25">
      <c r="A739" s="309"/>
      <c r="B739" s="309"/>
      <c r="C739" s="309"/>
      <c r="D739" s="309"/>
      <c r="E739" s="309"/>
      <c r="F739" s="309"/>
      <c r="G739" s="309"/>
    </row>
    <row r="740" spans="1:7" ht="21" x14ac:dyDescent="0.25">
      <c r="A740" s="309"/>
      <c r="B740" s="309"/>
      <c r="C740" s="309"/>
      <c r="D740" s="309"/>
      <c r="E740" s="309"/>
      <c r="F740" s="309"/>
      <c r="G740" s="309"/>
    </row>
    <row r="741" spans="1:7" ht="21" x14ac:dyDescent="0.25">
      <c r="A741" s="309"/>
      <c r="B741" s="309"/>
      <c r="C741" s="309"/>
      <c r="D741" s="309"/>
      <c r="E741" s="309"/>
      <c r="F741" s="309"/>
      <c r="G741" s="309"/>
    </row>
    <row r="742" spans="1:7" ht="21" x14ac:dyDescent="0.25">
      <c r="A742" s="309"/>
      <c r="B742" s="309"/>
      <c r="C742" s="309"/>
      <c r="D742" s="309"/>
      <c r="E742" s="309"/>
      <c r="F742" s="309"/>
      <c r="G742" s="309"/>
    </row>
    <row r="743" spans="1:7" ht="21" x14ac:dyDescent="0.25">
      <c r="A743" s="309"/>
      <c r="B743" s="309"/>
      <c r="C743" s="309"/>
      <c r="D743" s="309"/>
      <c r="E743" s="309"/>
      <c r="F743" s="309"/>
      <c r="G743" s="309"/>
    </row>
    <row r="744" spans="1:7" ht="21" x14ac:dyDescent="0.25">
      <c r="A744" s="309"/>
      <c r="B744" s="309"/>
      <c r="C744" s="309"/>
      <c r="D744" s="309"/>
      <c r="E744" s="309"/>
      <c r="F744" s="309"/>
      <c r="G744" s="309"/>
    </row>
    <row r="745" spans="1:7" ht="21" x14ac:dyDescent="0.25">
      <c r="A745" s="309"/>
      <c r="B745" s="309"/>
      <c r="C745" s="309"/>
      <c r="D745" s="309"/>
      <c r="E745" s="309"/>
      <c r="F745" s="309"/>
      <c r="G745" s="309"/>
    </row>
    <row r="746" spans="1:7" ht="21" x14ac:dyDescent="0.25">
      <c r="A746" s="309"/>
      <c r="B746" s="309"/>
      <c r="C746" s="309"/>
      <c r="D746" s="309"/>
      <c r="E746" s="309"/>
      <c r="F746" s="309"/>
      <c r="G746" s="309"/>
    </row>
    <row r="747" spans="1:7" ht="21" x14ac:dyDescent="0.25">
      <c r="A747" s="309"/>
      <c r="B747" s="309"/>
      <c r="C747" s="309"/>
      <c r="D747" s="309"/>
      <c r="E747" s="309"/>
      <c r="F747" s="309"/>
      <c r="G747" s="309"/>
    </row>
    <row r="748" spans="1:7" ht="21" x14ac:dyDescent="0.25">
      <c r="A748" s="309"/>
      <c r="B748" s="309"/>
      <c r="C748" s="309"/>
      <c r="D748" s="309"/>
      <c r="E748" s="309"/>
      <c r="F748" s="309"/>
      <c r="G748" s="309"/>
    </row>
    <row r="749" spans="1:7" ht="21" x14ac:dyDescent="0.25">
      <c r="A749" s="309"/>
      <c r="B749" s="309"/>
      <c r="C749" s="309"/>
      <c r="D749" s="309"/>
      <c r="E749" s="309"/>
      <c r="F749" s="309"/>
      <c r="G749" s="309"/>
    </row>
    <row r="750" spans="1:7" ht="21" x14ac:dyDescent="0.25">
      <c r="A750" s="309"/>
      <c r="B750" s="309"/>
      <c r="C750" s="309"/>
      <c r="D750" s="309"/>
      <c r="E750" s="309"/>
      <c r="F750" s="309"/>
      <c r="G750" s="309"/>
    </row>
    <row r="751" spans="1:7" ht="21" x14ac:dyDescent="0.25">
      <c r="A751" s="309"/>
      <c r="B751" s="309"/>
      <c r="C751" s="309"/>
      <c r="D751" s="309"/>
      <c r="E751" s="309"/>
      <c r="F751" s="309"/>
      <c r="G751" s="309"/>
    </row>
    <row r="752" spans="1:7" ht="21" x14ac:dyDescent="0.25">
      <c r="A752" s="309"/>
      <c r="B752" s="309"/>
      <c r="C752" s="309"/>
      <c r="D752" s="309"/>
      <c r="E752" s="309"/>
      <c r="F752" s="309"/>
      <c r="G752" s="309"/>
    </row>
    <row r="753" spans="1:7" ht="21" x14ac:dyDescent="0.25">
      <c r="A753" s="309"/>
      <c r="B753" s="309"/>
      <c r="C753" s="309"/>
      <c r="D753" s="309"/>
      <c r="E753" s="309"/>
      <c r="F753" s="309"/>
      <c r="G753" s="309"/>
    </row>
    <row r="754" spans="1:7" ht="21" x14ac:dyDescent="0.25">
      <c r="A754" s="309"/>
      <c r="B754" s="309"/>
      <c r="C754" s="309"/>
      <c r="D754" s="309"/>
      <c r="E754" s="309"/>
      <c r="F754" s="309"/>
      <c r="G754" s="309"/>
    </row>
    <row r="755" spans="1:7" ht="21" x14ac:dyDescent="0.25">
      <c r="A755" s="309"/>
      <c r="B755" s="309"/>
      <c r="C755" s="309"/>
      <c r="D755" s="309"/>
      <c r="E755" s="309"/>
      <c r="F755" s="309"/>
      <c r="G755" s="309"/>
    </row>
    <row r="756" spans="1:7" ht="21" x14ac:dyDescent="0.25">
      <c r="A756" s="309"/>
      <c r="B756" s="309"/>
      <c r="C756" s="309"/>
      <c r="D756" s="309"/>
      <c r="E756" s="309"/>
      <c r="F756" s="309"/>
      <c r="G756" s="309"/>
    </row>
    <row r="757" spans="1:7" ht="21" x14ac:dyDescent="0.25">
      <c r="A757" s="309"/>
      <c r="B757" s="309"/>
      <c r="C757" s="309"/>
      <c r="D757" s="309"/>
      <c r="E757" s="309"/>
      <c r="F757" s="309"/>
      <c r="G757" s="309"/>
    </row>
    <row r="758" spans="1:7" ht="21" x14ac:dyDescent="0.25">
      <c r="A758" s="309"/>
      <c r="B758" s="309"/>
      <c r="C758" s="309"/>
      <c r="D758" s="309"/>
      <c r="E758" s="309"/>
      <c r="F758" s="309"/>
      <c r="G758" s="309"/>
    </row>
    <row r="759" spans="1:7" ht="21" x14ac:dyDescent="0.25">
      <c r="A759" s="309"/>
      <c r="B759" s="309"/>
      <c r="C759" s="309"/>
      <c r="D759" s="309"/>
      <c r="E759" s="309"/>
      <c r="F759" s="309"/>
      <c r="G759" s="309"/>
    </row>
    <row r="760" spans="1:7" ht="21" x14ac:dyDescent="0.25">
      <c r="A760" s="309"/>
      <c r="B760" s="309"/>
      <c r="C760" s="309"/>
      <c r="D760" s="309"/>
      <c r="E760" s="309"/>
      <c r="F760" s="309"/>
      <c r="G760" s="309"/>
    </row>
    <row r="761" spans="1:7" ht="21" x14ac:dyDescent="0.25">
      <c r="A761" s="309"/>
      <c r="B761" s="309"/>
      <c r="C761" s="309"/>
      <c r="D761" s="309"/>
      <c r="E761" s="309"/>
      <c r="F761" s="309"/>
      <c r="G761" s="309"/>
    </row>
    <row r="762" spans="1:7" ht="21" x14ac:dyDescent="0.25">
      <c r="A762" s="309"/>
      <c r="B762" s="309"/>
      <c r="C762" s="309"/>
      <c r="D762" s="309"/>
      <c r="E762" s="309"/>
      <c r="F762" s="309"/>
      <c r="G762" s="309"/>
    </row>
    <row r="763" spans="1:7" ht="21" x14ac:dyDescent="0.25">
      <c r="A763" s="309"/>
      <c r="B763" s="309"/>
      <c r="C763" s="309"/>
      <c r="D763" s="309"/>
      <c r="E763" s="309"/>
      <c r="F763" s="309"/>
      <c r="G763" s="309"/>
    </row>
    <row r="764" spans="1:7" ht="21" x14ac:dyDescent="0.25">
      <c r="A764" s="309"/>
      <c r="B764" s="309"/>
      <c r="C764" s="309"/>
      <c r="D764" s="309"/>
      <c r="E764" s="309"/>
      <c r="F764" s="309"/>
      <c r="G764" s="309"/>
    </row>
    <row r="765" spans="1:7" ht="21" x14ac:dyDescent="0.25">
      <c r="A765" s="309"/>
      <c r="B765" s="309"/>
      <c r="C765" s="309"/>
      <c r="D765" s="309"/>
      <c r="E765" s="309"/>
      <c r="F765" s="309"/>
      <c r="G765" s="309"/>
    </row>
    <row r="766" spans="1:7" ht="21" x14ac:dyDescent="0.25">
      <c r="A766" s="309"/>
      <c r="B766" s="309"/>
      <c r="C766" s="309"/>
      <c r="D766" s="309"/>
      <c r="E766" s="309"/>
      <c r="F766" s="309"/>
      <c r="G766" s="309"/>
    </row>
    <row r="767" spans="1:7" ht="21" x14ac:dyDescent="0.25">
      <c r="A767" s="309"/>
      <c r="B767" s="309"/>
      <c r="C767" s="309"/>
      <c r="D767" s="309"/>
      <c r="E767" s="309"/>
      <c r="F767" s="309"/>
      <c r="G767" s="309"/>
    </row>
    <row r="768" spans="1:7" ht="21" x14ac:dyDescent="0.25">
      <c r="A768" s="309"/>
      <c r="B768" s="309"/>
      <c r="C768" s="309"/>
      <c r="D768" s="309"/>
      <c r="E768" s="309"/>
      <c r="F768" s="309"/>
      <c r="G768" s="309"/>
    </row>
    <row r="769" spans="1:7" ht="21" x14ac:dyDescent="0.25">
      <c r="A769" s="309"/>
      <c r="B769" s="309"/>
      <c r="C769" s="309"/>
      <c r="D769" s="309"/>
      <c r="E769" s="309"/>
      <c r="F769" s="309"/>
      <c r="G769" s="309"/>
    </row>
    <row r="770" spans="1:7" ht="21" x14ac:dyDescent="0.25">
      <c r="A770" s="309"/>
      <c r="B770" s="309"/>
      <c r="C770" s="309"/>
      <c r="D770" s="309"/>
      <c r="E770" s="309"/>
      <c r="F770" s="309"/>
      <c r="G770" s="309"/>
    </row>
    <row r="771" spans="1:7" ht="21" x14ac:dyDescent="0.25">
      <c r="A771" s="309"/>
      <c r="B771" s="309"/>
      <c r="C771" s="309"/>
      <c r="D771" s="309"/>
      <c r="E771" s="309"/>
      <c r="F771" s="309"/>
      <c r="G771" s="309"/>
    </row>
    <row r="772" spans="1:7" ht="21" x14ac:dyDescent="0.25">
      <c r="A772" s="309"/>
      <c r="B772" s="309"/>
      <c r="C772" s="309"/>
      <c r="D772" s="309"/>
      <c r="E772" s="309"/>
      <c r="F772" s="309"/>
      <c r="G772" s="309"/>
    </row>
    <row r="773" spans="1:7" ht="21" x14ac:dyDescent="0.25">
      <c r="A773" s="309"/>
      <c r="B773" s="309"/>
      <c r="C773" s="309"/>
      <c r="D773" s="309"/>
      <c r="E773" s="309"/>
      <c r="F773" s="309"/>
      <c r="G773" s="309"/>
    </row>
    <row r="774" spans="1:7" ht="21" x14ac:dyDescent="0.25">
      <c r="A774" s="309"/>
      <c r="B774" s="309"/>
      <c r="C774" s="309"/>
      <c r="D774" s="309"/>
      <c r="E774" s="309"/>
      <c r="F774" s="309"/>
      <c r="G774" s="309"/>
    </row>
    <row r="775" spans="1:7" ht="21" x14ac:dyDescent="0.25">
      <c r="A775" s="309"/>
      <c r="B775" s="309"/>
      <c r="C775" s="309"/>
      <c r="D775" s="309"/>
      <c r="E775" s="309"/>
      <c r="F775" s="309"/>
      <c r="G775" s="309"/>
    </row>
    <row r="776" spans="1:7" ht="21" x14ac:dyDescent="0.25">
      <c r="A776" s="309"/>
      <c r="B776" s="309"/>
      <c r="C776" s="309"/>
      <c r="D776" s="309"/>
      <c r="E776" s="309"/>
      <c r="F776" s="309"/>
      <c r="G776" s="309"/>
    </row>
    <row r="777" spans="1:7" ht="21" x14ac:dyDescent="0.25">
      <c r="A777" s="309"/>
      <c r="B777" s="309"/>
      <c r="C777" s="309"/>
      <c r="D777" s="309"/>
      <c r="E777" s="309"/>
      <c r="F777" s="309"/>
      <c r="G777" s="309"/>
    </row>
    <row r="778" spans="1:7" ht="21" x14ac:dyDescent="0.25">
      <c r="A778" s="309"/>
      <c r="B778" s="309"/>
      <c r="C778" s="309"/>
      <c r="D778" s="309"/>
      <c r="E778" s="309"/>
      <c r="F778" s="309"/>
      <c r="G778" s="309"/>
    </row>
    <row r="779" spans="1:7" ht="21" x14ac:dyDescent="0.25">
      <c r="A779" s="309"/>
      <c r="B779" s="309"/>
      <c r="C779" s="309"/>
      <c r="D779" s="309"/>
      <c r="E779" s="309"/>
      <c r="F779" s="309"/>
      <c r="G779" s="309"/>
    </row>
    <row r="780" spans="1:7" ht="21" x14ac:dyDescent="0.25">
      <c r="A780" s="309"/>
      <c r="B780" s="309"/>
      <c r="C780" s="309"/>
      <c r="D780" s="309"/>
      <c r="E780" s="309"/>
      <c r="F780" s="309"/>
      <c r="G780" s="309"/>
    </row>
    <row r="781" spans="1:7" ht="21" x14ac:dyDescent="0.25">
      <c r="A781" s="309"/>
      <c r="B781" s="309"/>
      <c r="C781" s="309"/>
      <c r="D781" s="309"/>
      <c r="E781" s="309"/>
      <c r="F781" s="309"/>
      <c r="G781" s="309"/>
    </row>
    <row r="782" spans="1:7" ht="21" x14ac:dyDescent="0.25">
      <c r="A782" s="309"/>
      <c r="B782" s="309"/>
      <c r="C782" s="309"/>
      <c r="D782" s="309"/>
      <c r="E782" s="309"/>
      <c r="F782" s="309"/>
      <c r="G782" s="309"/>
    </row>
    <row r="783" spans="1:7" ht="21" x14ac:dyDescent="0.25">
      <c r="A783" s="309"/>
      <c r="B783" s="309"/>
      <c r="C783" s="309"/>
      <c r="D783" s="309"/>
      <c r="E783" s="309"/>
      <c r="F783" s="309"/>
      <c r="G783" s="309"/>
    </row>
    <row r="784" spans="1:7" ht="21" x14ac:dyDescent="0.25">
      <c r="A784" s="309"/>
      <c r="B784" s="309"/>
      <c r="C784" s="309"/>
      <c r="D784" s="309"/>
      <c r="E784" s="309"/>
      <c r="F784" s="309"/>
      <c r="G784" s="309"/>
    </row>
    <row r="785" spans="1:7" ht="21" x14ac:dyDescent="0.25">
      <c r="A785" s="309"/>
      <c r="B785" s="309"/>
      <c r="C785" s="309"/>
      <c r="D785" s="309"/>
      <c r="E785" s="309"/>
      <c r="F785" s="309"/>
      <c r="G785" s="309"/>
    </row>
    <row r="786" spans="1:7" ht="21" x14ac:dyDescent="0.25">
      <c r="A786" s="309"/>
      <c r="B786" s="309"/>
      <c r="C786" s="309"/>
      <c r="D786" s="309"/>
      <c r="E786" s="309"/>
      <c r="F786" s="309"/>
      <c r="G786" s="309"/>
    </row>
    <row r="787" spans="1:7" ht="21" x14ac:dyDescent="0.25">
      <c r="A787" s="309"/>
      <c r="B787" s="309"/>
      <c r="C787" s="309"/>
      <c r="D787" s="309"/>
      <c r="E787" s="309"/>
      <c r="F787" s="309"/>
      <c r="G787" s="309"/>
    </row>
    <row r="788" spans="1:7" ht="21" x14ac:dyDescent="0.25">
      <c r="A788" s="309"/>
      <c r="B788" s="309"/>
      <c r="C788" s="309"/>
      <c r="D788" s="309"/>
      <c r="E788" s="309"/>
      <c r="F788" s="309"/>
      <c r="G788" s="309"/>
    </row>
    <row r="789" spans="1:7" ht="21" x14ac:dyDescent="0.25">
      <c r="A789" s="309"/>
      <c r="B789" s="309"/>
      <c r="C789" s="309"/>
      <c r="D789" s="309"/>
      <c r="E789" s="309"/>
      <c r="F789" s="309"/>
      <c r="G789" s="309"/>
    </row>
    <row r="790" spans="1:7" ht="21" x14ac:dyDescent="0.25">
      <c r="A790" s="309"/>
      <c r="B790" s="309"/>
      <c r="C790" s="309"/>
      <c r="D790" s="309"/>
      <c r="E790" s="309"/>
      <c r="F790" s="309"/>
      <c r="G790" s="309"/>
    </row>
    <row r="791" spans="1:7" ht="21" x14ac:dyDescent="0.25">
      <c r="A791" s="309"/>
      <c r="B791" s="309"/>
      <c r="C791" s="309"/>
      <c r="D791" s="309"/>
      <c r="E791" s="309"/>
      <c r="F791" s="309"/>
      <c r="G791" s="309"/>
    </row>
    <row r="792" spans="1:7" ht="21" x14ac:dyDescent="0.25">
      <c r="A792" s="309"/>
      <c r="B792" s="309"/>
      <c r="C792" s="309"/>
      <c r="D792" s="309"/>
      <c r="E792" s="309"/>
      <c r="F792" s="309"/>
      <c r="G792" s="309"/>
    </row>
    <row r="793" spans="1:7" ht="21" x14ac:dyDescent="0.25">
      <c r="A793" s="309"/>
      <c r="B793" s="309"/>
      <c r="C793" s="309"/>
      <c r="D793" s="309"/>
      <c r="E793" s="309"/>
      <c r="F793" s="309"/>
      <c r="G793" s="309"/>
    </row>
    <row r="794" spans="1:7" ht="21" x14ac:dyDescent="0.25">
      <c r="A794" s="309"/>
      <c r="B794" s="309"/>
      <c r="C794" s="309"/>
      <c r="D794" s="309"/>
      <c r="E794" s="309"/>
      <c r="F794" s="309"/>
      <c r="G794" s="309"/>
    </row>
    <row r="795" spans="1:7" ht="21" x14ac:dyDescent="0.25">
      <c r="A795" s="309"/>
      <c r="B795" s="309"/>
      <c r="C795" s="309"/>
      <c r="D795" s="309"/>
      <c r="E795" s="309"/>
      <c r="F795" s="309"/>
      <c r="G795" s="309"/>
    </row>
    <row r="796" spans="1:7" ht="21" x14ac:dyDescent="0.25">
      <c r="A796" s="309"/>
      <c r="B796" s="309"/>
      <c r="C796" s="309"/>
      <c r="D796" s="309"/>
      <c r="E796" s="309"/>
      <c r="F796" s="309"/>
      <c r="G796" s="309"/>
    </row>
    <row r="797" spans="1:7" ht="21" x14ac:dyDescent="0.25">
      <c r="A797" s="309"/>
      <c r="B797" s="309"/>
      <c r="C797" s="309"/>
      <c r="D797" s="309"/>
      <c r="E797" s="309"/>
      <c r="F797" s="309"/>
      <c r="G797" s="309"/>
    </row>
    <row r="798" spans="1:7" ht="21" x14ac:dyDescent="0.25">
      <c r="A798" s="309"/>
      <c r="B798" s="309"/>
      <c r="C798" s="309"/>
      <c r="D798" s="309"/>
      <c r="E798" s="309"/>
      <c r="F798" s="309"/>
      <c r="G798" s="309"/>
    </row>
    <row r="799" spans="1:7" ht="21" x14ac:dyDescent="0.25">
      <c r="A799" s="309"/>
      <c r="B799" s="309"/>
      <c r="C799" s="309"/>
      <c r="D799" s="309"/>
      <c r="E799" s="309"/>
      <c r="F799" s="309"/>
      <c r="G799" s="309"/>
    </row>
    <row r="800" spans="1:7" ht="21" x14ac:dyDescent="0.25">
      <c r="A800" s="309"/>
      <c r="B800" s="309"/>
      <c r="C800" s="309"/>
      <c r="D800" s="309"/>
      <c r="E800" s="309"/>
      <c r="F800" s="309"/>
      <c r="G800" s="309"/>
    </row>
    <row r="801" spans="1:7" ht="21" x14ac:dyDescent="0.25">
      <c r="A801" s="309"/>
      <c r="B801" s="309"/>
      <c r="C801" s="309"/>
      <c r="D801" s="309"/>
      <c r="E801" s="309"/>
      <c r="F801" s="309"/>
      <c r="G801" s="309"/>
    </row>
    <row r="802" spans="1:7" ht="21" x14ac:dyDescent="0.25">
      <c r="A802" s="309"/>
      <c r="B802" s="309"/>
      <c r="C802" s="309"/>
      <c r="D802" s="309"/>
      <c r="E802" s="309"/>
      <c r="F802" s="309"/>
      <c r="G802" s="309"/>
    </row>
    <row r="803" spans="1:7" ht="21" x14ac:dyDescent="0.25">
      <c r="A803" s="309"/>
      <c r="B803" s="309"/>
      <c r="C803" s="309"/>
      <c r="D803" s="309"/>
      <c r="E803" s="309"/>
      <c r="F803" s="309"/>
      <c r="G803" s="309"/>
    </row>
    <row r="804" spans="1:7" ht="21" x14ac:dyDescent="0.25">
      <c r="A804" s="309"/>
      <c r="B804" s="309"/>
      <c r="C804" s="309"/>
      <c r="D804" s="309"/>
      <c r="E804" s="309"/>
      <c r="F804" s="309"/>
      <c r="G804" s="309"/>
    </row>
    <row r="805" spans="1:7" ht="21" x14ac:dyDescent="0.25">
      <c r="A805" s="309"/>
      <c r="B805" s="309"/>
      <c r="C805" s="309"/>
      <c r="D805" s="309"/>
      <c r="E805" s="309"/>
      <c r="F805" s="309"/>
      <c r="G805" s="309"/>
    </row>
    <row r="806" spans="1:7" ht="21" x14ac:dyDescent="0.25">
      <c r="A806" s="309"/>
      <c r="B806" s="309"/>
      <c r="C806" s="309"/>
      <c r="D806" s="309"/>
      <c r="E806" s="309"/>
      <c r="F806" s="309"/>
      <c r="G806" s="309"/>
    </row>
    <row r="807" spans="1:7" ht="21" x14ac:dyDescent="0.25">
      <c r="A807" s="309"/>
      <c r="B807" s="309"/>
      <c r="C807" s="309"/>
      <c r="D807" s="309"/>
      <c r="E807" s="309"/>
      <c r="F807" s="309"/>
      <c r="G807" s="309"/>
    </row>
    <row r="808" spans="1:7" ht="21" x14ac:dyDescent="0.25">
      <c r="A808" s="309"/>
      <c r="B808" s="309"/>
      <c r="C808" s="309"/>
      <c r="D808" s="309"/>
      <c r="E808" s="309"/>
      <c r="F808" s="309"/>
      <c r="G808" s="309"/>
    </row>
    <row r="809" spans="1:7" ht="21" x14ac:dyDescent="0.25">
      <c r="A809" s="309"/>
      <c r="B809" s="309"/>
      <c r="C809" s="309"/>
      <c r="D809" s="309"/>
      <c r="E809" s="309"/>
      <c r="F809" s="309"/>
      <c r="G809" s="309"/>
    </row>
    <row r="810" spans="1:7" ht="21" x14ac:dyDescent="0.25">
      <c r="A810" s="309"/>
      <c r="B810" s="309"/>
      <c r="C810" s="309"/>
      <c r="D810" s="309"/>
      <c r="E810" s="309"/>
      <c r="F810" s="309"/>
      <c r="G810" s="309"/>
    </row>
    <row r="811" spans="1:7" ht="21" x14ac:dyDescent="0.25">
      <c r="A811" s="309"/>
      <c r="B811" s="309"/>
      <c r="C811" s="309"/>
      <c r="D811" s="309"/>
      <c r="E811" s="309"/>
      <c r="F811" s="309"/>
      <c r="G811" s="309"/>
    </row>
    <row r="812" spans="1:7" ht="21" x14ac:dyDescent="0.25">
      <c r="A812" s="309"/>
      <c r="B812" s="309"/>
      <c r="C812" s="309"/>
      <c r="D812" s="309"/>
      <c r="E812" s="309"/>
      <c r="F812" s="309"/>
      <c r="G812" s="309"/>
    </row>
    <row r="813" spans="1:7" ht="21" x14ac:dyDescent="0.25">
      <c r="A813" s="309"/>
      <c r="B813" s="309"/>
      <c r="C813" s="309"/>
      <c r="D813" s="309"/>
      <c r="E813" s="309"/>
      <c r="F813" s="309"/>
      <c r="G813" s="309"/>
    </row>
    <row r="814" spans="1:7" ht="21" x14ac:dyDescent="0.25">
      <c r="A814" s="309"/>
      <c r="B814" s="309"/>
      <c r="C814" s="309"/>
      <c r="D814" s="309"/>
      <c r="E814" s="309"/>
      <c r="F814" s="309"/>
      <c r="G814" s="309"/>
    </row>
    <row r="815" spans="1:7" ht="21" x14ac:dyDescent="0.25">
      <c r="A815" s="309"/>
      <c r="B815" s="309"/>
      <c r="C815" s="309"/>
      <c r="D815" s="309"/>
      <c r="E815" s="309"/>
      <c r="F815" s="309"/>
      <c r="G815" s="309"/>
    </row>
    <row r="816" spans="1:7" ht="21" x14ac:dyDescent="0.25">
      <c r="A816" s="309"/>
      <c r="B816" s="309"/>
      <c r="C816" s="309"/>
      <c r="D816" s="309"/>
      <c r="E816" s="309"/>
      <c r="F816" s="309"/>
      <c r="G816" s="309"/>
    </row>
    <row r="817" spans="1:7" ht="21" x14ac:dyDescent="0.25">
      <c r="A817" s="309"/>
      <c r="B817" s="309"/>
      <c r="C817" s="309"/>
      <c r="D817" s="309"/>
      <c r="E817" s="309"/>
      <c r="F817" s="309"/>
      <c r="G817" s="309"/>
    </row>
    <row r="818" spans="1:7" ht="21" x14ac:dyDescent="0.25">
      <c r="A818" s="309"/>
      <c r="B818" s="309"/>
      <c r="C818" s="309"/>
      <c r="D818" s="309"/>
      <c r="E818" s="309"/>
      <c r="F818" s="309"/>
      <c r="G818" s="309"/>
    </row>
    <row r="819" spans="1:7" ht="21" x14ac:dyDescent="0.25">
      <c r="A819" s="309"/>
      <c r="B819" s="309"/>
      <c r="C819" s="309"/>
      <c r="D819" s="309"/>
      <c r="E819" s="309"/>
      <c r="F819" s="309"/>
      <c r="G819" s="309"/>
    </row>
    <row r="820" spans="1:7" ht="21" x14ac:dyDescent="0.25">
      <c r="A820" s="309"/>
      <c r="B820" s="309"/>
      <c r="C820" s="309"/>
      <c r="D820" s="309"/>
      <c r="E820" s="309"/>
      <c r="F820" s="309"/>
      <c r="G820" s="309"/>
    </row>
    <row r="821" spans="1:7" ht="21" x14ac:dyDescent="0.25">
      <c r="A821" s="309"/>
      <c r="B821" s="309"/>
      <c r="C821" s="309"/>
      <c r="D821" s="309"/>
      <c r="E821" s="309"/>
      <c r="F821" s="309"/>
      <c r="G821" s="309"/>
    </row>
    <row r="822" spans="1:7" ht="21" x14ac:dyDescent="0.25">
      <c r="A822" s="309"/>
      <c r="B822" s="309"/>
      <c r="C822" s="309"/>
      <c r="D822" s="309"/>
      <c r="E822" s="309"/>
      <c r="F822" s="309"/>
      <c r="G822" s="309"/>
    </row>
    <row r="823" spans="1:7" ht="21" x14ac:dyDescent="0.25">
      <c r="A823" s="309"/>
      <c r="B823" s="309"/>
      <c r="C823" s="309"/>
      <c r="D823" s="309"/>
      <c r="E823" s="309"/>
      <c r="F823" s="309"/>
      <c r="G823" s="309"/>
    </row>
    <row r="824" spans="1:7" ht="21" x14ac:dyDescent="0.25">
      <c r="A824" s="309"/>
      <c r="B824" s="309"/>
      <c r="C824" s="309"/>
      <c r="D824" s="309"/>
      <c r="E824" s="309"/>
      <c r="F824" s="309"/>
      <c r="G824" s="309"/>
    </row>
    <row r="825" spans="1:7" ht="21" x14ac:dyDescent="0.25">
      <c r="A825" s="309"/>
      <c r="B825" s="309"/>
      <c r="C825" s="309"/>
      <c r="D825" s="309"/>
      <c r="E825" s="309"/>
      <c r="F825" s="309"/>
      <c r="G825" s="309"/>
    </row>
    <row r="826" spans="1:7" ht="21" x14ac:dyDescent="0.25">
      <c r="A826" s="309"/>
      <c r="B826" s="309"/>
      <c r="C826" s="309"/>
      <c r="D826" s="309"/>
      <c r="E826" s="309"/>
      <c r="F826" s="309"/>
      <c r="G826" s="309"/>
    </row>
    <row r="827" spans="1:7" ht="21" x14ac:dyDescent="0.25">
      <c r="A827" s="309"/>
      <c r="B827" s="309"/>
      <c r="C827" s="309"/>
      <c r="D827" s="309"/>
      <c r="E827" s="309"/>
      <c r="F827" s="309"/>
      <c r="G827" s="309"/>
    </row>
    <row r="828" spans="1:7" ht="21" x14ac:dyDescent="0.25">
      <c r="A828" s="309"/>
      <c r="B828" s="309"/>
      <c r="C828" s="309"/>
      <c r="D828" s="309"/>
      <c r="E828" s="309"/>
      <c r="F828" s="309"/>
      <c r="G828" s="309"/>
    </row>
    <row r="829" spans="1:7" ht="21" x14ac:dyDescent="0.25">
      <c r="A829" s="309"/>
      <c r="B829" s="309"/>
      <c r="C829" s="309"/>
      <c r="D829" s="309"/>
      <c r="E829" s="309"/>
      <c r="F829" s="309"/>
      <c r="G829" s="309"/>
    </row>
    <row r="830" spans="1:7" ht="21" x14ac:dyDescent="0.25">
      <c r="A830" s="309"/>
      <c r="B830" s="309"/>
      <c r="C830" s="309"/>
      <c r="D830" s="309"/>
      <c r="E830" s="309"/>
      <c r="F830" s="309"/>
      <c r="G830" s="309"/>
    </row>
    <row r="831" spans="1:7" ht="21" x14ac:dyDescent="0.25">
      <c r="A831" s="309"/>
      <c r="B831" s="309"/>
      <c r="C831" s="309"/>
      <c r="D831" s="309"/>
      <c r="E831" s="309"/>
      <c r="F831" s="309"/>
      <c r="G831" s="309"/>
    </row>
    <row r="832" spans="1:7" ht="21" x14ac:dyDescent="0.25">
      <c r="A832" s="309"/>
      <c r="B832" s="309"/>
      <c r="C832" s="309"/>
      <c r="D832" s="309"/>
      <c r="E832" s="309"/>
      <c r="F832" s="309"/>
      <c r="G832" s="309"/>
    </row>
    <row r="833" spans="1:7" ht="21" x14ac:dyDescent="0.25">
      <c r="A833" s="309"/>
      <c r="B833" s="309"/>
      <c r="C833" s="309"/>
      <c r="D833" s="309"/>
      <c r="E833" s="309"/>
      <c r="F833" s="309"/>
      <c r="G833" s="309"/>
    </row>
    <row r="834" spans="1:7" ht="21" x14ac:dyDescent="0.25">
      <c r="A834" s="309"/>
      <c r="B834" s="309"/>
      <c r="C834" s="309"/>
      <c r="D834" s="309"/>
      <c r="E834" s="309"/>
      <c r="F834" s="309"/>
      <c r="G834" s="309"/>
    </row>
    <row r="835" spans="1:7" ht="21" x14ac:dyDescent="0.25">
      <c r="A835" s="309"/>
      <c r="B835" s="309"/>
      <c r="C835" s="309"/>
      <c r="D835" s="309"/>
      <c r="E835" s="309"/>
      <c r="F835" s="309"/>
      <c r="G835" s="309"/>
    </row>
    <row r="836" spans="1:7" ht="21" x14ac:dyDescent="0.25">
      <c r="A836" s="309"/>
      <c r="B836" s="309"/>
      <c r="C836" s="309"/>
      <c r="D836" s="309"/>
      <c r="E836" s="309"/>
      <c r="F836" s="309"/>
      <c r="G836" s="309"/>
    </row>
    <row r="837" spans="1:7" ht="21" x14ac:dyDescent="0.25">
      <c r="A837" s="309"/>
      <c r="B837" s="309"/>
      <c r="C837" s="309"/>
      <c r="D837" s="309"/>
      <c r="E837" s="309"/>
      <c r="F837" s="309"/>
      <c r="G837" s="309"/>
    </row>
    <row r="838" spans="1:7" ht="21" x14ac:dyDescent="0.25">
      <c r="A838" s="309"/>
      <c r="B838" s="309"/>
      <c r="C838" s="309"/>
      <c r="D838" s="309"/>
      <c r="E838" s="309"/>
      <c r="F838" s="309"/>
      <c r="G838" s="309"/>
    </row>
    <row r="839" spans="1:7" ht="21" x14ac:dyDescent="0.25">
      <c r="A839" s="309"/>
      <c r="B839" s="309"/>
      <c r="C839" s="309"/>
      <c r="D839" s="309"/>
      <c r="E839" s="309"/>
      <c r="F839" s="309"/>
      <c r="G839" s="309"/>
    </row>
    <row r="840" spans="1:7" ht="21" x14ac:dyDescent="0.25">
      <c r="A840" s="309"/>
      <c r="B840" s="309"/>
      <c r="C840" s="309"/>
      <c r="D840" s="309"/>
      <c r="E840" s="309"/>
      <c r="F840" s="309"/>
      <c r="G840" s="309"/>
    </row>
    <row r="841" spans="1:7" ht="21" x14ac:dyDescent="0.25">
      <c r="A841" s="309"/>
      <c r="B841" s="309"/>
      <c r="C841" s="309"/>
      <c r="D841" s="309"/>
      <c r="E841" s="309"/>
      <c r="F841" s="309"/>
      <c r="G841" s="309"/>
    </row>
    <row r="842" spans="1:7" ht="21" x14ac:dyDescent="0.25">
      <c r="A842" s="309"/>
      <c r="B842" s="309"/>
      <c r="C842" s="309"/>
      <c r="D842" s="309"/>
      <c r="E842" s="309"/>
      <c r="F842" s="309"/>
      <c r="G842" s="309"/>
    </row>
    <row r="843" spans="1:7" ht="21" x14ac:dyDescent="0.25">
      <c r="A843" s="309"/>
      <c r="B843" s="309"/>
      <c r="C843" s="309"/>
      <c r="D843" s="309"/>
      <c r="E843" s="309"/>
      <c r="F843" s="309"/>
      <c r="G843" s="309"/>
    </row>
    <row r="844" spans="1:7" ht="21" x14ac:dyDescent="0.25">
      <c r="A844" s="309"/>
      <c r="B844" s="309"/>
      <c r="C844" s="309"/>
      <c r="D844" s="309"/>
      <c r="E844" s="309"/>
      <c r="F844" s="309"/>
      <c r="G844" s="309"/>
    </row>
    <row r="845" spans="1:7" ht="21" x14ac:dyDescent="0.25">
      <c r="A845" s="309"/>
      <c r="B845" s="309"/>
      <c r="C845" s="309"/>
      <c r="D845" s="309"/>
      <c r="E845" s="309"/>
      <c r="F845" s="309"/>
      <c r="G845" s="309"/>
    </row>
    <row r="846" spans="1:7" ht="21" x14ac:dyDescent="0.25">
      <c r="A846" s="309"/>
      <c r="B846" s="309"/>
      <c r="C846" s="309"/>
      <c r="D846" s="309"/>
      <c r="E846" s="309"/>
      <c r="F846" s="309"/>
      <c r="G846" s="309"/>
    </row>
    <row r="847" spans="1:7" ht="21" x14ac:dyDescent="0.25">
      <c r="A847" s="309"/>
      <c r="B847" s="309"/>
      <c r="C847" s="309"/>
      <c r="D847" s="309"/>
      <c r="E847" s="309"/>
      <c r="F847" s="309"/>
      <c r="G847" s="309"/>
    </row>
    <row r="848" spans="1:7" ht="21" x14ac:dyDescent="0.25">
      <c r="A848" s="309"/>
      <c r="B848" s="309"/>
      <c r="C848" s="309"/>
      <c r="D848" s="309"/>
      <c r="E848" s="309"/>
      <c r="F848" s="309"/>
      <c r="G848" s="309"/>
    </row>
    <row r="849" spans="1:7" ht="21" x14ac:dyDescent="0.25">
      <c r="A849" s="309"/>
      <c r="B849" s="309"/>
      <c r="C849" s="309"/>
      <c r="D849" s="309"/>
      <c r="E849" s="309"/>
      <c r="F849" s="309"/>
      <c r="G849" s="309"/>
    </row>
    <row r="850" spans="1:7" ht="21" x14ac:dyDescent="0.25">
      <c r="A850" s="309"/>
      <c r="B850" s="309"/>
      <c r="C850" s="309"/>
      <c r="D850" s="309"/>
      <c r="E850" s="309"/>
      <c r="F850" s="309"/>
      <c r="G850" s="309"/>
    </row>
    <row r="851" spans="1:7" ht="21" x14ac:dyDescent="0.25">
      <c r="A851" s="309"/>
      <c r="B851" s="309"/>
      <c r="C851" s="309"/>
      <c r="D851" s="309"/>
      <c r="E851" s="309"/>
      <c r="F851" s="309"/>
      <c r="G851" s="309"/>
    </row>
    <row r="852" spans="1:7" ht="21" x14ac:dyDescent="0.25">
      <c r="A852" s="309"/>
      <c r="B852" s="309"/>
      <c r="C852" s="309"/>
      <c r="D852" s="309"/>
      <c r="E852" s="309"/>
      <c r="F852" s="309"/>
      <c r="G852" s="309"/>
    </row>
    <row r="853" spans="1:7" ht="21" x14ac:dyDescent="0.25">
      <c r="A853" s="309"/>
      <c r="B853" s="309"/>
      <c r="C853" s="309"/>
      <c r="D853" s="309"/>
      <c r="E853" s="309"/>
      <c r="F853" s="309"/>
      <c r="G853" s="309"/>
    </row>
    <row r="854" spans="1:7" ht="21" x14ac:dyDescent="0.25">
      <c r="A854" s="309"/>
      <c r="B854" s="309"/>
      <c r="C854" s="309"/>
      <c r="D854" s="309"/>
      <c r="E854" s="309"/>
      <c r="F854" s="309"/>
      <c r="G854" s="309"/>
    </row>
    <row r="855" spans="1:7" ht="21" x14ac:dyDescent="0.25">
      <c r="A855" s="309"/>
      <c r="B855" s="309"/>
      <c r="C855" s="309"/>
      <c r="D855" s="309"/>
      <c r="E855" s="309"/>
      <c r="F855" s="309"/>
      <c r="G855" s="309"/>
    </row>
    <row r="856" spans="1:7" ht="21" x14ac:dyDescent="0.25">
      <c r="A856" s="309"/>
      <c r="B856" s="309"/>
      <c r="C856" s="309"/>
      <c r="D856" s="309"/>
      <c r="E856" s="309"/>
      <c r="F856" s="309"/>
      <c r="G856" s="309"/>
    </row>
    <row r="857" spans="1:7" ht="21" x14ac:dyDescent="0.25">
      <c r="A857" s="309"/>
      <c r="B857" s="309"/>
      <c r="C857" s="309"/>
      <c r="D857" s="309"/>
      <c r="E857" s="309"/>
      <c r="F857" s="309"/>
      <c r="G857" s="309"/>
    </row>
    <row r="858" spans="1:7" ht="21" x14ac:dyDescent="0.25">
      <c r="A858" s="309"/>
      <c r="B858" s="309"/>
      <c r="C858" s="309"/>
      <c r="D858" s="309"/>
      <c r="E858" s="309"/>
      <c r="F858" s="309"/>
      <c r="G858" s="309"/>
    </row>
    <row r="859" spans="1:7" ht="21" x14ac:dyDescent="0.25">
      <c r="A859" s="309"/>
      <c r="B859" s="309"/>
      <c r="C859" s="309"/>
      <c r="D859" s="309"/>
      <c r="E859" s="309"/>
      <c r="F859" s="309"/>
      <c r="G859" s="309"/>
    </row>
    <row r="860" spans="1:7" ht="21" x14ac:dyDescent="0.25">
      <c r="A860" s="309"/>
      <c r="B860" s="309"/>
      <c r="C860" s="309"/>
      <c r="D860" s="309"/>
      <c r="E860" s="309"/>
      <c r="F860" s="309"/>
      <c r="G860" s="309"/>
    </row>
    <row r="861" spans="1:7" ht="21" x14ac:dyDescent="0.25">
      <c r="A861" s="309"/>
      <c r="B861" s="309"/>
      <c r="C861" s="309"/>
      <c r="D861" s="309"/>
      <c r="E861" s="309"/>
      <c r="F861" s="309"/>
      <c r="G861" s="309"/>
    </row>
    <row r="862" spans="1:7" ht="21" x14ac:dyDescent="0.25">
      <c r="A862" s="309"/>
      <c r="B862" s="309"/>
      <c r="C862" s="309"/>
      <c r="D862" s="309"/>
      <c r="E862" s="309"/>
      <c r="F862" s="309"/>
      <c r="G862" s="309"/>
    </row>
    <row r="863" spans="1:7" ht="21" x14ac:dyDescent="0.25">
      <c r="A863" s="309"/>
      <c r="B863" s="309"/>
      <c r="C863" s="309"/>
      <c r="D863" s="309"/>
      <c r="E863" s="309"/>
      <c r="F863" s="309"/>
      <c r="G863" s="309"/>
    </row>
    <row r="864" spans="1:7" ht="21" x14ac:dyDescent="0.25">
      <c r="A864" s="309"/>
      <c r="B864" s="309"/>
      <c r="C864" s="309"/>
      <c r="D864" s="309"/>
      <c r="E864" s="309"/>
      <c r="F864" s="309"/>
      <c r="G864" s="309"/>
    </row>
    <row r="865" spans="1:7" ht="21" x14ac:dyDescent="0.25">
      <c r="A865" s="309"/>
      <c r="B865" s="309"/>
      <c r="C865" s="309"/>
      <c r="D865" s="309"/>
      <c r="E865" s="309"/>
      <c r="F865" s="309"/>
      <c r="G865" s="309"/>
    </row>
    <row r="866" spans="1:7" ht="21" x14ac:dyDescent="0.25">
      <c r="A866" s="309"/>
      <c r="B866" s="309"/>
      <c r="C866" s="309"/>
      <c r="D866" s="309"/>
      <c r="E866" s="309"/>
      <c r="F866" s="309"/>
      <c r="G866" s="309"/>
    </row>
    <row r="867" spans="1:7" ht="21" x14ac:dyDescent="0.25">
      <c r="A867" s="309"/>
      <c r="B867" s="309"/>
      <c r="C867" s="309"/>
      <c r="D867" s="309"/>
      <c r="E867" s="309"/>
      <c r="F867" s="309"/>
      <c r="G867" s="309"/>
    </row>
    <row r="868" spans="1:7" ht="21" x14ac:dyDescent="0.25">
      <c r="A868" s="309"/>
      <c r="B868" s="309"/>
      <c r="C868" s="309"/>
      <c r="D868" s="309"/>
      <c r="E868" s="309"/>
      <c r="F868" s="309"/>
      <c r="G868" s="309"/>
    </row>
    <row r="869" spans="1:7" ht="21" x14ac:dyDescent="0.25">
      <c r="A869" s="309"/>
      <c r="B869" s="309"/>
      <c r="C869" s="309"/>
      <c r="D869" s="309"/>
      <c r="E869" s="309"/>
      <c r="F869" s="309"/>
      <c r="G869" s="309"/>
    </row>
    <row r="870" spans="1:7" ht="21" x14ac:dyDescent="0.25">
      <c r="A870" s="309"/>
      <c r="B870" s="309"/>
      <c r="C870" s="309"/>
      <c r="D870" s="309"/>
      <c r="E870" s="309"/>
      <c r="F870" s="309"/>
      <c r="G870" s="309"/>
    </row>
    <row r="871" spans="1:7" ht="21" x14ac:dyDescent="0.25">
      <c r="A871" s="309"/>
      <c r="B871" s="309"/>
      <c r="C871" s="309"/>
      <c r="D871" s="309"/>
      <c r="E871" s="309"/>
      <c r="F871" s="309"/>
      <c r="G871" s="309"/>
    </row>
    <row r="872" spans="1:7" ht="21" x14ac:dyDescent="0.25">
      <c r="A872" s="309"/>
      <c r="B872" s="309"/>
      <c r="C872" s="309"/>
      <c r="D872" s="309"/>
      <c r="E872" s="309"/>
      <c r="F872" s="309"/>
      <c r="G872" s="309"/>
    </row>
    <row r="873" spans="1:7" ht="21" x14ac:dyDescent="0.25">
      <c r="A873" s="309"/>
      <c r="B873" s="309"/>
      <c r="C873" s="309"/>
      <c r="D873" s="309"/>
      <c r="E873" s="309"/>
      <c r="F873" s="309"/>
      <c r="G873" s="309"/>
    </row>
    <row r="874" spans="1:7" ht="21" x14ac:dyDescent="0.25">
      <c r="A874" s="309"/>
      <c r="B874" s="309"/>
      <c r="C874" s="309"/>
      <c r="D874" s="309"/>
      <c r="E874" s="309"/>
      <c r="F874" s="309"/>
      <c r="G874" s="309"/>
    </row>
    <row r="875" spans="1:7" ht="21" x14ac:dyDescent="0.25">
      <c r="A875" s="309"/>
      <c r="B875" s="309"/>
      <c r="C875" s="309"/>
      <c r="D875" s="309"/>
      <c r="E875" s="309"/>
      <c r="F875" s="309"/>
      <c r="G875" s="309"/>
    </row>
    <row r="876" spans="1:7" ht="21" x14ac:dyDescent="0.25">
      <c r="A876" s="309"/>
      <c r="B876" s="309"/>
      <c r="C876" s="309"/>
      <c r="D876" s="309"/>
      <c r="E876" s="309"/>
      <c r="F876" s="309"/>
      <c r="G876" s="309"/>
    </row>
    <row r="877" spans="1:7" ht="21" x14ac:dyDescent="0.25">
      <c r="A877" s="309"/>
      <c r="B877" s="309"/>
      <c r="C877" s="309"/>
      <c r="D877" s="309"/>
      <c r="E877" s="309"/>
      <c r="F877" s="309"/>
      <c r="G877" s="309"/>
    </row>
    <row r="878" spans="1:7" ht="21" x14ac:dyDescent="0.25">
      <c r="A878" s="309"/>
      <c r="B878" s="309"/>
      <c r="C878" s="309"/>
      <c r="D878" s="309"/>
      <c r="E878" s="309"/>
      <c r="F878" s="309"/>
      <c r="G878" s="309"/>
    </row>
    <row r="879" spans="1:7" ht="21" x14ac:dyDescent="0.25">
      <c r="A879" s="309"/>
      <c r="B879" s="309"/>
      <c r="C879" s="309"/>
      <c r="D879" s="309"/>
      <c r="E879" s="309"/>
      <c r="F879" s="309"/>
      <c r="G879" s="309"/>
    </row>
    <row r="880" spans="1:7" ht="21" x14ac:dyDescent="0.25">
      <c r="A880" s="309"/>
      <c r="B880" s="309"/>
      <c r="C880" s="309"/>
      <c r="D880" s="309"/>
      <c r="E880" s="309"/>
      <c r="F880" s="309"/>
      <c r="G880" s="309"/>
    </row>
    <row r="881" spans="1:7" ht="21" x14ac:dyDescent="0.25">
      <c r="A881" s="309"/>
      <c r="B881" s="309"/>
      <c r="C881" s="309"/>
      <c r="D881" s="309"/>
      <c r="E881" s="309"/>
      <c r="F881" s="309"/>
      <c r="G881" s="309"/>
    </row>
    <row r="882" spans="1:7" ht="21" x14ac:dyDescent="0.25">
      <c r="A882" s="309"/>
      <c r="B882" s="309"/>
      <c r="C882" s="309"/>
      <c r="D882" s="309"/>
      <c r="E882" s="309"/>
      <c r="F882" s="309"/>
      <c r="G882" s="309"/>
    </row>
    <row r="883" spans="1:7" ht="21" x14ac:dyDescent="0.25">
      <c r="A883" s="309"/>
      <c r="B883" s="309"/>
      <c r="C883" s="309"/>
      <c r="D883" s="309"/>
      <c r="E883" s="309"/>
      <c r="F883" s="309"/>
      <c r="G883" s="309"/>
    </row>
    <row r="884" spans="1:7" ht="21" x14ac:dyDescent="0.25">
      <c r="A884" s="309"/>
      <c r="B884" s="309"/>
      <c r="C884" s="309"/>
      <c r="D884" s="309"/>
      <c r="E884" s="309"/>
      <c r="F884" s="309"/>
      <c r="G884" s="309"/>
    </row>
    <row r="885" spans="1:7" ht="21" x14ac:dyDescent="0.25">
      <c r="A885" s="309"/>
      <c r="B885" s="309"/>
      <c r="C885" s="309"/>
      <c r="D885" s="309"/>
      <c r="E885" s="309"/>
      <c r="F885" s="309"/>
      <c r="G885" s="309"/>
    </row>
    <row r="886" spans="1:7" ht="21" x14ac:dyDescent="0.25">
      <c r="A886" s="309"/>
      <c r="B886" s="309"/>
      <c r="C886" s="309"/>
      <c r="D886" s="309"/>
      <c r="E886" s="309"/>
      <c r="F886" s="309"/>
      <c r="G886" s="309"/>
    </row>
    <row r="887" spans="1:7" ht="21" x14ac:dyDescent="0.25">
      <c r="A887" s="309"/>
      <c r="B887" s="309"/>
      <c r="C887" s="309"/>
      <c r="D887" s="309"/>
      <c r="E887" s="309"/>
      <c r="F887" s="309"/>
      <c r="G887" s="309"/>
    </row>
    <row r="888" spans="1:7" ht="21" x14ac:dyDescent="0.25">
      <c r="A888" s="309"/>
      <c r="B888" s="309"/>
      <c r="C888" s="309"/>
      <c r="D888" s="309"/>
      <c r="E888" s="309"/>
      <c r="F888" s="309"/>
      <c r="G888" s="309"/>
    </row>
    <row r="889" spans="1:7" ht="21" x14ac:dyDescent="0.25">
      <c r="A889" s="309"/>
      <c r="B889" s="309"/>
      <c r="C889" s="309"/>
      <c r="D889" s="309"/>
      <c r="E889" s="309"/>
      <c r="F889" s="309"/>
      <c r="G889" s="309"/>
    </row>
    <row r="890" spans="1:7" ht="21" x14ac:dyDescent="0.25">
      <c r="A890" s="309"/>
      <c r="B890" s="309"/>
      <c r="C890" s="309"/>
      <c r="D890" s="309"/>
      <c r="E890" s="309"/>
      <c r="F890" s="309"/>
      <c r="G890" s="309"/>
    </row>
    <row r="891" spans="1:7" ht="21" x14ac:dyDescent="0.25">
      <c r="A891" s="309"/>
      <c r="B891" s="309"/>
      <c r="C891" s="309"/>
      <c r="D891" s="309"/>
      <c r="E891" s="309"/>
      <c r="F891" s="309"/>
      <c r="G891" s="309"/>
    </row>
    <row r="892" spans="1:7" ht="21" x14ac:dyDescent="0.25">
      <c r="A892" s="309"/>
      <c r="B892" s="309"/>
      <c r="C892" s="309"/>
      <c r="D892" s="309"/>
      <c r="E892" s="309"/>
      <c r="F892" s="309"/>
      <c r="G892" s="309"/>
    </row>
    <row r="893" spans="1:7" ht="21" x14ac:dyDescent="0.25">
      <c r="A893" s="309"/>
      <c r="B893" s="309"/>
      <c r="C893" s="309"/>
      <c r="D893" s="309"/>
      <c r="E893" s="309"/>
      <c r="F893" s="309"/>
      <c r="G893" s="309"/>
    </row>
    <row r="894" spans="1:7" ht="21" x14ac:dyDescent="0.25">
      <c r="A894" s="309"/>
      <c r="B894" s="309"/>
      <c r="C894" s="309"/>
      <c r="D894" s="309"/>
      <c r="E894" s="309"/>
      <c r="F894" s="309"/>
      <c r="G894" s="309"/>
    </row>
    <row r="895" spans="1:7" ht="21" x14ac:dyDescent="0.25">
      <c r="A895" s="309"/>
      <c r="B895" s="309"/>
      <c r="C895" s="309"/>
      <c r="D895" s="309"/>
      <c r="E895" s="309"/>
      <c r="F895" s="309"/>
      <c r="G895" s="309"/>
    </row>
    <row r="896" spans="1:7" ht="21" x14ac:dyDescent="0.25">
      <c r="A896" s="309"/>
      <c r="B896" s="309"/>
      <c r="C896" s="309"/>
      <c r="D896" s="309"/>
      <c r="E896" s="309"/>
      <c r="F896" s="309"/>
      <c r="G896" s="309"/>
    </row>
    <row r="897" spans="1:7" ht="21" x14ac:dyDescent="0.25">
      <c r="A897" s="309"/>
      <c r="B897" s="309"/>
      <c r="C897" s="309"/>
      <c r="D897" s="309"/>
      <c r="E897" s="309"/>
      <c r="F897" s="309"/>
      <c r="G897" s="309"/>
    </row>
    <row r="898" spans="1:7" ht="21" x14ac:dyDescent="0.25">
      <c r="A898" s="309"/>
      <c r="B898" s="309"/>
      <c r="C898" s="309"/>
      <c r="D898" s="309"/>
      <c r="E898" s="309"/>
      <c r="F898" s="309"/>
      <c r="G898" s="309"/>
    </row>
    <row r="899" spans="1:7" ht="21" x14ac:dyDescent="0.25">
      <c r="A899" s="309"/>
      <c r="B899" s="309"/>
      <c r="C899" s="309"/>
      <c r="D899" s="309"/>
      <c r="E899" s="309"/>
      <c r="F899" s="309"/>
      <c r="G899" s="309"/>
    </row>
    <row r="900" spans="1:7" ht="21" x14ac:dyDescent="0.25">
      <c r="A900" s="309"/>
      <c r="B900" s="309"/>
      <c r="C900" s="309"/>
      <c r="D900" s="309"/>
      <c r="E900" s="309"/>
      <c r="F900" s="309"/>
      <c r="G900" s="309"/>
    </row>
    <row r="901" spans="1:7" ht="21" x14ac:dyDescent="0.25">
      <c r="A901" s="309"/>
      <c r="B901" s="309"/>
      <c r="C901" s="309"/>
      <c r="D901" s="309"/>
      <c r="E901" s="309"/>
      <c r="F901" s="309"/>
      <c r="G901" s="309"/>
    </row>
    <row r="902" spans="1:7" ht="21" x14ac:dyDescent="0.25">
      <c r="A902" s="309"/>
      <c r="B902" s="309"/>
      <c r="C902" s="309"/>
      <c r="D902" s="309"/>
      <c r="E902" s="309"/>
      <c r="F902" s="309"/>
      <c r="G902" s="309"/>
    </row>
    <row r="903" spans="1:7" ht="21" x14ac:dyDescent="0.25">
      <c r="A903" s="309"/>
      <c r="B903" s="309"/>
      <c r="C903" s="309"/>
      <c r="D903" s="309"/>
      <c r="E903" s="309"/>
      <c r="F903" s="309"/>
      <c r="G903" s="309"/>
    </row>
    <row r="904" spans="1:7" ht="21" x14ac:dyDescent="0.25">
      <c r="A904" s="309"/>
      <c r="B904" s="309"/>
      <c r="C904" s="309"/>
      <c r="D904" s="309"/>
      <c r="E904" s="309"/>
      <c r="F904" s="309"/>
      <c r="G904" s="309"/>
    </row>
    <row r="905" spans="1:7" ht="21" x14ac:dyDescent="0.25">
      <c r="A905" s="309"/>
      <c r="B905" s="309"/>
      <c r="C905" s="309"/>
      <c r="D905" s="309"/>
      <c r="E905" s="309"/>
      <c r="F905" s="309"/>
      <c r="G905" s="309"/>
    </row>
    <row r="906" spans="1:7" ht="21" x14ac:dyDescent="0.25">
      <c r="A906" s="309"/>
      <c r="B906" s="309"/>
      <c r="C906" s="309"/>
      <c r="D906" s="309"/>
      <c r="E906" s="309"/>
      <c r="F906" s="309"/>
      <c r="G906" s="309"/>
    </row>
    <row r="907" spans="1:7" ht="21" x14ac:dyDescent="0.25">
      <c r="A907" s="309"/>
      <c r="B907" s="309"/>
      <c r="C907" s="309"/>
      <c r="D907" s="309"/>
      <c r="E907" s="309"/>
      <c r="F907" s="309"/>
      <c r="G907" s="309"/>
    </row>
    <row r="908" spans="1:7" ht="21" x14ac:dyDescent="0.25">
      <c r="A908" s="309"/>
      <c r="B908" s="309"/>
      <c r="C908" s="309"/>
      <c r="D908" s="309"/>
      <c r="E908" s="309"/>
      <c r="F908" s="309"/>
      <c r="G908" s="309"/>
    </row>
    <row r="909" spans="1:7" ht="21" x14ac:dyDescent="0.25">
      <c r="A909" s="309"/>
      <c r="B909" s="309"/>
      <c r="C909" s="309"/>
      <c r="D909" s="309"/>
      <c r="E909" s="309"/>
      <c r="F909" s="309"/>
      <c r="G909" s="309"/>
    </row>
    <row r="910" spans="1:7" ht="21" x14ac:dyDescent="0.25">
      <c r="A910" s="309"/>
      <c r="B910" s="309"/>
      <c r="C910" s="309"/>
      <c r="D910" s="309"/>
      <c r="E910" s="309"/>
      <c r="F910" s="309"/>
      <c r="G910" s="309"/>
    </row>
    <row r="911" spans="1:7" ht="21" x14ac:dyDescent="0.25">
      <c r="A911" s="309"/>
      <c r="B911" s="309"/>
      <c r="C911" s="309"/>
      <c r="D911" s="309"/>
      <c r="E911" s="309"/>
      <c r="F911" s="309"/>
      <c r="G911" s="309"/>
    </row>
    <row r="912" spans="1:7" ht="21" x14ac:dyDescent="0.25">
      <c r="A912" s="309"/>
      <c r="B912" s="309"/>
      <c r="C912" s="309"/>
      <c r="D912" s="309"/>
      <c r="E912" s="309"/>
      <c r="F912" s="309"/>
      <c r="G912" s="309"/>
    </row>
    <row r="913" spans="1:7" ht="21" x14ac:dyDescent="0.25">
      <c r="A913" s="309"/>
      <c r="B913" s="309"/>
      <c r="C913" s="309"/>
      <c r="D913" s="309"/>
      <c r="E913" s="309"/>
      <c r="F913" s="309"/>
      <c r="G913" s="309"/>
    </row>
    <row r="914" spans="1:7" ht="21" x14ac:dyDescent="0.25">
      <c r="A914" s="309"/>
      <c r="B914" s="309"/>
      <c r="C914" s="309"/>
      <c r="D914" s="309"/>
      <c r="E914" s="309"/>
      <c r="F914" s="309"/>
      <c r="G914" s="309"/>
    </row>
    <row r="915" spans="1:7" ht="21" x14ac:dyDescent="0.25">
      <c r="A915" s="309"/>
      <c r="B915" s="309"/>
      <c r="C915" s="309"/>
      <c r="D915" s="309"/>
      <c r="E915" s="309"/>
      <c r="F915" s="309"/>
      <c r="G915" s="309"/>
    </row>
    <row r="916" spans="1:7" ht="21" x14ac:dyDescent="0.25">
      <c r="A916" s="309"/>
      <c r="B916" s="309"/>
      <c r="C916" s="309"/>
      <c r="D916" s="309"/>
      <c r="E916" s="309"/>
      <c r="F916" s="309"/>
      <c r="G916" s="309"/>
    </row>
    <row r="917" spans="1:7" ht="21" x14ac:dyDescent="0.25">
      <c r="A917" s="309"/>
      <c r="B917" s="309"/>
      <c r="C917" s="309"/>
      <c r="D917" s="309"/>
      <c r="E917" s="309"/>
      <c r="F917" s="309"/>
      <c r="G917" s="309"/>
    </row>
    <row r="918" spans="1:7" ht="21" x14ac:dyDescent="0.25">
      <c r="A918" s="309"/>
      <c r="B918" s="309"/>
      <c r="C918" s="309"/>
      <c r="D918" s="309"/>
      <c r="E918" s="309"/>
      <c r="F918" s="309"/>
      <c r="G918" s="309"/>
    </row>
    <row r="919" spans="1:7" ht="21" x14ac:dyDescent="0.25">
      <c r="A919" s="309"/>
      <c r="B919" s="309"/>
      <c r="C919" s="309"/>
      <c r="D919" s="309"/>
      <c r="E919" s="309"/>
      <c r="F919" s="309"/>
      <c r="G919" s="309"/>
    </row>
    <row r="920" spans="1:7" ht="21" x14ac:dyDescent="0.25">
      <c r="A920" s="309"/>
      <c r="B920" s="309"/>
      <c r="C920" s="309"/>
      <c r="D920" s="309"/>
      <c r="E920" s="309"/>
      <c r="F920" s="309"/>
      <c r="G920" s="309"/>
    </row>
    <row r="921" spans="1:7" ht="21" x14ac:dyDescent="0.25">
      <c r="A921" s="309"/>
      <c r="B921" s="309"/>
      <c r="C921" s="309"/>
      <c r="D921" s="309"/>
      <c r="E921" s="309"/>
      <c r="F921" s="309"/>
      <c r="G921" s="309"/>
    </row>
    <row r="922" spans="1:7" ht="21" x14ac:dyDescent="0.25">
      <c r="A922" s="309"/>
      <c r="B922" s="309"/>
      <c r="C922" s="309"/>
      <c r="D922" s="309"/>
      <c r="E922" s="309"/>
      <c r="F922" s="309"/>
      <c r="G922" s="309"/>
    </row>
    <row r="923" spans="1:7" ht="21" x14ac:dyDescent="0.25">
      <c r="A923" s="309"/>
      <c r="B923" s="309"/>
      <c r="C923" s="309"/>
      <c r="D923" s="309"/>
      <c r="E923" s="309"/>
      <c r="F923" s="309"/>
      <c r="G923" s="309"/>
    </row>
    <row r="924" spans="1:7" ht="21" x14ac:dyDescent="0.25">
      <c r="A924" s="309"/>
      <c r="B924" s="309"/>
      <c r="C924" s="309"/>
      <c r="D924" s="309"/>
      <c r="E924" s="309"/>
      <c r="F924" s="309"/>
      <c r="G924" s="309"/>
    </row>
    <row r="925" spans="1:7" ht="21" x14ac:dyDescent="0.25">
      <c r="A925" s="309"/>
      <c r="B925" s="309"/>
      <c r="C925" s="309"/>
      <c r="D925" s="309"/>
      <c r="E925" s="309"/>
      <c r="F925" s="309"/>
      <c r="G925" s="309"/>
    </row>
    <row r="926" spans="1:7" ht="21" x14ac:dyDescent="0.25">
      <c r="A926" s="309"/>
      <c r="B926" s="309"/>
      <c r="C926" s="309"/>
      <c r="D926" s="309"/>
      <c r="E926" s="309"/>
      <c r="F926" s="309"/>
      <c r="G926" s="309"/>
    </row>
    <row r="927" spans="1:7" ht="21" x14ac:dyDescent="0.25">
      <c r="A927" s="309"/>
      <c r="B927" s="309"/>
      <c r="C927" s="309"/>
      <c r="D927" s="309"/>
      <c r="E927" s="309"/>
      <c r="F927" s="309"/>
      <c r="G927" s="309"/>
    </row>
    <row r="928" spans="1:7" ht="21" x14ac:dyDescent="0.25">
      <c r="A928" s="309"/>
      <c r="B928" s="309"/>
      <c r="C928" s="309"/>
      <c r="D928" s="309"/>
      <c r="E928" s="309"/>
      <c r="F928" s="309"/>
      <c r="G928" s="309"/>
    </row>
    <row r="929" spans="1:7" ht="21" x14ac:dyDescent="0.25">
      <c r="A929" s="309"/>
      <c r="B929" s="309"/>
      <c r="C929" s="309"/>
      <c r="D929" s="309"/>
      <c r="E929" s="309"/>
      <c r="F929" s="309"/>
      <c r="G929" s="309"/>
    </row>
    <row r="930" spans="1:7" ht="21" x14ac:dyDescent="0.25">
      <c r="A930" s="309"/>
      <c r="B930" s="309"/>
      <c r="C930" s="309"/>
      <c r="D930" s="309"/>
      <c r="E930" s="309"/>
      <c r="F930" s="309"/>
      <c r="G930" s="309"/>
    </row>
    <row r="931" spans="1:7" ht="21" x14ac:dyDescent="0.25">
      <c r="A931" s="309"/>
      <c r="B931" s="309"/>
      <c r="C931" s="309"/>
      <c r="D931" s="309"/>
      <c r="E931" s="309"/>
      <c r="F931" s="309"/>
      <c r="G931" s="309"/>
    </row>
    <row r="932" spans="1:7" ht="21" x14ac:dyDescent="0.25">
      <c r="A932" s="309"/>
      <c r="B932" s="309"/>
      <c r="C932" s="309"/>
      <c r="D932" s="309"/>
      <c r="E932" s="309"/>
      <c r="F932" s="309"/>
      <c r="G932" s="309"/>
    </row>
    <row r="933" spans="1:7" ht="21" x14ac:dyDescent="0.25">
      <c r="A933" s="309"/>
      <c r="B933" s="309"/>
      <c r="C933" s="309"/>
      <c r="D933" s="309"/>
      <c r="E933" s="309"/>
      <c r="F933" s="309"/>
      <c r="G933" s="309"/>
    </row>
    <row r="934" spans="1:7" ht="21" x14ac:dyDescent="0.25">
      <c r="A934" s="309"/>
      <c r="B934" s="309"/>
      <c r="C934" s="309"/>
      <c r="D934" s="309"/>
      <c r="E934" s="309"/>
      <c r="F934" s="309"/>
      <c r="G934" s="309"/>
    </row>
    <row r="935" spans="1:7" ht="21" x14ac:dyDescent="0.25">
      <c r="A935" s="309"/>
      <c r="B935" s="309"/>
      <c r="C935" s="309"/>
      <c r="D935" s="309"/>
      <c r="E935" s="309"/>
      <c r="F935" s="309"/>
      <c r="G935" s="309"/>
    </row>
    <row r="936" spans="1:7" ht="21" x14ac:dyDescent="0.25">
      <c r="A936" s="309"/>
      <c r="B936" s="309"/>
      <c r="C936" s="309"/>
      <c r="D936" s="309"/>
      <c r="E936" s="309"/>
      <c r="F936" s="309"/>
      <c r="G936" s="309"/>
    </row>
    <row r="937" spans="1:7" ht="21" x14ac:dyDescent="0.25">
      <c r="A937" s="309"/>
      <c r="B937" s="309"/>
      <c r="C937" s="309"/>
      <c r="D937" s="309"/>
      <c r="E937" s="309"/>
      <c r="F937" s="309"/>
      <c r="G937" s="309"/>
    </row>
    <row r="938" spans="1:7" ht="21" x14ac:dyDescent="0.25">
      <c r="A938" s="309"/>
      <c r="B938" s="309"/>
      <c r="C938" s="309"/>
      <c r="D938" s="309"/>
      <c r="E938" s="309"/>
      <c r="F938" s="309"/>
      <c r="G938" s="309"/>
    </row>
    <row r="939" spans="1:7" ht="21" x14ac:dyDescent="0.25">
      <c r="A939" s="309"/>
      <c r="B939" s="309"/>
      <c r="C939" s="309"/>
      <c r="D939" s="309"/>
      <c r="E939" s="309"/>
      <c r="F939" s="309"/>
      <c r="G939" s="309"/>
    </row>
    <row r="940" spans="1:7" ht="21" x14ac:dyDescent="0.25">
      <c r="A940" s="309"/>
      <c r="B940" s="309"/>
      <c r="C940" s="309"/>
      <c r="D940" s="309"/>
      <c r="E940" s="309"/>
      <c r="F940" s="309"/>
      <c r="G940" s="309"/>
    </row>
    <row r="941" spans="1:7" ht="21" x14ac:dyDescent="0.25">
      <c r="A941" s="309"/>
      <c r="B941" s="309"/>
      <c r="C941" s="309"/>
      <c r="D941" s="309"/>
      <c r="E941" s="309"/>
      <c r="F941" s="309"/>
      <c r="G941" s="309"/>
    </row>
    <row r="942" spans="1:7" ht="21" x14ac:dyDescent="0.25">
      <c r="A942" s="309"/>
      <c r="B942" s="309"/>
      <c r="C942" s="309"/>
      <c r="D942" s="309"/>
      <c r="E942" s="309"/>
      <c r="F942" s="309"/>
      <c r="G942" s="309"/>
    </row>
    <row r="943" spans="1:7" ht="21" x14ac:dyDescent="0.25">
      <c r="A943" s="309"/>
      <c r="B943" s="309"/>
      <c r="C943" s="309"/>
      <c r="D943" s="309"/>
      <c r="E943" s="309"/>
      <c r="F943" s="309"/>
      <c r="G943" s="309"/>
    </row>
    <row r="944" spans="1:7" ht="21" x14ac:dyDescent="0.25">
      <c r="A944" s="309"/>
      <c r="B944" s="309"/>
      <c r="C944" s="309"/>
      <c r="D944" s="309"/>
      <c r="E944" s="309"/>
      <c r="F944" s="309"/>
      <c r="G944" s="309"/>
    </row>
    <row r="945" spans="1:7" ht="21" x14ac:dyDescent="0.25">
      <c r="A945" s="309"/>
      <c r="B945" s="309"/>
      <c r="C945" s="309"/>
      <c r="D945" s="309"/>
      <c r="E945" s="309"/>
      <c r="F945" s="309"/>
      <c r="G945" s="309"/>
    </row>
    <row r="946" spans="1:7" ht="21" x14ac:dyDescent="0.25">
      <c r="A946" s="309"/>
      <c r="B946" s="309"/>
      <c r="C946" s="309"/>
      <c r="D946" s="309"/>
      <c r="E946" s="309"/>
      <c r="F946" s="309"/>
      <c r="G946" s="309"/>
    </row>
    <row r="947" spans="1:7" ht="21" x14ac:dyDescent="0.25">
      <c r="A947" s="309"/>
      <c r="B947" s="309"/>
      <c r="C947" s="309"/>
      <c r="D947" s="309"/>
      <c r="E947" s="309"/>
      <c r="F947" s="309"/>
      <c r="G947" s="309"/>
    </row>
    <row r="948" spans="1:7" ht="21" x14ac:dyDescent="0.25">
      <c r="A948" s="309"/>
      <c r="B948" s="309"/>
      <c r="C948" s="309"/>
      <c r="D948" s="309"/>
      <c r="E948" s="309"/>
      <c r="F948" s="309"/>
      <c r="G948" s="309"/>
    </row>
    <row r="949" spans="1:7" ht="21" x14ac:dyDescent="0.25">
      <c r="A949" s="309"/>
      <c r="B949" s="309"/>
      <c r="C949" s="309"/>
      <c r="D949" s="309"/>
      <c r="E949" s="309"/>
      <c r="F949" s="309"/>
      <c r="G949" s="309"/>
    </row>
    <row r="950" spans="1:7" ht="21" x14ac:dyDescent="0.25">
      <c r="A950" s="309"/>
      <c r="B950" s="309"/>
      <c r="C950" s="309"/>
      <c r="D950" s="309"/>
      <c r="E950" s="309"/>
      <c r="F950" s="309"/>
      <c r="G950" s="309"/>
    </row>
    <row r="951" spans="1:7" ht="21" x14ac:dyDescent="0.25">
      <c r="A951" s="309"/>
      <c r="B951" s="309"/>
      <c r="C951" s="309"/>
      <c r="D951" s="309"/>
      <c r="E951" s="309"/>
      <c r="F951" s="309"/>
      <c r="G951" s="309"/>
    </row>
    <row r="952" spans="1:7" ht="21" x14ac:dyDescent="0.25">
      <c r="A952" s="309"/>
      <c r="B952" s="309"/>
      <c r="C952" s="309"/>
      <c r="D952" s="309"/>
      <c r="E952" s="309"/>
      <c r="F952" s="309"/>
      <c r="G952" s="309"/>
    </row>
    <row r="953" spans="1:7" ht="21" x14ac:dyDescent="0.25">
      <c r="A953" s="309"/>
      <c r="B953" s="309"/>
      <c r="C953" s="309"/>
      <c r="D953" s="309"/>
      <c r="E953" s="309"/>
      <c r="F953" s="309"/>
      <c r="G953" s="309"/>
    </row>
    <row r="954" spans="1:7" ht="21" x14ac:dyDescent="0.25">
      <c r="A954" s="309"/>
      <c r="B954" s="309"/>
      <c r="C954" s="309"/>
      <c r="D954" s="309"/>
      <c r="E954" s="309"/>
      <c r="F954" s="309"/>
      <c r="G954" s="309"/>
    </row>
    <row r="955" spans="1:7" ht="21" x14ac:dyDescent="0.25">
      <c r="A955" s="309"/>
      <c r="B955" s="309"/>
      <c r="C955" s="309"/>
      <c r="D955" s="309"/>
      <c r="E955" s="309"/>
      <c r="F955" s="309"/>
      <c r="G955" s="309"/>
    </row>
    <row r="956" spans="1:7" ht="21" x14ac:dyDescent="0.25">
      <c r="A956" s="309"/>
      <c r="B956" s="309"/>
      <c r="C956" s="309"/>
      <c r="D956" s="309"/>
      <c r="E956" s="309"/>
      <c r="F956" s="309"/>
      <c r="G956" s="309"/>
    </row>
    <row r="957" spans="1:7" ht="21" x14ac:dyDescent="0.25">
      <c r="A957" s="309"/>
      <c r="B957" s="309"/>
      <c r="C957" s="309"/>
      <c r="D957" s="309"/>
      <c r="E957" s="309"/>
      <c r="F957" s="309"/>
      <c r="G957" s="309"/>
    </row>
    <row r="958" spans="1:7" ht="21" x14ac:dyDescent="0.25">
      <c r="A958" s="309"/>
      <c r="B958" s="309"/>
      <c r="C958" s="309"/>
      <c r="D958" s="309"/>
      <c r="E958" s="309"/>
      <c r="F958" s="309"/>
      <c r="G958" s="309"/>
    </row>
    <row r="959" spans="1:7" ht="21" x14ac:dyDescent="0.25">
      <c r="A959" s="309"/>
      <c r="B959" s="309"/>
      <c r="C959" s="309"/>
      <c r="D959" s="309"/>
      <c r="E959" s="309"/>
      <c r="F959" s="309"/>
      <c r="G959" s="309"/>
    </row>
    <row r="960" spans="1:7" ht="21" x14ac:dyDescent="0.25">
      <c r="A960" s="309"/>
      <c r="B960" s="309"/>
      <c r="C960" s="309"/>
      <c r="D960" s="309"/>
      <c r="E960" s="309"/>
      <c r="F960" s="309"/>
      <c r="G960" s="309"/>
    </row>
    <row r="961" spans="1:7" ht="21" x14ac:dyDescent="0.25">
      <c r="A961" s="309"/>
      <c r="B961" s="309"/>
      <c r="C961" s="309"/>
      <c r="D961" s="309"/>
      <c r="E961" s="309"/>
      <c r="F961" s="309"/>
      <c r="G961" s="309"/>
    </row>
    <row r="962" spans="1:7" ht="21" x14ac:dyDescent="0.25">
      <c r="A962" s="309"/>
      <c r="B962" s="309"/>
      <c r="C962" s="309"/>
      <c r="D962" s="309"/>
      <c r="E962" s="309"/>
      <c r="F962" s="309"/>
      <c r="G962" s="309"/>
    </row>
    <row r="963" spans="1:7" ht="21" x14ac:dyDescent="0.25">
      <c r="A963" s="309"/>
      <c r="B963" s="309"/>
      <c r="C963" s="309"/>
      <c r="D963" s="309"/>
      <c r="E963" s="309"/>
      <c r="F963" s="309"/>
      <c r="G963" s="309"/>
    </row>
    <row r="964" spans="1:7" ht="21" x14ac:dyDescent="0.25">
      <c r="A964" s="309"/>
      <c r="B964" s="309"/>
      <c r="C964" s="309"/>
      <c r="D964" s="309"/>
      <c r="E964" s="309"/>
      <c r="F964" s="309"/>
      <c r="G964" s="309"/>
    </row>
    <row r="965" spans="1:7" ht="21" x14ac:dyDescent="0.25">
      <c r="A965" s="309"/>
      <c r="B965" s="309"/>
      <c r="C965" s="309"/>
      <c r="D965" s="309"/>
      <c r="E965" s="309"/>
      <c r="F965" s="309"/>
      <c r="G965" s="309"/>
    </row>
    <row r="966" spans="1:7" ht="21" x14ac:dyDescent="0.25">
      <c r="A966" s="309"/>
      <c r="B966" s="309"/>
      <c r="C966" s="309"/>
      <c r="D966" s="309"/>
      <c r="E966" s="309"/>
      <c r="F966" s="309"/>
      <c r="G966" s="309"/>
    </row>
    <row r="967" spans="1:7" ht="21" x14ac:dyDescent="0.25">
      <c r="A967" s="309"/>
      <c r="B967" s="309"/>
      <c r="C967" s="309"/>
      <c r="D967" s="309"/>
      <c r="E967" s="309"/>
      <c r="F967" s="309"/>
      <c r="G967" s="309"/>
    </row>
    <row r="968" spans="1:7" ht="21" x14ac:dyDescent="0.25">
      <c r="A968" s="309"/>
      <c r="B968" s="309"/>
      <c r="C968" s="309"/>
      <c r="D968" s="309"/>
      <c r="E968" s="309"/>
      <c r="F968" s="309"/>
      <c r="G968" s="309"/>
    </row>
    <row r="969" spans="1:7" ht="21" x14ac:dyDescent="0.25">
      <c r="A969" s="309"/>
      <c r="B969" s="309"/>
      <c r="C969" s="309"/>
      <c r="D969" s="309"/>
      <c r="E969" s="309"/>
      <c r="F969" s="309"/>
      <c r="G969" s="309"/>
    </row>
    <row r="970" spans="1:7" ht="21" x14ac:dyDescent="0.25">
      <c r="A970" s="309"/>
      <c r="B970" s="309"/>
      <c r="C970" s="309"/>
      <c r="D970" s="309"/>
      <c r="E970" s="309"/>
      <c r="F970" s="309"/>
      <c r="G970" s="309"/>
    </row>
    <row r="971" spans="1:7" ht="21" x14ac:dyDescent="0.25">
      <c r="A971" s="309"/>
      <c r="B971" s="309"/>
      <c r="C971" s="309"/>
      <c r="D971" s="309"/>
      <c r="E971" s="309"/>
      <c r="F971" s="309"/>
      <c r="G971" s="309"/>
    </row>
    <row r="972" spans="1:7" ht="21" x14ac:dyDescent="0.25">
      <c r="A972" s="309"/>
      <c r="B972" s="309"/>
      <c r="C972" s="309"/>
      <c r="D972" s="309"/>
      <c r="E972" s="309"/>
      <c r="F972" s="309"/>
      <c r="G972" s="309"/>
    </row>
    <row r="973" spans="1:7" ht="21" x14ac:dyDescent="0.25">
      <c r="A973" s="309"/>
      <c r="B973" s="309"/>
      <c r="C973" s="309"/>
      <c r="D973" s="309"/>
      <c r="E973" s="309"/>
      <c r="F973" s="309"/>
      <c r="G973" s="309"/>
    </row>
    <row r="974" spans="1:7" ht="21" x14ac:dyDescent="0.25">
      <c r="A974" s="309"/>
      <c r="B974" s="309"/>
      <c r="C974" s="309"/>
      <c r="D974" s="309"/>
      <c r="E974" s="309"/>
      <c r="F974" s="309"/>
      <c r="G974" s="309"/>
    </row>
    <row r="975" spans="1:7" ht="21" x14ac:dyDescent="0.25">
      <c r="A975" s="309"/>
      <c r="B975" s="309"/>
      <c r="C975" s="309"/>
      <c r="D975" s="309"/>
      <c r="E975" s="309"/>
      <c r="F975" s="309"/>
      <c r="G975" s="309"/>
    </row>
    <row r="976" spans="1:7" ht="21" x14ac:dyDescent="0.25">
      <c r="A976" s="309"/>
      <c r="B976" s="309"/>
      <c r="C976" s="309"/>
      <c r="D976" s="309"/>
      <c r="E976" s="309"/>
      <c r="F976" s="309"/>
      <c r="G976" s="309"/>
    </row>
    <row r="977" spans="1:7" ht="21" x14ac:dyDescent="0.25">
      <c r="A977" s="309"/>
      <c r="B977" s="309"/>
      <c r="C977" s="309"/>
      <c r="D977" s="309"/>
      <c r="E977" s="309"/>
      <c r="F977" s="309"/>
      <c r="G977" s="309"/>
    </row>
    <row r="978" spans="1:7" ht="21" x14ac:dyDescent="0.25">
      <c r="A978" s="309"/>
      <c r="B978" s="309"/>
      <c r="C978" s="309"/>
      <c r="D978" s="309"/>
      <c r="E978" s="309"/>
      <c r="F978" s="309"/>
      <c r="G978" s="309"/>
    </row>
    <row r="979" spans="1:7" ht="21" x14ac:dyDescent="0.25">
      <c r="A979" s="309"/>
      <c r="B979" s="309"/>
      <c r="C979" s="309"/>
      <c r="D979" s="309"/>
      <c r="E979" s="309"/>
      <c r="F979" s="309"/>
      <c r="G979" s="309"/>
    </row>
    <row r="980" spans="1:7" ht="21" x14ac:dyDescent="0.25">
      <c r="A980" s="309"/>
      <c r="B980" s="309"/>
      <c r="C980" s="309"/>
      <c r="D980" s="309"/>
      <c r="E980" s="309"/>
      <c r="F980" s="309"/>
      <c r="G980" s="309"/>
    </row>
    <row r="981" spans="1:7" ht="21" x14ac:dyDescent="0.25">
      <c r="A981" s="309"/>
      <c r="B981" s="309"/>
      <c r="C981" s="309"/>
      <c r="D981" s="309"/>
      <c r="E981" s="309"/>
      <c r="F981" s="309"/>
      <c r="G981" s="309"/>
    </row>
    <row r="982" spans="1:7" ht="21" x14ac:dyDescent="0.25">
      <c r="A982" s="309"/>
      <c r="B982" s="309"/>
      <c r="C982" s="309"/>
      <c r="D982" s="309"/>
      <c r="E982" s="309"/>
      <c r="F982" s="309"/>
      <c r="G982" s="309"/>
    </row>
    <row r="983" spans="1:7" ht="21" x14ac:dyDescent="0.25">
      <c r="A983" s="309"/>
      <c r="B983" s="309"/>
      <c r="C983" s="309"/>
      <c r="D983" s="309"/>
      <c r="E983" s="309"/>
      <c r="F983" s="309"/>
      <c r="G983" s="309"/>
    </row>
    <row r="984" spans="1:7" ht="21" x14ac:dyDescent="0.25">
      <c r="A984" s="309"/>
      <c r="B984" s="309"/>
      <c r="C984" s="309"/>
      <c r="D984" s="309"/>
      <c r="E984" s="309"/>
      <c r="F984" s="309"/>
      <c r="G984" s="309"/>
    </row>
    <row r="985" spans="1:7" ht="21" x14ac:dyDescent="0.25">
      <c r="A985" s="309"/>
      <c r="B985" s="309"/>
      <c r="C985" s="309"/>
      <c r="D985" s="309"/>
      <c r="E985" s="309"/>
      <c r="F985" s="309"/>
      <c r="G985" s="309"/>
    </row>
    <row r="986" spans="1:7" ht="21" x14ac:dyDescent="0.25">
      <c r="A986" s="309"/>
      <c r="B986" s="309"/>
      <c r="C986" s="309"/>
      <c r="D986" s="309"/>
      <c r="E986" s="309"/>
      <c r="F986" s="309"/>
      <c r="G986" s="309"/>
    </row>
    <row r="987" spans="1:7" ht="21" x14ac:dyDescent="0.25">
      <c r="A987" s="309"/>
      <c r="B987" s="309"/>
      <c r="C987" s="309"/>
      <c r="D987" s="309"/>
      <c r="E987" s="309"/>
      <c r="F987" s="309"/>
      <c r="G987" s="309"/>
    </row>
    <row r="988" spans="1:7" ht="21" x14ac:dyDescent="0.25">
      <c r="A988" s="309"/>
      <c r="B988" s="309"/>
      <c r="C988" s="309"/>
      <c r="D988" s="309"/>
      <c r="E988" s="309"/>
      <c r="F988" s="309"/>
      <c r="G988" s="309"/>
    </row>
    <row r="989" spans="1:7" ht="21" x14ac:dyDescent="0.25">
      <c r="A989" s="309"/>
      <c r="B989" s="309"/>
      <c r="C989" s="309"/>
      <c r="D989" s="309"/>
      <c r="E989" s="309"/>
      <c r="F989" s="309"/>
      <c r="G989" s="309"/>
    </row>
    <row r="990" spans="1:7" ht="21" x14ac:dyDescent="0.25">
      <c r="A990" s="309"/>
      <c r="B990" s="309"/>
      <c r="C990" s="309"/>
      <c r="D990" s="309"/>
      <c r="E990" s="309"/>
      <c r="F990" s="309"/>
      <c r="G990" s="309"/>
    </row>
    <row r="991" spans="1:7" ht="21" x14ac:dyDescent="0.25">
      <c r="A991" s="309"/>
      <c r="B991" s="309"/>
      <c r="C991" s="309"/>
      <c r="D991" s="309"/>
      <c r="E991" s="309"/>
      <c r="F991" s="309"/>
      <c r="G991" s="309"/>
    </row>
    <row r="992" spans="1:7" ht="21" x14ac:dyDescent="0.25">
      <c r="A992" s="309"/>
      <c r="B992" s="309"/>
      <c r="C992" s="309"/>
      <c r="D992" s="309"/>
      <c r="E992" s="309"/>
      <c r="F992" s="309"/>
      <c r="G992" s="309"/>
    </row>
    <row r="993" spans="1:7" ht="21" x14ac:dyDescent="0.25">
      <c r="A993" s="309"/>
      <c r="B993" s="309"/>
      <c r="C993" s="309"/>
      <c r="D993" s="309"/>
      <c r="E993" s="309"/>
      <c r="F993" s="309"/>
      <c r="G993" s="309"/>
    </row>
    <row r="994" spans="1:7" ht="21" x14ac:dyDescent="0.25">
      <c r="A994" s="309"/>
      <c r="B994" s="309"/>
      <c r="C994" s="309"/>
      <c r="D994" s="309"/>
      <c r="E994" s="309"/>
      <c r="F994" s="309"/>
      <c r="G994" s="309"/>
    </row>
    <row r="995" spans="1:7" ht="21" x14ac:dyDescent="0.25">
      <c r="A995" s="309"/>
      <c r="B995" s="309"/>
      <c r="C995" s="309"/>
      <c r="D995" s="309"/>
      <c r="E995" s="309"/>
      <c r="F995" s="309"/>
      <c r="G995" s="309"/>
    </row>
    <row r="996" spans="1:7" ht="21" x14ac:dyDescent="0.25">
      <c r="A996" s="309"/>
      <c r="B996" s="309"/>
      <c r="C996" s="309"/>
      <c r="D996" s="309"/>
      <c r="E996" s="309"/>
      <c r="F996" s="309"/>
      <c r="G996" s="309"/>
    </row>
    <row r="997" spans="1:7" ht="21" x14ac:dyDescent="0.25">
      <c r="A997" s="309"/>
      <c r="B997" s="309"/>
      <c r="C997" s="309"/>
      <c r="D997" s="309"/>
      <c r="E997" s="309"/>
      <c r="F997" s="309"/>
      <c r="G997" s="309"/>
    </row>
    <row r="998" spans="1:7" ht="21" x14ac:dyDescent="0.25">
      <c r="A998" s="309"/>
      <c r="B998" s="309"/>
      <c r="C998" s="309"/>
      <c r="D998" s="309"/>
      <c r="E998" s="309"/>
      <c r="F998" s="309"/>
      <c r="G998" s="309"/>
    </row>
    <row r="999" spans="1:7" ht="21" x14ac:dyDescent="0.25">
      <c r="A999" s="309"/>
      <c r="B999" s="309"/>
      <c r="C999" s="309"/>
      <c r="D999" s="309"/>
      <c r="E999" s="309"/>
      <c r="F999" s="309"/>
      <c r="G999" s="309"/>
    </row>
    <row r="1000" spans="1:7" ht="21" x14ac:dyDescent="0.25">
      <c r="A1000" s="309"/>
      <c r="B1000" s="309"/>
      <c r="C1000" s="309"/>
      <c r="D1000" s="309"/>
      <c r="E1000" s="309"/>
      <c r="F1000" s="309"/>
      <c r="G1000" s="309"/>
    </row>
  </sheetData>
  <mergeCells count="5">
    <mergeCell ref="A3:D3"/>
    <mergeCell ref="A39:D39"/>
    <mergeCell ref="A70:D70"/>
    <mergeCell ref="A121:D121"/>
    <mergeCell ref="A130:D130"/>
  </mergeCells>
  <conditionalFormatting sqref="B5:B34">
    <cfRule type="containsText" dxfId="2" priority="1" stopIfTrue="1" operator="containsText" text="&gt;">
      <formula>NOT(ISERROR(SEARCH(("&gt;"),(B5))))</formula>
    </cfRule>
  </conditionalFormatting>
  <conditionalFormatting sqref="B36">
    <cfRule type="containsText" dxfId="1" priority="2" stopIfTrue="1" operator="containsText" text="&gt;">
      <formula>NOT(ISERROR(SEARCH(("&gt;"),(B36))))</formula>
    </cfRule>
  </conditionalFormatting>
  <conditionalFormatting sqref="B59">
    <cfRule type="containsText" dxfId="0" priority="3" stopIfTrue="1" operator="containsText" text="&gt;">
      <formula>NOT(ISERROR(SEARCH(("&gt;"),(B59))))</formula>
    </cfRule>
  </conditionalFormatting>
  <pageMargins left="0.7" right="0.7" top="0.75" bottom="0.75" header="0" footer="0"/>
  <pageSetup paperSize="9" scale="3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baseColWidth="10" defaultColWidth="11.1640625" defaultRowHeight="15" customHeight="1" x14ac:dyDescent="0.2"/>
  <cols>
    <col min="1" max="1" width="11.6640625" customWidth="1"/>
    <col min="2" max="2" width="17" customWidth="1"/>
    <col min="3" max="3" width="19.1640625" customWidth="1"/>
    <col min="4" max="4" width="17.5" customWidth="1"/>
    <col min="5" max="5" width="39" customWidth="1"/>
    <col min="6" max="6" width="21.5" customWidth="1"/>
    <col min="7" max="7" width="27.6640625" customWidth="1"/>
    <col min="8" max="8" width="13" customWidth="1"/>
    <col min="9" max="9" width="6.6640625" customWidth="1"/>
    <col min="10" max="10" width="22.1640625" customWidth="1"/>
    <col min="11" max="11" width="25.1640625" customWidth="1"/>
    <col min="12" max="12" width="29.6640625" customWidth="1"/>
    <col min="13" max="26" width="11.1640625" customWidth="1"/>
  </cols>
  <sheetData>
    <row r="1" spans="1:9" ht="15.75" customHeight="1" x14ac:dyDescent="0.2">
      <c r="A1" s="398" t="s">
        <v>870</v>
      </c>
      <c r="B1" s="398" t="s">
        <v>871</v>
      </c>
      <c r="C1" s="398" t="s">
        <v>872</v>
      </c>
      <c r="D1" s="399" t="s">
        <v>873</v>
      </c>
      <c r="E1" s="398" t="s">
        <v>4</v>
      </c>
      <c r="F1" s="400" t="s">
        <v>874</v>
      </c>
      <c r="G1" s="400" t="s">
        <v>875</v>
      </c>
      <c r="H1" s="398" t="s">
        <v>876</v>
      </c>
      <c r="I1" s="401"/>
    </row>
    <row r="2" spans="1:9" ht="15.75" customHeight="1" x14ac:dyDescent="0.2">
      <c r="A2" s="311" t="s">
        <v>877</v>
      </c>
      <c r="B2" s="402">
        <v>45736</v>
      </c>
      <c r="C2" s="403">
        <v>0.625</v>
      </c>
      <c r="D2" s="404">
        <v>0.66666666666666663</v>
      </c>
      <c r="E2" s="311" t="s">
        <v>878</v>
      </c>
      <c r="F2" s="311" t="s">
        <v>879</v>
      </c>
      <c r="G2" s="311" t="s">
        <v>880</v>
      </c>
      <c r="H2" s="311" t="s">
        <v>881</v>
      </c>
      <c r="I2" s="392"/>
    </row>
    <row r="3" spans="1:9" ht="15.75" customHeight="1" x14ac:dyDescent="0.2">
      <c r="A3" s="311" t="s">
        <v>882</v>
      </c>
      <c r="B3" s="402">
        <v>45736</v>
      </c>
      <c r="C3" s="403">
        <v>0.77083333333333337</v>
      </c>
      <c r="D3" s="404">
        <v>0.8125</v>
      </c>
      <c r="E3" s="311" t="s">
        <v>878</v>
      </c>
      <c r="F3" s="311" t="s">
        <v>883</v>
      </c>
      <c r="G3" s="311" t="s">
        <v>884</v>
      </c>
      <c r="H3" s="311" t="s">
        <v>881</v>
      </c>
      <c r="I3" s="392"/>
    </row>
    <row r="4" spans="1:9" ht="15.75" customHeight="1" x14ac:dyDescent="0.2">
      <c r="A4" s="311" t="s">
        <v>5</v>
      </c>
      <c r="B4" s="402">
        <v>45739</v>
      </c>
      <c r="C4" s="403">
        <v>0.58333333333333337</v>
      </c>
      <c r="D4" s="404">
        <v>0.625</v>
      </c>
      <c r="E4" s="311" t="s">
        <v>878</v>
      </c>
      <c r="F4" s="311" t="s">
        <v>883</v>
      </c>
      <c r="G4" s="311" t="s">
        <v>879</v>
      </c>
      <c r="H4" s="311" t="s">
        <v>881</v>
      </c>
      <c r="I4" s="392"/>
    </row>
    <row r="5" spans="1:9" ht="15.75" customHeight="1" x14ac:dyDescent="0.2">
      <c r="A5" s="311" t="s">
        <v>20</v>
      </c>
      <c r="B5" s="402">
        <v>45739</v>
      </c>
      <c r="C5" s="403">
        <v>0.72916666666666663</v>
      </c>
      <c r="D5" s="404">
        <v>0.77083333333333337</v>
      </c>
      <c r="E5" s="311" t="s">
        <v>878</v>
      </c>
      <c r="F5" s="311" t="s">
        <v>884</v>
      </c>
      <c r="G5" s="311" t="s">
        <v>880</v>
      </c>
      <c r="H5" s="311" t="s">
        <v>881</v>
      </c>
      <c r="I5" s="392"/>
    </row>
    <row r="6" spans="1:9" ht="15.75" customHeight="1" x14ac:dyDescent="0.2">
      <c r="B6" s="405"/>
      <c r="D6" s="404"/>
      <c r="I6" s="392"/>
    </row>
    <row r="7" spans="1:9" ht="15.75" customHeight="1" x14ac:dyDescent="0.2">
      <c r="B7" s="405"/>
      <c r="D7" s="404"/>
      <c r="I7" s="392"/>
    </row>
    <row r="8" spans="1:9" ht="15.75" customHeight="1" x14ac:dyDescent="0.2">
      <c r="B8" s="405"/>
      <c r="D8" s="404"/>
      <c r="I8" s="392"/>
    </row>
    <row r="9" spans="1:9" ht="15.75" customHeight="1" x14ac:dyDescent="0.2">
      <c r="B9" s="405"/>
      <c r="D9" s="404"/>
      <c r="I9" s="392"/>
    </row>
    <row r="10" spans="1:9" ht="15.75" customHeight="1" x14ac:dyDescent="0.2">
      <c r="B10" s="405"/>
      <c r="D10" s="404"/>
      <c r="I10" s="392"/>
    </row>
    <row r="11" spans="1:9" ht="15.75" customHeight="1" x14ac:dyDescent="0.2">
      <c r="B11" s="405"/>
      <c r="D11" s="404"/>
      <c r="I11" s="392"/>
    </row>
    <row r="12" spans="1:9" ht="15.75" customHeight="1" x14ac:dyDescent="0.2">
      <c r="B12" s="405"/>
      <c r="D12" s="404"/>
      <c r="I12" s="392"/>
    </row>
    <row r="13" spans="1:9" ht="15.75" customHeight="1" x14ac:dyDescent="0.2">
      <c r="B13" s="405"/>
      <c r="D13" s="404"/>
      <c r="I13" s="392"/>
    </row>
    <row r="14" spans="1:9" ht="15.75" customHeight="1" x14ac:dyDescent="0.2">
      <c r="B14" s="405"/>
      <c r="D14" s="404"/>
      <c r="I14" s="392"/>
    </row>
    <row r="15" spans="1:9" ht="15.75" customHeight="1" x14ac:dyDescent="0.2">
      <c r="B15" s="405"/>
      <c r="D15" s="404"/>
      <c r="I15" s="392"/>
    </row>
    <row r="16" spans="1:9" ht="15.75" customHeight="1" x14ac:dyDescent="0.2">
      <c r="B16" s="405"/>
      <c r="D16" s="404"/>
      <c r="I16" s="392"/>
    </row>
    <row r="17" spans="2:9" ht="15.75" customHeight="1" x14ac:dyDescent="0.2">
      <c r="B17" s="405"/>
      <c r="D17" s="404"/>
      <c r="I17" s="392"/>
    </row>
    <row r="18" spans="2:9" ht="15.75" customHeight="1" x14ac:dyDescent="0.2">
      <c r="B18" s="405"/>
      <c r="D18" s="404"/>
      <c r="I18" s="392"/>
    </row>
    <row r="19" spans="2:9" ht="15.75" customHeight="1" x14ac:dyDescent="0.2">
      <c r="B19" s="405"/>
      <c r="D19" s="404"/>
      <c r="I19" s="392"/>
    </row>
    <row r="20" spans="2:9" ht="15.75" customHeight="1" x14ac:dyDescent="0.2">
      <c r="B20" s="405"/>
      <c r="D20" s="404"/>
      <c r="I20" s="392"/>
    </row>
    <row r="21" spans="2:9" ht="15.75" customHeight="1" x14ac:dyDescent="0.2">
      <c r="B21" s="405"/>
      <c r="D21" s="404"/>
      <c r="I21" s="392"/>
    </row>
    <row r="22" spans="2:9" ht="15.75" customHeight="1" x14ac:dyDescent="0.2">
      <c r="B22" s="405"/>
      <c r="D22" s="404"/>
      <c r="I22" s="392"/>
    </row>
    <row r="23" spans="2:9" ht="15.75" customHeight="1" x14ac:dyDescent="0.2">
      <c r="B23" s="405"/>
      <c r="D23" s="404"/>
      <c r="I23" s="392"/>
    </row>
    <row r="24" spans="2:9" ht="15.75" customHeight="1" x14ac:dyDescent="0.2">
      <c r="B24" s="405"/>
      <c r="D24" s="404"/>
      <c r="I24" s="392"/>
    </row>
    <row r="25" spans="2:9" ht="15.75" customHeight="1" x14ac:dyDescent="0.2">
      <c r="B25" s="405"/>
      <c r="D25" s="404"/>
      <c r="I25" s="392"/>
    </row>
    <row r="26" spans="2:9" ht="15.75" customHeight="1" x14ac:dyDescent="0.2">
      <c r="B26" s="405"/>
      <c r="D26" s="404"/>
      <c r="I26" s="392"/>
    </row>
    <row r="27" spans="2:9" ht="15.75" customHeight="1" x14ac:dyDescent="0.2">
      <c r="B27" s="405"/>
      <c r="D27" s="404"/>
      <c r="I27" s="392"/>
    </row>
    <row r="28" spans="2:9" ht="15.75" customHeight="1" x14ac:dyDescent="0.2">
      <c r="B28" s="405"/>
      <c r="D28" s="404"/>
      <c r="I28" s="392"/>
    </row>
    <row r="29" spans="2:9" ht="15.75" customHeight="1" x14ac:dyDescent="0.2">
      <c r="B29" s="405"/>
      <c r="D29" s="404"/>
      <c r="I29" s="392"/>
    </row>
    <row r="30" spans="2:9" ht="15.75" customHeight="1" x14ac:dyDescent="0.2">
      <c r="B30" s="405"/>
      <c r="D30" s="404"/>
      <c r="I30" s="392"/>
    </row>
    <row r="31" spans="2:9" ht="15.75" customHeight="1" x14ac:dyDescent="0.2">
      <c r="B31" s="405"/>
      <c r="D31" s="404"/>
      <c r="I31" s="392"/>
    </row>
    <row r="32" spans="2:9" ht="15.75" customHeight="1" x14ac:dyDescent="0.2">
      <c r="B32" s="405"/>
      <c r="D32" s="404"/>
      <c r="I32" s="392"/>
    </row>
    <row r="33" spans="2:9" ht="15.75" customHeight="1" x14ac:dyDescent="0.2">
      <c r="B33" s="405"/>
      <c r="D33" s="404"/>
      <c r="I33" s="392"/>
    </row>
    <row r="34" spans="2:9" ht="15.75" customHeight="1" x14ac:dyDescent="0.2">
      <c r="B34" s="405"/>
      <c r="D34" s="404"/>
      <c r="I34" s="392"/>
    </row>
    <row r="35" spans="2:9" ht="15.75" customHeight="1" x14ac:dyDescent="0.2">
      <c r="B35" s="405"/>
      <c r="D35" s="404"/>
      <c r="I35" s="392"/>
    </row>
    <row r="36" spans="2:9" ht="15.75" customHeight="1" x14ac:dyDescent="0.2">
      <c r="B36" s="405"/>
      <c r="D36" s="404"/>
      <c r="I36" s="392"/>
    </row>
    <row r="37" spans="2:9" ht="15.75" customHeight="1" x14ac:dyDescent="0.2">
      <c r="B37" s="405"/>
      <c r="D37" s="404"/>
      <c r="I37" s="392"/>
    </row>
    <row r="38" spans="2:9" ht="15.75" customHeight="1" x14ac:dyDescent="0.2">
      <c r="B38" s="405"/>
      <c r="D38" s="404"/>
      <c r="I38" s="392"/>
    </row>
    <row r="39" spans="2:9" ht="15.75" customHeight="1" x14ac:dyDescent="0.2">
      <c r="B39" s="405"/>
      <c r="D39" s="404"/>
      <c r="I39" s="392"/>
    </row>
    <row r="40" spans="2:9" ht="15.75" customHeight="1" x14ac:dyDescent="0.2">
      <c r="B40" s="405"/>
      <c r="D40" s="404"/>
      <c r="I40" s="392"/>
    </row>
    <row r="41" spans="2:9" ht="15.75" customHeight="1" x14ac:dyDescent="0.2">
      <c r="B41" s="405"/>
      <c r="D41" s="404"/>
      <c r="I41" s="392"/>
    </row>
    <row r="42" spans="2:9" ht="15.75" customHeight="1" x14ac:dyDescent="0.2">
      <c r="B42" s="405"/>
      <c r="D42" s="404"/>
      <c r="I42" s="392"/>
    </row>
    <row r="43" spans="2:9" ht="15.75" customHeight="1" x14ac:dyDescent="0.2">
      <c r="B43" s="405"/>
      <c r="D43" s="404"/>
      <c r="I43" s="392"/>
    </row>
    <row r="44" spans="2:9" ht="15.75" customHeight="1" x14ac:dyDescent="0.2">
      <c r="B44" s="405"/>
      <c r="D44" s="404"/>
      <c r="I44" s="392"/>
    </row>
    <row r="45" spans="2:9" ht="15.75" customHeight="1" x14ac:dyDescent="0.2">
      <c r="B45" s="405"/>
      <c r="D45" s="404"/>
      <c r="I45" s="392"/>
    </row>
    <row r="46" spans="2:9" ht="15.75" customHeight="1" x14ac:dyDescent="0.2">
      <c r="B46" s="405"/>
      <c r="D46" s="404"/>
      <c r="I46" s="392"/>
    </row>
    <row r="47" spans="2:9" ht="15.75" customHeight="1" x14ac:dyDescent="0.2">
      <c r="B47" s="405"/>
      <c r="D47" s="404"/>
      <c r="I47" s="392"/>
    </row>
    <row r="48" spans="2:9" ht="15.75" customHeight="1" x14ac:dyDescent="0.2">
      <c r="B48" s="405"/>
      <c r="D48" s="404"/>
      <c r="I48" s="392"/>
    </row>
    <row r="49" spans="2:9" ht="15.75" customHeight="1" x14ac:dyDescent="0.2">
      <c r="B49" s="405"/>
      <c r="D49" s="404"/>
      <c r="I49" s="392"/>
    </row>
    <row r="50" spans="2:9" ht="15.75" customHeight="1" x14ac:dyDescent="0.2">
      <c r="B50" s="405"/>
      <c r="D50" s="404"/>
      <c r="I50" s="392"/>
    </row>
    <row r="51" spans="2:9" ht="15.75" customHeight="1" x14ac:dyDescent="0.2">
      <c r="B51" s="405"/>
      <c r="D51" s="404"/>
      <c r="I51" s="392"/>
    </row>
    <row r="52" spans="2:9" ht="15.75" customHeight="1" x14ac:dyDescent="0.2">
      <c r="B52" s="405"/>
      <c r="D52" s="404"/>
      <c r="I52" s="392"/>
    </row>
    <row r="53" spans="2:9" ht="15.75" customHeight="1" x14ac:dyDescent="0.2">
      <c r="B53" s="405"/>
      <c r="D53" s="404"/>
      <c r="I53" s="392"/>
    </row>
    <row r="54" spans="2:9" ht="15.75" customHeight="1" x14ac:dyDescent="0.2">
      <c r="B54" s="405"/>
      <c r="D54" s="404"/>
      <c r="I54" s="392"/>
    </row>
    <row r="55" spans="2:9" ht="15.75" customHeight="1" x14ac:dyDescent="0.2">
      <c r="B55" s="405"/>
      <c r="D55" s="404"/>
      <c r="I55" s="392"/>
    </row>
    <row r="56" spans="2:9" ht="15.75" customHeight="1" x14ac:dyDescent="0.2">
      <c r="B56" s="405"/>
      <c r="D56" s="404"/>
      <c r="I56" s="392"/>
    </row>
    <row r="57" spans="2:9" ht="15.75" customHeight="1" x14ac:dyDescent="0.2">
      <c r="B57" s="405"/>
      <c r="D57" s="404"/>
      <c r="I57" s="392"/>
    </row>
    <row r="58" spans="2:9" ht="15.75" customHeight="1" x14ac:dyDescent="0.2">
      <c r="B58" s="405"/>
      <c r="D58" s="404"/>
      <c r="I58" s="392"/>
    </row>
    <row r="59" spans="2:9" ht="15.75" customHeight="1" x14ac:dyDescent="0.2">
      <c r="B59" s="405"/>
      <c r="D59" s="404"/>
      <c r="I59" s="392"/>
    </row>
    <row r="60" spans="2:9" ht="15.75" customHeight="1" x14ac:dyDescent="0.2">
      <c r="B60" s="405"/>
      <c r="D60" s="404"/>
      <c r="I60" s="392"/>
    </row>
    <row r="61" spans="2:9" ht="15.75" customHeight="1" x14ac:dyDescent="0.2">
      <c r="B61" s="405"/>
      <c r="D61" s="404"/>
      <c r="I61" s="392"/>
    </row>
    <row r="62" spans="2:9" ht="15.75" customHeight="1" x14ac:dyDescent="0.2">
      <c r="B62" s="405"/>
      <c r="D62" s="404"/>
      <c r="I62" s="392"/>
    </row>
    <row r="63" spans="2:9" ht="15.75" customHeight="1" x14ac:dyDescent="0.2">
      <c r="B63" s="405"/>
      <c r="D63" s="404"/>
      <c r="I63" s="392"/>
    </row>
    <row r="64" spans="2:9" ht="15.75" customHeight="1" x14ac:dyDescent="0.2">
      <c r="B64" s="405"/>
      <c r="D64" s="404"/>
      <c r="I64" s="392"/>
    </row>
    <row r="65" spans="2:9" ht="15.75" customHeight="1" x14ac:dyDescent="0.2">
      <c r="B65" s="405"/>
      <c r="D65" s="404"/>
      <c r="I65" s="392"/>
    </row>
    <row r="66" spans="2:9" ht="15.75" customHeight="1" x14ac:dyDescent="0.2">
      <c r="B66" s="405"/>
      <c r="D66" s="404"/>
      <c r="I66" s="392"/>
    </row>
    <row r="67" spans="2:9" ht="15.75" customHeight="1" x14ac:dyDescent="0.2">
      <c r="B67" s="405"/>
      <c r="D67" s="404"/>
      <c r="I67" s="392"/>
    </row>
    <row r="68" spans="2:9" ht="15.75" customHeight="1" x14ac:dyDescent="0.2">
      <c r="B68" s="405"/>
      <c r="D68" s="404"/>
      <c r="I68" s="392"/>
    </row>
    <row r="69" spans="2:9" ht="15.75" customHeight="1" x14ac:dyDescent="0.2">
      <c r="B69" s="405"/>
      <c r="D69" s="404"/>
      <c r="I69" s="392"/>
    </row>
    <row r="70" spans="2:9" ht="15.75" customHeight="1" x14ac:dyDescent="0.2">
      <c r="B70" s="405"/>
      <c r="D70" s="404"/>
      <c r="I70" s="392"/>
    </row>
    <row r="71" spans="2:9" ht="15.75" customHeight="1" x14ac:dyDescent="0.2">
      <c r="B71" s="405"/>
      <c r="D71" s="404"/>
      <c r="I71" s="392"/>
    </row>
    <row r="72" spans="2:9" ht="15.75" customHeight="1" x14ac:dyDescent="0.2">
      <c r="B72" s="405"/>
      <c r="D72" s="404"/>
      <c r="I72" s="392"/>
    </row>
    <row r="73" spans="2:9" ht="15.75" customHeight="1" x14ac:dyDescent="0.2">
      <c r="B73" s="405"/>
      <c r="D73" s="404"/>
      <c r="I73" s="392"/>
    </row>
    <row r="74" spans="2:9" ht="15.75" customHeight="1" x14ac:dyDescent="0.2">
      <c r="B74" s="405"/>
      <c r="D74" s="404"/>
      <c r="I74" s="392"/>
    </row>
    <row r="75" spans="2:9" ht="15.75" customHeight="1" x14ac:dyDescent="0.2">
      <c r="B75" s="405"/>
      <c r="D75" s="404"/>
      <c r="I75" s="392"/>
    </row>
    <row r="76" spans="2:9" ht="15.75" customHeight="1" x14ac:dyDescent="0.2">
      <c r="B76" s="405"/>
      <c r="D76" s="404"/>
      <c r="I76" s="392"/>
    </row>
    <row r="77" spans="2:9" ht="15.75" customHeight="1" x14ac:dyDescent="0.2">
      <c r="B77" s="405"/>
      <c r="D77" s="404"/>
      <c r="I77" s="392"/>
    </row>
    <row r="78" spans="2:9" ht="15.75" customHeight="1" x14ac:dyDescent="0.2">
      <c r="B78" s="405"/>
      <c r="D78" s="404"/>
      <c r="I78" s="392"/>
    </row>
    <row r="79" spans="2:9" ht="15.75" customHeight="1" x14ac:dyDescent="0.2">
      <c r="B79" s="405"/>
      <c r="D79" s="404"/>
      <c r="I79" s="392"/>
    </row>
    <row r="80" spans="2:9" ht="15.75" customHeight="1" x14ac:dyDescent="0.2">
      <c r="B80" s="405"/>
      <c r="D80" s="404"/>
      <c r="I80" s="392"/>
    </row>
    <row r="81" spans="2:9" ht="15.75" customHeight="1" x14ac:dyDescent="0.2">
      <c r="B81" s="405"/>
      <c r="D81" s="404"/>
      <c r="I81" s="392"/>
    </row>
    <row r="82" spans="2:9" ht="15.75" customHeight="1" x14ac:dyDescent="0.2">
      <c r="B82" s="405"/>
      <c r="D82" s="404"/>
      <c r="I82" s="392"/>
    </row>
    <row r="83" spans="2:9" ht="15.75" customHeight="1" x14ac:dyDescent="0.2">
      <c r="B83" s="405"/>
      <c r="D83" s="404"/>
      <c r="I83" s="392"/>
    </row>
    <row r="84" spans="2:9" ht="15.75" customHeight="1" x14ac:dyDescent="0.2">
      <c r="B84" s="405"/>
      <c r="D84" s="404"/>
      <c r="I84" s="392"/>
    </row>
    <row r="85" spans="2:9" ht="15.75" customHeight="1" x14ac:dyDescent="0.2">
      <c r="B85" s="405"/>
      <c r="D85" s="404"/>
      <c r="I85" s="392"/>
    </row>
    <row r="86" spans="2:9" ht="15.75" customHeight="1" x14ac:dyDescent="0.2">
      <c r="B86" s="405"/>
      <c r="D86" s="404"/>
      <c r="I86" s="392"/>
    </row>
    <row r="87" spans="2:9" ht="15.75" customHeight="1" x14ac:dyDescent="0.2">
      <c r="B87" s="405"/>
      <c r="D87" s="404"/>
      <c r="I87" s="392"/>
    </row>
    <row r="88" spans="2:9" ht="15.75" customHeight="1" x14ac:dyDescent="0.2">
      <c r="B88" s="405"/>
      <c r="D88" s="404"/>
      <c r="I88" s="392"/>
    </row>
    <row r="89" spans="2:9" ht="15.75" customHeight="1" x14ac:dyDescent="0.2">
      <c r="B89" s="405"/>
      <c r="D89" s="404"/>
      <c r="I89" s="392"/>
    </row>
    <row r="90" spans="2:9" ht="15.75" customHeight="1" x14ac:dyDescent="0.2">
      <c r="B90" s="405"/>
      <c r="D90" s="404"/>
      <c r="I90" s="392"/>
    </row>
    <row r="91" spans="2:9" ht="15.75" customHeight="1" x14ac:dyDescent="0.2">
      <c r="B91" s="405"/>
      <c r="D91" s="404"/>
      <c r="I91" s="392"/>
    </row>
    <row r="92" spans="2:9" ht="15.75" customHeight="1" x14ac:dyDescent="0.2">
      <c r="B92" s="405"/>
      <c r="D92" s="404"/>
      <c r="I92" s="392"/>
    </row>
    <row r="93" spans="2:9" ht="15.75" customHeight="1" x14ac:dyDescent="0.2">
      <c r="B93" s="405"/>
      <c r="D93" s="404"/>
      <c r="I93" s="392"/>
    </row>
    <row r="94" spans="2:9" ht="15.75" customHeight="1" x14ac:dyDescent="0.2">
      <c r="B94" s="405"/>
      <c r="D94" s="404"/>
      <c r="I94" s="392"/>
    </row>
    <row r="95" spans="2:9" ht="15.75" customHeight="1" x14ac:dyDescent="0.2">
      <c r="B95" s="405"/>
      <c r="D95" s="404"/>
      <c r="I95" s="392"/>
    </row>
    <row r="96" spans="2:9" ht="15.75" customHeight="1" x14ac:dyDescent="0.2">
      <c r="B96" s="405"/>
      <c r="D96" s="404"/>
      <c r="I96" s="392"/>
    </row>
    <row r="97" spans="2:9" ht="15.75" customHeight="1" x14ac:dyDescent="0.2">
      <c r="B97" s="405"/>
      <c r="D97" s="404"/>
      <c r="I97" s="392"/>
    </row>
    <row r="98" spans="2:9" ht="15.75" customHeight="1" x14ac:dyDescent="0.2">
      <c r="B98" s="405"/>
      <c r="D98" s="404"/>
      <c r="I98" s="392"/>
    </row>
    <row r="99" spans="2:9" ht="15.75" customHeight="1" x14ac:dyDescent="0.2">
      <c r="B99" s="405"/>
      <c r="D99" s="404"/>
      <c r="I99" s="392"/>
    </row>
    <row r="100" spans="2:9" ht="15.75" customHeight="1" x14ac:dyDescent="0.2">
      <c r="B100" s="405"/>
      <c r="D100" s="404"/>
      <c r="I100" s="392"/>
    </row>
    <row r="101" spans="2:9" ht="15.75" customHeight="1" x14ac:dyDescent="0.2">
      <c r="B101" s="405"/>
      <c r="D101" s="404"/>
      <c r="I101" s="392"/>
    </row>
    <row r="102" spans="2:9" ht="15.75" customHeight="1" x14ac:dyDescent="0.2">
      <c r="B102" s="405"/>
      <c r="D102" s="404"/>
      <c r="I102" s="392"/>
    </row>
    <row r="103" spans="2:9" ht="15.75" customHeight="1" x14ac:dyDescent="0.2">
      <c r="B103" s="405"/>
      <c r="D103" s="404"/>
      <c r="I103" s="392"/>
    </row>
    <row r="104" spans="2:9" ht="15.75" customHeight="1" x14ac:dyDescent="0.2">
      <c r="B104" s="405"/>
      <c r="D104" s="404"/>
      <c r="I104" s="392"/>
    </row>
    <row r="105" spans="2:9" ht="15.75" customHeight="1" x14ac:dyDescent="0.2">
      <c r="B105" s="405"/>
      <c r="D105" s="404"/>
      <c r="I105" s="392"/>
    </row>
    <row r="106" spans="2:9" ht="15.75" customHeight="1" x14ac:dyDescent="0.2">
      <c r="B106" s="405"/>
      <c r="D106" s="404"/>
      <c r="I106" s="392"/>
    </row>
    <row r="107" spans="2:9" ht="15.75" customHeight="1" x14ac:dyDescent="0.2">
      <c r="B107" s="405"/>
      <c r="D107" s="404"/>
      <c r="I107" s="392"/>
    </row>
    <row r="108" spans="2:9" ht="15.75" customHeight="1" x14ac:dyDescent="0.2">
      <c r="B108" s="405"/>
      <c r="D108" s="404"/>
      <c r="I108" s="392"/>
    </row>
    <row r="109" spans="2:9" ht="15.75" customHeight="1" x14ac:dyDescent="0.2">
      <c r="B109" s="405"/>
      <c r="D109" s="404"/>
      <c r="I109" s="392"/>
    </row>
    <row r="110" spans="2:9" ht="15.75" customHeight="1" x14ac:dyDescent="0.2">
      <c r="B110" s="405"/>
      <c r="D110" s="404"/>
      <c r="I110" s="392"/>
    </row>
    <row r="111" spans="2:9" ht="15.75" customHeight="1" x14ac:dyDescent="0.2">
      <c r="B111" s="405"/>
      <c r="D111" s="404"/>
      <c r="I111" s="392"/>
    </row>
    <row r="112" spans="2:9" ht="15.75" customHeight="1" x14ac:dyDescent="0.2">
      <c r="B112" s="405"/>
      <c r="D112" s="404"/>
      <c r="I112" s="392"/>
    </row>
    <row r="113" spans="2:9" ht="15.75" customHeight="1" x14ac:dyDescent="0.2">
      <c r="B113" s="405"/>
      <c r="D113" s="404"/>
      <c r="I113" s="392"/>
    </row>
    <row r="114" spans="2:9" ht="15.75" customHeight="1" x14ac:dyDescent="0.2">
      <c r="B114" s="405"/>
      <c r="D114" s="404"/>
      <c r="I114" s="392"/>
    </row>
    <row r="115" spans="2:9" ht="15.75" customHeight="1" x14ac:dyDescent="0.2">
      <c r="B115" s="405"/>
      <c r="D115" s="404"/>
      <c r="I115" s="392"/>
    </row>
    <row r="116" spans="2:9" ht="15.75" customHeight="1" x14ac:dyDescent="0.2">
      <c r="B116" s="405"/>
      <c r="D116" s="404"/>
      <c r="I116" s="392"/>
    </row>
    <row r="117" spans="2:9" ht="15.75" customHeight="1" x14ac:dyDescent="0.2">
      <c r="B117" s="405"/>
      <c r="D117" s="404"/>
      <c r="I117" s="392"/>
    </row>
    <row r="118" spans="2:9" ht="15.75" customHeight="1" x14ac:dyDescent="0.2">
      <c r="B118" s="405"/>
      <c r="D118" s="404"/>
      <c r="I118" s="392"/>
    </row>
    <row r="119" spans="2:9" ht="15.75" customHeight="1" x14ac:dyDescent="0.2">
      <c r="B119" s="405"/>
      <c r="D119" s="404"/>
      <c r="I119" s="392"/>
    </row>
    <row r="120" spans="2:9" ht="15.75" customHeight="1" x14ac:dyDescent="0.2">
      <c r="B120" s="405"/>
      <c r="D120" s="404"/>
      <c r="I120" s="392"/>
    </row>
    <row r="121" spans="2:9" ht="15.75" customHeight="1" x14ac:dyDescent="0.2">
      <c r="B121" s="405"/>
      <c r="D121" s="404"/>
      <c r="I121" s="392"/>
    </row>
    <row r="122" spans="2:9" ht="15.75" customHeight="1" x14ac:dyDescent="0.2">
      <c r="B122" s="405"/>
      <c r="D122" s="404"/>
      <c r="I122" s="392"/>
    </row>
    <row r="123" spans="2:9" ht="15.75" customHeight="1" x14ac:dyDescent="0.2">
      <c r="B123" s="405"/>
      <c r="D123" s="404"/>
      <c r="I123" s="392"/>
    </row>
    <row r="124" spans="2:9" ht="15.75" customHeight="1" x14ac:dyDescent="0.2">
      <c r="B124" s="405"/>
      <c r="D124" s="404"/>
      <c r="I124" s="392"/>
    </row>
    <row r="125" spans="2:9" ht="15.75" customHeight="1" x14ac:dyDescent="0.2">
      <c r="B125" s="405"/>
      <c r="D125" s="404"/>
      <c r="I125" s="392"/>
    </row>
    <row r="126" spans="2:9" ht="15.75" customHeight="1" x14ac:dyDescent="0.2">
      <c r="B126" s="405"/>
      <c r="D126" s="404"/>
      <c r="I126" s="392"/>
    </row>
    <row r="127" spans="2:9" ht="15.75" customHeight="1" x14ac:dyDescent="0.2">
      <c r="B127" s="405"/>
      <c r="D127" s="404"/>
      <c r="I127" s="392"/>
    </row>
    <row r="128" spans="2:9" ht="15.75" customHeight="1" x14ac:dyDescent="0.2">
      <c r="B128" s="405"/>
      <c r="D128" s="404"/>
      <c r="I128" s="392"/>
    </row>
    <row r="129" spans="2:9" ht="15.75" customHeight="1" x14ac:dyDescent="0.2">
      <c r="B129" s="405"/>
      <c r="D129" s="404"/>
      <c r="I129" s="392"/>
    </row>
    <row r="130" spans="2:9" ht="15.75" customHeight="1" x14ac:dyDescent="0.2">
      <c r="B130" s="405"/>
      <c r="D130" s="404"/>
      <c r="I130" s="392"/>
    </row>
    <row r="131" spans="2:9" ht="15.75" customHeight="1" x14ac:dyDescent="0.2">
      <c r="B131" s="405"/>
      <c r="D131" s="404"/>
      <c r="I131" s="392"/>
    </row>
    <row r="132" spans="2:9" ht="15.75" customHeight="1" x14ac:dyDescent="0.2">
      <c r="B132" s="405"/>
      <c r="D132" s="404"/>
      <c r="I132" s="392"/>
    </row>
    <row r="133" spans="2:9" ht="15.75" customHeight="1" x14ac:dyDescent="0.2">
      <c r="B133" s="405"/>
      <c r="D133" s="404"/>
      <c r="I133" s="392"/>
    </row>
    <row r="134" spans="2:9" ht="15.75" customHeight="1" x14ac:dyDescent="0.2">
      <c r="B134" s="405"/>
      <c r="D134" s="404"/>
      <c r="I134" s="392"/>
    </row>
    <row r="135" spans="2:9" ht="15.75" customHeight="1" x14ac:dyDescent="0.2">
      <c r="B135" s="405"/>
      <c r="D135" s="404"/>
      <c r="I135" s="392"/>
    </row>
    <row r="136" spans="2:9" ht="15.75" customHeight="1" x14ac:dyDescent="0.2">
      <c r="B136" s="405"/>
      <c r="D136" s="404"/>
      <c r="I136" s="392"/>
    </row>
    <row r="137" spans="2:9" ht="15.75" customHeight="1" x14ac:dyDescent="0.2">
      <c r="B137" s="405"/>
      <c r="D137" s="404"/>
      <c r="I137" s="392"/>
    </row>
    <row r="138" spans="2:9" ht="15.75" customHeight="1" x14ac:dyDescent="0.2">
      <c r="B138" s="405"/>
      <c r="D138" s="404"/>
      <c r="I138" s="392"/>
    </row>
    <row r="139" spans="2:9" ht="15.75" customHeight="1" x14ac:dyDescent="0.2">
      <c r="B139" s="405"/>
      <c r="D139" s="404"/>
      <c r="I139" s="392"/>
    </row>
    <row r="140" spans="2:9" ht="15.75" customHeight="1" x14ac:dyDescent="0.2">
      <c r="B140" s="405"/>
      <c r="D140" s="404"/>
      <c r="I140" s="392"/>
    </row>
    <row r="141" spans="2:9" ht="15.75" customHeight="1" x14ac:dyDescent="0.2">
      <c r="B141" s="405"/>
      <c r="D141" s="404"/>
      <c r="I141" s="392"/>
    </row>
    <row r="142" spans="2:9" ht="15.75" customHeight="1" x14ac:dyDescent="0.2">
      <c r="B142" s="405"/>
      <c r="D142" s="404"/>
      <c r="I142" s="392"/>
    </row>
    <row r="143" spans="2:9" ht="15.75" customHeight="1" x14ac:dyDescent="0.2">
      <c r="B143" s="405"/>
      <c r="D143" s="404"/>
      <c r="I143" s="392"/>
    </row>
    <row r="144" spans="2:9" ht="15.75" customHeight="1" x14ac:dyDescent="0.2">
      <c r="B144" s="405"/>
      <c r="D144" s="404"/>
      <c r="I144" s="392"/>
    </row>
    <row r="145" spans="2:9" ht="15.75" customHeight="1" x14ac:dyDescent="0.2">
      <c r="B145" s="405"/>
      <c r="D145" s="404"/>
      <c r="I145" s="392"/>
    </row>
    <row r="146" spans="2:9" ht="15.75" customHeight="1" x14ac:dyDescent="0.2">
      <c r="B146" s="405"/>
      <c r="D146" s="404"/>
      <c r="I146" s="392"/>
    </row>
    <row r="147" spans="2:9" ht="15.75" customHeight="1" x14ac:dyDescent="0.2">
      <c r="B147" s="405"/>
      <c r="D147" s="404"/>
      <c r="I147" s="392"/>
    </row>
    <row r="148" spans="2:9" ht="15.75" customHeight="1" x14ac:dyDescent="0.2">
      <c r="B148" s="405"/>
      <c r="D148" s="404"/>
      <c r="I148" s="392"/>
    </row>
    <row r="149" spans="2:9" ht="15.75" customHeight="1" x14ac:dyDescent="0.2">
      <c r="B149" s="405"/>
      <c r="D149" s="404"/>
      <c r="I149" s="392"/>
    </row>
    <row r="150" spans="2:9" ht="15.75" customHeight="1" x14ac:dyDescent="0.2">
      <c r="B150" s="405"/>
      <c r="D150" s="404"/>
      <c r="I150" s="392"/>
    </row>
    <row r="151" spans="2:9" ht="15.75" customHeight="1" x14ac:dyDescent="0.2">
      <c r="B151" s="405"/>
      <c r="D151" s="404"/>
      <c r="I151" s="392"/>
    </row>
    <row r="152" spans="2:9" ht="15.75" customHeight="1" x14ac:dyDescent="0.2">
      <c r="B152" s="405"/>
      <c r="D152" s="404"/>
      <c r="I152" s="392"/>
    </row>
    <row r="153" spans="2:9" ht="15.75" customHeight="1" x14ac:dyDescent="0.2">
      <c r="B153" s="405"/>
      <c r="D153" s="404"/>
      <c r="I153" s="392"/>
    </row>
    <row r="154" spans="2:9" ht="15.75" customHeight="1" x14ac:dyDescent="0.2">
      <c r="B154" s="405"/>
      <c r="D154" s="404"/>
      <c r="I154" s="392"/>
    </row>
    <row r="155" spans="2:9" ht="15.75" customHeight="1" x14ac:dyDescent="0.2">
      <c r="B155" s="405"/>
      <c r="D155" s="404"/>
      <c r="I155" s="392"/>
    </row>
    <row r="156" spans="2:9" ht="15.75" customHeight="1" x14ac:dyDescent="0.2">
      <c r="B156" s="405"/>
      <c r="D156" s="404"/>
      <c r="I156" s="392"/>
    </row>
    <row r="157" spans="2:9" ht="15.75" customHeight="1" x14ac:dyDescent="0.2">
      <c r="B157" s="405"/>
      <c r="D157" s="404"/>
      <c r="I157" s="392"/>
    </row>
    <row r="158" spans="2:9" ht="15.75" customHeight="1" x14ac:dyDescent="0.2">
      <c r="B158" s="405"/>
      <c r="D158" s="404"/>
      <c r="I158" s="392"/>
    </row>
    <row r="159" spans="2:9" ht="15.75" customHeight="1" x14ac:dyDescent="0.2">
      <c r="B159" s="405"/>
      <c r="D159" s="404"/>
      <c r="I159" s="392"/>
    </row>
    <row r="160" spans="2:9" ht="15.75" customHeight="1" x14ac:dyDescent="0.2">
      <c r="B160" s="405"/>
      <c r="D160" s="404"/>
      <c r="I160" s="392"/>
    </row>
    <row r="161" spans="2:9" ht="15.75" customHeight="1" x14ac:dyDescent="0.2">
      <c r="B161" s="405"/>
      <c r="D161" s="404"/>
      <c r="I161" s="392"/>
    </row>
    <row r="162" spans="2:9" ht="15.75" customHeight="1" x14ac:dyDescent="0.2">
      <c r="B162" s="405"/>
      <c r="D162" s="404"/>
      <c r="I162" s="392"/>
    </row>
    <row r="163" spans="2:9" ht="15.75" customHeight="1" x14ac:dyDescent="0.2">
      <c r="B163" s="405"/>
      <c r="D163" s="404"/>
      <c r="I163" s="392"/>
    </row>
    <row r="164" spans="2:9" ht="15.75" customHeight="1" x14ac:dyDescent="0.2">
      <c r="B164" s="405"/>
      <c r="D164" s="404"/>
      <c r="I164" s="392"/>
    </row>
    <row r="165" spans="2:9" ht="15.75" customHeight="1" x14ac:dyDescent="0.2">
      <c r="B165" s="405"/>
      <c r="D165" s="404"/>
      <c r="I165" s="392"/>
    </row>
    <row r="166" spans="2:9" ht="15.75" customHeight="1" x14ac:dyDescent="0.2">
      <c r="B166" s="405"/>
      <c r="D166" s="404"/>
      <c r="I166" s="392"/>
    </row>
    <row r="167" spans="2:9" ht="15.75" customHeight="1" x14ac:dyDescent="0.2">
      <c r="B167" s="405"/>
      <c r="D167" s="404"/>
      <c r="I167" s="392"/>
    </row>
    <row r="168" spans="2:9" ht="15.75" customHeight="1" x14ac:dyDescent="0.2">
      <c r="B168" s="405"/>
      <c r="D168" s="404"/>
      <c r="I168" s="392"/>
    </row>
    <row r="169" spans="2:9" ht="15.75" customHeight="1" x14ac:dyDescent="0.2">
      <c r="B169" s="405"/>
      <c r="D169" s="404"/>
      <c r="I169" s="392"/>
    </row>
    <row r="170" spans="2:9" ht="15.75" customHeight="1" x14ac:dyDescent="0.2">
      <c r="B170" s="405"/>
      <c r="D170" s="404"/>
      <c r="I170" s="392"/>
    </row>
    <row r="171" spans="2:9" ht="15.75" customHeight="1" x14ac:dyDescent="0.2">
      <c r="B171" s="405"/>
      <c r="D171" s="404"/>
      <c r="I171" s="392"/>
    </row>
    <row r="172" spans="2:9" ht="15.75" customHeight="1" x14ac:dyDescent="0.2">
      <c r="B172" s="405"/>
      <c r="D172" s="404"/>
      <c r="I172" s="392"/>
    </row>
    <row r="173" spans="2:9" ht="15.75" customHeight="1" x14ac:dyDescent="0.2">
      <c r="B173" s="405"/>
      <c r="D173" s="404"/>
      <c r="I173" s="392"/>
    </row>
    <row r="174" spans="2:9" ht="15.75" customHeight="1" x14ac:dyDescent="0.2">
      <c r="B174" s="405"/>
      <c r="D174" s="404"/>
      <c r="I174" s="392"/>
    </row>
    <row r="175" spans="2:9" ht="15.75" customHeight="1" x14ac:dyDescent="0.2">
      <c r="B175" s="405"/>
      <c r="D175" s="404"/>
      <c r="I175" s="392"/>
    </row>
    <row r="176" spans="2:9" ht="15.75" customHeight="1" x14ac:dyDescent="0.2">
      <c r="B176" s="405"/>
      <c r="D176" s="404"/>
      <c r="I176" s="392"/>
    </row>
    <row r="177" spans="2:9" ht="15.75" customHeight="1" x14ac:dyDescent="0.2">
      <c r="B177" s="405"/>
      <c r="D177" s="404"/>
      <c r="I177" s="392"/>
    </row>
    <row r="178" spans="2:9" ht="15.75" customHeight="1" x14ac:dyDescent="0.2">
      <c r="B178" s="405"/>
      <c r="D178" s="404"/>
      <c r="I178" s="392"/>
    </row>
    <row r="179" spans="2:9" ht="15.75" customHeight="1" x14ac:dyDescent="0.2">
      <c r="B179" s="405"/>
      <c r="D179" s="404"/>
      <c r="I179" s="392"/>
    </row>
    <row r="180" spans="2:9" ht="15.75" customHeight="1" x14ac:dyDescent="0.2">
      <c r="B180" s="405"/>
      <c r="D180" s="404"/>
      <c r="I180" s="392"/>
    </row>
    <row r="181" spans="2:9" ht="15.75" customHeight="1" x14ac:dyDescent="0.2">
      <c r="B181" s="405"/>
      <c r="D181" s="404"/>
      <c r="I181" s="392"/>
    </row>
    <row r="182" spans="2:9" ht="15.75" customHeight="1" x14ac:dyDescent="0.2">
      <c r="B182" s="405"/>
      <c r="D182" s="404"/>
      <c r="I182" s="392"/>
    </row>
    <row r="183" spans="2:9" ht="15.75" customHeight="1" x14ac:dyDescent="0.2">
      <c r="B183" s="405"/>
      <c r="D183" s="404"/>
      <c r="I183" s="392"/>
    </row>
    <row r="184" spans="2:9" ht="15.75" customHeight="1" x14ac:dyDescent="0.2">
      <c r="B184" s="405"/>
      <c r="D184" s="404"/>
      <c r="I184" s="392"/>
    </row>
    <row r="185" spans="2:9" ht="15.75" customHeight="1" x14ac:dyDescent="0.2">
      <c r="B185" s="405"/>
      <c r="D185" s="404"/>
      <c r="I185" s="392"/>
    </row>
    <row r="186" spans="2:9" ht="15.75" customHeight="1" x14ac:dyDescent="0.2">
      <c r="B186" s="405"/>
      <c r="D186" s="404"/>
      <c r="I186" s="392"/>
    </row>
    <row r="187" spans="2:9" ht="15.75" customHeight="1" x14ac:dyDescent="0.2">
      <c r="B187" s="405"/>
      <c r="D187" s="404"/>
      <c r="I187" s="392"/>
    </row>
    <row r="188" spans="2:9" ht="15.75" customHeight="1" x14ac:dyDescent="0.2">
      <c r="B188" s="405"/>
      <c r="D188" s="404"/>
      <c r="I188" s="392"/>
    </row>
    <row r="189" spans="2:9" ht="15.75" customHeight="1" x14ac:dyDescent="0.2">
      <c r="B189" s="405"/>
      <c r="D189" s="404"/>
      <c r="I189" s="392"/>
    </row>
    <row r="190" spans="2:9" ht="15.75" customHeight="1" x14ac:dyDescent="0.2">
      <c r="B190" s="405"/>
      <c r="D190" s="404"/>
      <c r="I190" s="392"/>
    </row>
    <row r="191" spans="2:9" ht="15.75" customHeight="1" x14ac:dyDescent="0.2">
      <c r="B191" s="405"/>
      <c r="D191" s="404"/>
      <c r="I191" s="392"/>
    </row>
    <row r="192" spans="2:9" ht="15.75" customHeight="1" x14ac:dyDescent="0.2">
      <c r="B192" s="405"/>
      <c r="D192" s="404"/>
      <c r="I192" s="392"/>
    </row>
    <row r="193" spans="2:9" ht="15.75" customHeight="1" x14ac:dyDescent="0.2">
      <c r="B193" s="405"/>
      <c r="D193" s="404"/>
      <c r="I193" s="392"/>
    </row>
    <row r="194" spans="2:9" ht="15.75" customHeight="1" x14ac:dyDescent="0.2">
      <c r="B194" s="405"/>
      <c r="D194" s="404"/>
      <c r="I194" s="392"/>
    </row>
    <row r="195" spans="2:9" ht="15.75" customHeight="1" x14ac:dyDescent="0.2">
      <c r="B195" s="405"/>
      <c r="D195" s="404"/>
      <c r="I195" s="392"/>
    </row>
    <row r="196" spans="2:9" ht="15.75" customHeight="1" x14ac:dyDescent="0.2">
      <c r="B196" s="405"/>
      <c r="D196" s="404"/>
      <c r="I196" s="392"/>
    </row>
    <row r="197" spans="2:9" ht="15.75" customHeight="1" x14ac:dyDescent="0.2">
      <c r="B197" s="405"/>
      <c r="D197" s="404"/>
      <c r="I197" s="392"/>
    </row>
    <row r="198" spans="2:9" ht="15.75" customHeight="1" x14ac:dyDescent="0.2">
      <c r="B198" s="405"/>
      <c r="D198" s="404"/>
      <c r="I198" s="392"/>
    </row>
    <row r="199" spans="2:9" ht="15.75" customHeight="1" x14ac:dyDescent="0.2">
      <c r="B199" s="405"/>
      <c r="D199" s="404"/>
      <c r="I199" s="392"/>
    </row>
    <row r="200" spans="2:9" ht="15.75" customHeight="1" x14ac:dyDescent="0.2">
      <c r="B200" s="405"/>
      <c r="D200" s="404"/>
      <c r="I200" s="392"/>
    </row>
    <row r="201" spans="2:9" ht="15.75" customHeight="1" x14ac:dyDescent="0.2">
      <c r="B201" s="405"/>
      <c r="D201" s="404"/>
      <c r="I201" s="392"/>
    </row>
    <row r="202" spans="2:9" ht="15.75" customHeight="1" x14ac:dyDescent="0.2">
      <c r="B202" s="405"/>
      <c r="D202" s="404"/>
      <c r="I202" s="392"/>
    </row>
    <row r="203" spans="2:9" ht="15.75" customHeight="1" x14ac:dyDescent="0.2">
      <c r="B203" s="405"/>
      <c r="D203" s="404"/>
      <c r="I203" s="392"/>
    </row>
    <row r="204" spans="2:9" ht="15.75" customHeight="1" x14ac:dyDescent="0.2">
      <c r="B204" s="405"/>
      <c r="D204" s="404"/>
      <c r="I204" s="392"/>
    </row>
    <row r="205" spans="2:9" ht="15.75" customHeight="1" x14ac:dyDescent="0.2">
      <c r="B205" s="405"/>
      <c r="D205" s="404"/>
      <c r="I205" s="392"/>
    </row>
    <row r="206" spans="2:9" ht="15.75" customHeight="1" x14ac:dyDescent="0.2">
      <c r="B206" s="405"/>
      <c r="D206" s="404"/>
      <c r="I206" s="392"/>
    </row>
    <row r="207" spans="2:9" ht="15.75" customHeight="1" x14ac:dyDescent="0.2">
      <c r="B207" s="405"/>
      <c r="D207" s="404"/>
      <c r="I207" s="392"/>
    </row>
    <row r="208" spans="2:9" ht="15.75" customHeight="1" x14ac:dyDescent="0.2">
      <c r="B208" s="405"/>
      <c r="D208" s="404"/>
      <c r="I208" s="392"/>
    </row>
    <row r="209" spans="2:9" ht="15.75" customHeight="1" x14ac:dyDescent="0.2">
      <c r="B209" s="405"/>
      <c r="D209" s="404"/>
      <c r="I209" s="392"/>
    </row>
    <row r="210" spans="2:9" ht="15.75" customHeight="1" x14ac:dyDescent="0.2">
      <c r="B210" s="405"/>
      <c r="D210" s="404"/>
      <c r="I210" s="392"/>
    </row>
    <row r="211" spans="2:9" ht="15.75" customHeight="1" x14ac:dyDescent="0.2">
      <c r="B211" s="405"/>
      <c r="D211" s="404"/>
      <c r="I211" s="392"/>
    </row>
    <row r="212" spans="2:9" ht="15.75" customHeight="1" x14ac:dyDescent="0.2">
      <c r="B212" s="405"/>
      <c r="D212" s="404"/>
      <c r="I212" s="392"/>
    </row>
    <row r="213" spans="2:9" ht="15.75" customHeight="1" x14ac:dyDescent="0.2">
      <c r="B213" s="405"/>
      <c r="D213" s="404"/>
      <c r="I213" s="392"/>
    </row>
    <row r="214" spans="2:9" ht="15.75" customHeight="1" x14ac:dyDescent="0.2">
      <c r="B214" s="405"/>
      <c r="D214" s="404"/>
      <c r="I214" s="392"/>
    </row>
    <row r="215" spans="2:9" ht="15.75" customHeight="1" x14ac:dyDescent="0.2">
      <c r="B215" s="405"/>
      <c r="D215" s="404"/>
      <c r="I215" s="392"/>
    </row>
    <row r="216" spans="2:9" ht="15.75" customHeight="1" x14ac:dyDescent="0.2">
      <c r="B216" s="405"/>
      <c r="D216" s="404"/>
      <c r="I216" s="392"/>
    </row>
    <row r="217" spans="2:9" ht="15.75" customHeight="1" x14ac:dyDescent="0.2">
      <c r="B217" s="405"/>
      <c r="D217" s="404"/>
      <c r="I217" s="392"/>
    </row>
    <row r="218" spans="2:9" ht="15.75" customHeight="1" x14ac:dyDescent="0.2">
      <c r="B218" s="405"/>
      <c r="D218" s="404"/>
      <c r="I218" s="392"/>
    </row>
    <row r="219" spans="2:9" ht="15.75" customHeight="1" x14ac:dyDescent="0.2">
      <c r="B219" s="405"/>
      <c r="D219" s="404"/>
      <c r="I219" s="392"/>
    </row>
    <row r="220" spans="2:9" ht="15.75" customHeight="1" x14ac:dyDescent="0.2">
      <c r="B220" s="405"/>
      <c r="D220" s="404"/>
      <c r="I220" s="392"/>
    </row>
    <row r="221" spans="2:9" ht="15.75" customHeight="1" x14ac:dyDescent="0.2">
      <c r="B221" s="405"/>
      <c r="D221" s="404"/>
      <c r="I221" s="392"/>
    </row>
    <row r="222" spans="2:9" ht="15.75" customHeight="1" x14ac:dyDescent="0.2">
      <c r="B222" s="405"/>
      <c r="D222" s="404"/>
      <c r="I222" s="392"/>
    </row>
    <row r="223" spans="2:9" ht="15.75" customHeight="1" x14ac:dyDescent="0.2">
      <c r="B223" s="405"/>
      <c r="D223" s="404"/>
      <c r="I223" s="392"/>
    </row>
    <row r="224" spans="2:9" ht="15.75" customHeight="1" x14ac:dyDescent="0.2">
      <c r="B224" s="405"/>
      <c r="D224" s="404"/>
      <c r="I224" s="392"/>
    </row>
    <row r="225" spans="2:9" ht="15.75" customHeight="1" x14ac:dyDescent="0.2">
      <c r="B225" s="405"/>
      <c r="D225" s="404"/>
      <c r="I225" s="392"/>
    </row>
    <row r="226" spans="2:9" ht="15.75" customHeight="1" x14ac:dyDescent="0.2">
      <c r="B226" s="405"/>
      <c r="D226" s="404"/>
      <c r="I226" s="392"/>
    </row>
    <row r="227" spans="2:9" ht="15.75" customHeight="1" x14ac:dyDescent="0.2">
      <c r="B227" s="405"/>
      <c r="D227" s="404"/>
      <c r="I227" s="392"/>
    </row>
    <row r="228" spans="2:9" ht="15.75" customHeight="1" x14ac:dyDescent="0.2">
      <c r="B228" s="405"/>
      <c r="D228" s="404"/>
      <c r="I228" s="392"/>
    </row>
    <row r="229" spans="2:9" ht="15.75" customHeight="1" x14ac:dyDescent="0.2">
      <c r="B229" s="405"/>
      <c r="D229" s="404"/>
      <c r="I229" s="392"/>
    </row>
    <row r="230" spans="2:9" ht="15.75" customHeight="1" x14ac:dyDescent="0.2">
      <c r="B230" s="405"/>
      <c r="D230" s="404"/>
      <c r="I230" s="392"/>
    </row>
    <row r="231" spans="2:9" ht="15.75" customHeight="1" x14ac:dyDescent="0.2">
      <c r="B231" s="405"/>
      <c r="D231" s="404"/>
      <c r="I231" s="392"/>
    </row>
    <row r="232" spans="2:9" ht="15.75" customHeight="1" x14ac:dyDescent="0.2">
      <c r="B232" s="405"/>
      <c r="D232" s="404"/>
      <c r="I232" s="392"/>
    </row>
    <row r="233" spans="2:9" ht="15.75" customHeight="1" x14ac:dyDescent="0.2">
      <c r="B233" s="405"/>
      <c r="D233" s="404"/>
      <c r="I233" s="392"/>
    </row>
    <row r="234" spans="2:9" ht="15.75" customHeight="1" x14ac:dyDescent="0.2">
      <c r="B234" s="405"/>
      <c r="D234" s="404"/>
      <c r="I234" s="392"/>
    </row>
    <row r="235" spans="2:9" ht="15.75" customHeight="1" x14ac:dyDescent="0.2">
      <c r="B235" s="405"/>
      <c r="D235" s="404"/>
      <c r="I235" s="392"/>
    </row>
    <row r="236" spans="2:9" ht="15.75" customHeight="1" x14ac:dyDescent="0.2">
      <c r="B236" s="405"/>
      <c r="D236" s="404"/>
      <c r="I236" s="392"/>
    </row>
    <row r="237" spans="2:9" ht="15.75" customHeight="1" x14ac:dyDescent="0.2">
      <c r="B237" s="405"/>
      <c r="D237" s="404"/>
      <c r="I237" s="392"/>
    </row>
    <row r="238" spans="2:9" ht="15.75" customHeight="1" x14ac:dyDescent="0.2">
      <c r="B238" s="405"/>
      <c r="D238" s="404"/>
      <c r="I238" s="392"/>
    </row>
    <row r="239" spans="2:9" ht="15.75" customHeight="1" x14ac:dyDescent="0.2">
      <c r="B239" s="405"/>
      <c r="D239" s="404"/>
      <c r="I239" s="392"/>
    </row>
    <row r="240" spans="2:9" ht="15.75" customHeight="1" x14ac:dyDescent="0.2">
      <c r="B240" s="405"/>
      <c r="D240" s="404"/>
      <c r="I240" s="392"/>
    </row>
    <row r="241" spans="2:9" ht="15.75" customHeight="1" x14ac:dyDescent="0.2">
      <c r="B241" s="405"/>
      <c r="D241" s="404"/>
      <c r="I241" s="392"/>
    </row>
    <row r="242" spans="2:9" ht="15.75" customHeight="1" x14ac:dyDescent="0.2">
      <c r="B242" s="405"/>
      <c r="D242" s="404"/>
      <c r="I242" s="392"/>
    </row>
    <row r="243" spans="2:9" ht="15.75" customHeight="1" x14ac:dyDescent="0.2">
      <c r="B243" s="405"/>
      <c r="D243" s="404"/>
      <c r="I243" s="392"/>
    </row>
    <row r="244" spans="2:9" ht="15.75" customHeight="1" x14ac:dyDescent="0.2">
      <c r="B244" s="405"/>
      <c r="D244" s="404"/>
      <c r="I244" s="392"/>
    </row>
    <row r="245" spans="2:9" ht="15.75" customHeight="1" x14ac:dyDescent="0.2">
      <c r="B245" s="405"/>
      <c r="D245" s="404"/>
      <c r="I245" s="392"/>
    </row>
    <row r="246" spans="2:9" ht="15.75" customHeight="1" x14ac:dyDescent="0.2">
      <c r="B246" s="405"/>
      <c r="D246" s="404"/>
      <c r="I246" s="392"/>
    </row>
    <row r="247" spans="2:9" ht="15.75" customHeight="1" x14ac:dyDescent="0.2">
      <c r="B247" s="405"/>
      <c r="D247" s="404"/>
      <c r="I247" s="392"/>
    </row>
    <row r="248" spans="2:9" ht="15.75" customHeight="1" x14ac:dyDescent="0.2">
      <c r="B248" s="405"/>
      <c r="D248" s="404"/>
      <c r="I248" s="392"/>
    </row>
    <row r="249" spans="2:9" ht="15.75" customHeight="1" x14ac:dyDescent="0.2">
      <c r="B249" s="405"/>
      <c r="D249" s="404"/>
      <c r="I249" s="392"/>
    </row>
    <row r="250" spans="2:9" ht="15.75" customHeight="1" x14ac:dyDescent="0.2">
      <c r="B250" s="405"/>
      <c r="D250" s="404"/>
      <c r="I250" s="392"/>
    </row>
    <row r="251" spans="2:9" ht="15.75" customHeight="1" x14ac:dyDescent="0.2">
      <c r="B251" s="405"/>
      <c r="D251" s="404"/>
      <c r="I251" s="392"/>
    </row>
    <row r="252" spans="2:9" ht="15.75" customHeight="1" x14ac:dyDescent="0.2">
      <c r="B252" s="405"/>
      <c r="D252" s="404"/>
      <c r="I252" s="392"/>
    </row>
    <row r="253" spans="2:9" ht="15.75" customHeight="1" x14ac:dyDescent="0.2">
      <c r="B253" s="405"/>
      <c r="D253" s="404"/>
      <c r="I253" s="392"/>
    </row>
    <row r="254" spans="2:9" ht="15.75" customHeight="1" x14ac:dyDescent="0.2">
      <c r="B254" s="405"/>
      <c r="D254" s="404"/>
      <c r="I254" s="392"/>
    </row>
    <row r="255" spans="2:9" ht="15.75" customHeight="1" x14ac:dyDescent="0.2">
      <c r="B255" s="405"/>
      <c r="D255" s="404"/>
      <c r="I255" s="392"/>
    </row>
    <row r="256" spans="2:9" ht="15.75" customHeight="1" x14ac:dyDescent="0.2">
      <c r="B256" s="405"/>
      <c r="D256" s="404"/>
      <c r="I256" s="392"/>
    </row>
    <row r="257" spans="2:9" ht="15.75" customHeight="1" x14ac:dyDescent="0.2">
      <c r="B257" s="405"/>
      <c r="D257" s="404"/>
      <c r="I257" s="392"/>
    </row>
    <row r="258" spans="2:9" ht="15.75" customHeight="1" x14ac:dyDescent="0.2">
      <c r="B258" s="405"/>
      <c r="D258" s="404"/>
      <c r="I258" s="392"/>
    </row>
    <row r="259" spans="2:9" ht="15.75" customHeight="1" x14ac:dyDescent="0.2">
      <c r="B259" s="405"/>
      <c r="D259" s="404"/>
      <c r="I259" s="392"/>
    </row>
    <row r="260" spans="2:9" ht="15.75" customHeight="1" x14ac:dyDescent="0.2">
      <c r="B260" s="405"/>
      <c r="D260" s="404"/>
      <c r="I260" s="392"/>
    </row>
    <row r="261" spans="2:9" ht="15.75" customHeight="1" x14ac:dyDescent="0.2">
      <c r="B261" s="405"/>
      <c r="D261" s="404"/>
      <c r="I261" s="392"/>
    </row>
    <row r="262" spans="2:9" ht="15.75" customHeight="1" x14ac:dyDescent="0.2">
      <c r="B262" s="405"/>
      <c r="D262" s="404"/>
      <c r="I262" s="392"/>
    </row>
    <row r="263" spans="2:9" ht="15.75" customHeight="1" x14ac:dyDescent="0.2">
      <c r="B263" s="405"/>
      <c r="D263" s="404"/>
      <c r="I263" s="392"/>
    </row>
    <row r="264" spans="2:9" ht="15.75" customHeight="1" x14ac:dyDescent="0.2">
      <c r="B264" s="405"/>
      <c r="D264" s="404"/>
      <c r="I264" s="392"/>
    </row>
    <row r="265" spans="2:9" ht="15.75" customHeight="1" x14ac:dyDescent="0.2">
      <c r="B265" s="405"/>
      <c r="D265" s="404"/>
      <c r="I265" s="392"/>
    </row>
    <row r="266" spans="2:9" ht="15.75" customHeight="1" x14ac:dyDescent="0.2">
      <c r="B266" s="405"/>
      <c r="D266" s="404"/>
      <c r="I266" s="392"/>
    </row>
    <row r="267" spans="2:9" ht="15.75" customHeight="1" x14ac:dyDescent="0.2">
      <c r="B267" s="405"/>
      <c r="D267" s="404"/>
      <c r="I267" s="392"/>
    </row>
    <row r="268" spans="2:9" ht="15.75" customHeight="1" x14ac:dyDescent="0.2">
      <c r="B268" s="405"/>
      <c r="D268" s="404"/>
      <c r="I268" s="392"/>
    </row>
    <row r="269" spans="2:9" ht="15.75" customHeight="1" x14ac:dyDescent="0.2">
      <c r="B269" s="405"/>
      <c r="D269" s="404"/>
      <c r="I269" s="392"/>
    </row>
    <row r="270" spans="2:9" ht="15.75" customHeight="1" x14ac:dyDescent="0.2">
      <c r="B270" s="405"/>
      <c r="D270" s="404"/>
      <c r="I270" s="392"/>
    </row>
    <row r="271" spans="2:9" ht="15.75" customHeight="1" x14ac:dyDescent="0.2">
      <c r="B271" s="405"/>
      <c r="D271" s="404"/>
      <c r="I271" s="392"/>
    </row>
    <row r="272" spans="2:9" ht="15.75" customHeight="1" x14ac:dyDescent="0.2">
      <c r="B272" s="405"/>
      <c r="D272" s="404"/>
      <c r="I272" s="392"/>
    </row>
    <row r="273" spans="2:9" ht="15.75" customHeight="1" x14ac:dyDescent="0.2">
      <c r="B273" s="405"/>
      <c r="D273" s="404"/>
      <c r="I273" s="392"/>
    </row>
    <row r="274" spans="2:9" ht="15.75" customHeight="1" x14ac:dyDescent="0.2">
      <c r="B274" s="405"/>
      <c r="D274" s="404"/>
      <c r="I274" s="392"/>
    </row>
    <row r="275" spans="2:9" ht="15.75" customHeight="1" x14ac:dyDescent="0.2">
      <c r="B275" s="405"/>
      <c r="D275" s="404"/>
      <c r="I275" s="392"/>
    </row>
    <row r="276" spans="2:9" ht="15.75" customHeight="1" x14ac:dyDescent="0.2">
      <c r="B276" s="405"/>
      <c r="D276" s="404"/>
      <c r="I276" s="392"/>
    </row>
    <row r="277" spans="2:9" ht="15.75" customHeight="1" x14ac:dyDescent="0.2">
      <c r="B277" s="405"/>
      <c r="D277" s="404"/>
      <c r="I277" s="392"/>
    </row>
    <row r="278" spans="2:9" ht="15.75" customHeight="1" x14ac:dyDescent="0.2">
      <c r="B278" s="405"/>
      <c r="D278" s="404"/>
      <c r="I278" s="392"/>
    </row>
    <row r="279" spans="2:9" ht="15.75" customHeight="1" x14ac:dyDescent="0.2">
      <c r="B279" s="405"/>
      <c r="D279" s="404"/>
      <c r="I279" s="392"/>
    </row>
    <row r="280" spans="2:9" ht="15.75" customHeight="1" x14ac:dyDescent="0.2">
      <c r="B280" s="405"/>
      <c r="D280" s="404"/>
      <c r="I280" s="392"/>
    </row>
    <row r="281" spans="2:9" ht="15.75" customHeight="1" x14ac:dyDescent="0.2">
      <c r="B281" s="405"/>
      <c r="D281" s="404"/>
      <c r="I281" s="392"/>
    </row>
    <row r="282" spans="2:9" ht="15.75" customHeight="1" x14ac:dyDescent="0.2">
      <c r="B282" s="405"/>
      <c r="D282" s="404"/>
      <c r="I282" s="392"/>
    </row>
    <row r="283" spans="2:9" ht="15.75" customHeight="1" x14ac:dyDescent="0.2">
      <c r="B283" s="405"/>
      <c r="D283" s="404"/>
      <c r="I283" s="392"/>
    </row>
    <row r="284" spans="2:9" ht="15.75" customHeight="1" x14ac:dyDescent="0.2">
      <c r="B284" s="405"/>
      <c r="D284" s="404"/>
      <c r="I284" s="392"/>
    </row>
    <row r="285" spans="2:9" ht="15.75" customHeight="1" x14ac:dyDescent="0.2">
      <c r="B285" s="405"/>
      <c r="D285" s="404"/>
      <c r="I285" s="392"/>
    </row>
    <row r="286" spans="2:9" ht="15.75" customHeight="1" x14ac:dyDescent="0.2">
      <c r="B286" s="405"/>
      <c r="D286" s="404"/>
      <c r="I286" s="392"/>
    </row>
    <row r="287" spans="2:9" ht="15.75" customHeight="1" x14ac:dyDescent="0.2">
      <c r="B287" s="405"/>
      <c r="D287" s="404"/>
      <c r="I287" s="392"/>
    </row>
    <row r="288" spans="2:9" ht="15.75" customHeight="1" x14ac:dyDescent="0.2">
      <c r="B288" s="405"/>
      <c r="D288" s="404"/>
      <c r="I288" s="392"/>
    </row>
    <row r="289" spans="2:9" ht="15.75" customHeight="1" x14ac:dyDescent="0.2">
      <c r="B289" s="405"/>
      <c r="D289" s="404"/>
      <c r="I289" s="392"/>
    </row>
    <row r="290" spans="2:9" ht="15.75" customHeight="1" x14ac:dyDescent="0.2">
      <c r="B290" s="405"/>
      <c r="D290" s="404"/>
      <c r="I290" s="392"/>
    </row>
    <row r="291" spans="2:9" ht="15.75" customHeight="1" x14ac:dyDescent="0.2">
      <c r="B291" s="405"/>
      <c r="D291" s="404"/>
      <c r="I291" s="392"/>
    </row>
    <row r="292" spans="2:9" ht="15.75" customHeight="1" x14ac:dyDescent="0.2">
      <c r="B292" s="405"/>
      <c r="D292" s="404"/>
      <c r="I292" s="392"/>
    </row>
    <row r="293" spans="2:9" ht="15.75" customHeight="1" x14ac:dyDescent="0.2">
      <c r="B293" s="405"/>
      <c r="D293" s="404"/>
      <c r="I293" s="392"/>
    </row>
    <row r="294" spans="2:9" ht="15.75" customHeight="1" x14ac:dyDescent="0.2">
      <c r="B294" s="405"/>
      <c r="D294" s="404"/>
      <c r="I294" s="392"/>
    </row>
    <row r="295" spans="2:9" ht="15.75" customHeight="1" x14ac:dyDescent="0.2">
      <c r="B295" s="405"/>
      <c r="D295" s="404"/>
      <c r="I295" s="392"/>
    </row>
    <row r="296" spans="2:9" ht="15.75" customHeight="1" x14ac:dyDescent="0.2">
      <c r="B296" s="405"/>
      <c r="D296" s="404"/>
      <c r="I296" s="392"/>
    </row>
    <row r="297" spans="2:9" ht="15.75" customHeight="1" x14ac:dyDescent="0.2">
      <c r="B297" s="405"/>
      <c r="D297" s="404"/>
      <c r="I297" s="392"/>
    </row>
    <row r="298" spans="2:9" ht="15.75" customHeight="1" x14ac:dyDescent="0.2">
      <c r="B298" s="405"/>
      <c r="D298" s="404"/>
      <c r="I298" s="392"/>
    </row>
    <row r="299" spans="2:9" ht="15.75" customHeight="1" x14ac:dyDescent="0.2">
      <c r="B299" s="405"/>
      <c r="D299" s="404"/>
      <c r="I299" s="392"/>
    </row>
    <row r="300" spans="2:9" ht="15.75" customHeight="1" x14ac:dyDescent="0.2">
      <c r="B300" s="405"/>
      <c r="D300" s="404"/>
      <c r="I300" s="392"/>
    </row>
    <row r="301" spans="2:9" ht="15.75" customHeight="1" x14ac:dyDescent="0.2">
      <c r="B301" s="405"/>
      <c r="D301" s="404"/>
      <c r="I301" s="392"/>
    </row>
    <row r="302" spans="2:9" ht="15.75" customHeight="1" x14ac:dyDescent="0.2">
      <c r="B302" s="405"/>
      <c r="D302" s="404"/>
      <c r="I302" s="392"/>
    </row>
    <row r="303" spans="2:9" ht="15.75" customHeight="1" x14ac:dyDescent="0.2">
      <c r="B303" s="405"/>
      <c r="D303" s="404"/>
      <c r="I303" s="392"/>
    </row>
    <row r="304" spans="2:9" ht="15.75" customHeight="1" x14ac:dyDescent="0.2">
      <c r="B304" s="405"/>
      <c r="D304" s="404"/>
      <c r="I304" s="392"/>
    </row>
    <row r="305" spans="2:9" ht="15.75" customHeight="1" x14ac:dyDescent="0.2">
      <c r="B305" s="405"/>
      <c r="D305" s="404"/>
      <c r="I305" s="392"/>
    </row>
    <row r="306" spans="2:9" ht="15.75" customHeight="1" x14ac:dyDescent="0.2">
      <c r="B306" s="405"/>
      <c r="D306" s="404"/>
      <c r="I306" s="392"/>
    </row>
    <row r="307" spans="2:9" ht="15.75" customHeight="1" x14ac:dyDescent="0.2">
      <c r="B307" s="405"/>
      <c r="D307" s="404"/>
      <c r="I307" s="392"/>
    </row>
    <row r="308" spans="2:9" ht="15.75" customHeight="1" x14ac:dyDescent="0.2">
      <c r="B308" s="405"/>
      <c r="D308" s="404"/>
      <c r="I308" s="392"/>
    </row>
    <row r="309" spans="2:9" ht="15.75" customHeight="1" x14ac:dyDescent="0.2">
      <c r="B309" s="405"/>
      <c r="D309" s="404"/>
      <c r="I309" s="392"/>
    </row>
    <row r="310" spans="2:9" ht="15.75" customHeight="1" x14ac:dyDescent="0.2">
      <c r="B310" s="405"/>
      <c r="D310" s="404"/>
      <c r="I310" s="392"/>
    </row>
    <row r="311" spans="2:9" ht="15.75" customHeight="1" x14ac:dyDescent="0.2">
      <c r="B311" s="405"/>
      <c r="D311" s="404"/>
      <c r="I311" s="392"/>
    </row>
    <row r="312" spans="2:9" ht="15.75" customHeight="1" x14ac:dyDescent="0.2">
      <c r="B312" s="405"/>
      <c r="D312" s="404"/>
      <c r="I312" s="392"/>
    </row>
    <row r="313" spans="2:9" ht="15.75" customHeight="1" x14ac:dyDescent="0.2">
      <c r="B313" s="405"/>
      <c r="D313" s="404"/>
      <c r="I313" s="392"/>
    </row>
    <row r="314" spans="2:9" ht="15.75" customHeight="1" x14ac:dyDescent="0.2">
      <c r="B314" s="405"/>
      <c r="D314" s="404"/>
      <c r="I314" s="392"/>
    </row>
    <row r="315" spans="2:9" ht="15.75" customHeight="1" x14ac:dyDescent="0.2">
      <c r="B315" s="405"/>
      <c r="D315" s="404"/>
      <c r="I315" s="392"/>
    </row>
    <row r="316" spans="2:9" ht="15.75" customHeight="1" x14ac:dyDescent="0.2">
      <c r="B316" s="405"/>
      <c r="D316" s="404"/>
      <c r="I316" s="392"/>
    </row>
    <row r="317" spans="2:9" ht="15.75" customHeight="1" x14ac:dyDescent="0.2">
      <c r="B317" s="405"/>
      <c r="D317" s="404"/>
      <c r="I317" s="392"/>
    </row>
    <row r="318" spans="2:9" ht="15.75" customHeight="1" x14ac:dyDescent="0.2">
      <c r="B318" s="405"/>
      <c r="D318" s="404"/>
      <c r="I318" s="392"/>
    </row>
    <row r="319" spans="2:9" ht="15.75" customHeight="1" x14ac:dyDescent="0.2">
      <c r="B319" s="405"/>
      <c r="D319" s="404"/>
      <c r="I319" s="392"/>
    </row>
    <row r="320" spans="2:9" ht="15.75" customHeight="1" x14ac:dyDescent="0.2">
      <c r="B320" s="405"/>
      <c r="D320" s="404"/>
      <c r="I320" s="392"/>
    </row>
    <row r="321" spans="2:9" ht="15.75" customHeight="1" x14ac:dyDescent="0.2">
      <c r="B321" s="405"/>
      <c r="D321" s="404"/>
      <c r="I321" s="392"/>
    </row>
    <row r="322" spans="2:9" ht="15.75" customHeight="1" x14ac:dyDescent="0.2">
      <c r="B322" s="405"/>
      <c r="D322" s="404"/>
      <c r="I322" s="392"/>
    </row>
    <row r="323" spans="2:9" ht="15.75" customHeight="1" x14ac:dyDescent="0.2">
      <c r="B323" s="405"/>
      <c r="D323" s="404"/>
      <c r="I323" s="392"/>
    </row>
    <row r="324" spans="2:9" ht="15.75" customHeight="1" x14ac:dyDescent="0.2">
      <c r="B324" s="405"/>
      <c r="D324" s="404"/>
      <c r="I324" s="392"/>
    </row>
    <row r="325" spans="2:9" ht="15.75" customHeight="1" x14ac:dyDescent="0.2">
      <c r="B325" s="405"/>
      <c r="D325" s="404"/>
      <c r="I325" s="392"/>
    </row>
    <row r="326" spans="2:9" ht="15.75" customHeight="1" x14ac:dyDescent="0.2">
      <c r="B326" s="405"/>
      <c r="D326" s="404"/>
      <c r="I326" s="392"/>
    </row>
    <row r="327" spans="2:9" ht="15.75" customHeight="1" x14ac:dyDescent="0.2">
      <c r="B327" s="405"/>
      <c r="D327" s="404"/>
      <c r="I327" s="392"/>
    </row>
    <row r="328" spans="2:9" ht="15.75" customHeight="1" x14ac:dyDescent="0.2">
      <c r="B328" s="405"/>
      <c r="D328" s="404"/>
      <c r="I328" s="392"/>
    </row>
    <row r="329" spans="2:9" ht="15.75" customHeight="1" x14ac:dyDescent="0.2">
      <c r="B329" s="405"/>
      <c r="D329" s="404"/>
      <c r="I329" s="392"/>
    </row>
    <row r="330" spans="2:9" ht="15.75" customHeight="1" x14ac:dyDescent="0.2">
      <c r="B330" s="405"/>
      <c r="D330" s="404"/>
      <c r="I330" s="392"/>
    </row>
    <row r="331" spans="2:9" ht="15.75" customHeight="1" x14ac:dyDescent="0.2">
      <c r="B331" s="405"/>
      <c r="D331" s="404"/>
      <c r="I331" s="392"/>
    </row>
    <row r="332" spans="2:9" ht="15.75" customHeight="1" x14ac:dyDescent="0.2">
      <c r="B332" s="405"/>
      <c r="D332" s="404"/>
      <c r="I332" s="392"/>
    </row>
    <row r="333" spans="2:9" ht="15.75" customHeight="1" x14ac:dyDescent="0.2">
      <c r="B333" s="405"/>
      <c r="D333" s="404"/>
      <c r="I333" s="392"/>
    </row>
    <row r="334" spans="2:9" ht="15.75" customHeight="1" x14ac:dyDescent="0.2">
      <c r="B334" s="405"/>
      <c r="D334" s="404"/>
      <c r="I334" s="392"/>
    </row>
    <row r="335" spans="2:9" ht="15.75" customHeight="1" x14ac:dyDescent="0.2">
      <c r="B335" s="405"/>
      <c r="D335" s="404"/>
      <c r="I335" s="392"/>
    </row>
    <row r="336" spans="2:9" ht="15.75" customHeight="1" x14ac:dyDescent="0.2">
      <c r="B336" s="405"/>
      <c r="D336" s="404"/>
      <c r="I336" s="392"/>
    </row>
    <row r="337" spans="2:9" ht="15.75" customHeight="1" x14ac:dyDescent="0.2">
      <c r="B337" s="405"/>
      <c r="D337" s="404"/>
      <c r="I337" s="392"/>
    </row>
    <row r="338" spans="2:9" ht="15.75" customHeight="1" x14ac:dyDescent="0.2">
      <c r="B338" s="405"/>
      <c r="D338" s="404"/>
      <c r="I338" s="392"/>
    </row>
    <row r="339" spans="2:9" ht="15.75" customHeight="1" x14ac:dyDescent="0.2">
      <c r="B339" s="405"/>
      <c r="D339" s="404"/>
      <c r="I339" s="392"/>
    </row>
    <row r="340" spans="2:9" ht="15.75" customHeight="1" x14ac:dyDescent="0.2">
      <c r="B340" s="405"/>
      <c r="D340" s="404"/>
      <c r="I340" s="392"/>
    </row>
    <row r="341" spans="2:9" ht="15.75" customHeight="1" x14ac:dyDescent="0.2">
      <c r="B341" s="405"/>
      <c r="D341" s="404"/>
      <c r="I341" s="392"/>
    </row>
    <row r="342" spans="2:9" ht="15.75" customHeight="1" x14ac:dyDescent="0.2">
      <c r="B342" s="405"/>
      <c r="D342" s="404"/>
      <c r="I342" s="392"/>
    </row>
    <row r="343" spans="2:9" ht="15.75" customHeight="1" x14ac:dyDescent="0.2">
      <c r="B343" s="405"/>
      <c r="D343" s="404"/>
      <c r="I343" s="392"/>
    </row>
    <row r="344" spans="2:9" ht="15.75" customHeight="1" x14ac:dyDescent="0.2">
      <c r="B344" s="405"/>
      <c r="D344" s="404"/>
      <c r="I344" s="392"/>
    </row>
    <row r="345" spans="2:9" ht="15.75" customHeight="1" x14ac:dyDescent="0.2">
      <c r="B345" s="405"/>
      <c r="D345" s="404"/>
      <c r="I345" s="392"/>
    </row>
    <row r="346" spans="2:9" ht="15.75" customHeight="1" x14ac:dyDescent="0.2">
      <c r="B346" s="405"/>
      <c r="D346" s="404"/>
      <c r="I346" s="392"/>
    </row>
    <row r="347" spans="2:9" ht="15.75" customHeight="1" x14ac:dyDescent="0.2">
      <c r="B347" s="405"/>
      <c r="D347" s="404"/>
      <c r="I347" s="392"/>
    </row>
    <row r="348" spans="2:9" ht="15.75" customHeight="1" x14ac:dyDescent="0.2">
      <c r="B348" s="405"/>
      <c r="D348" s="404"/>
      <c r="I348" s="392"/>
    </row>
    <row r="349" spans="2:9" ht="15.75" customHeight="1" x14ac:dyDescent="0.2">
      <c r="B349" s="405"/>
      <c r="D349" s="404"/>
      <c r="I349" s="392"/>
    </row>
    <row r="350" spans="2:9" ht="15.75" customHeight="1" x14ac:dyDescent="0.2">
      <c r="B350" s="405"/>
      <c r="D350" s="404"/>
      <c r="I350" s="392"/>
    </row>
    <row r="351" spans="2:9" ht="15.75" customHeight="1" x14ac:dyDescent="0.2">
      <c r="B351" s="405"/>
      <c r="D351" s="404"/>
      <c r="I351" s="392"/>
    </row>
    <row r="352" spans="2:9" ht="15.75" customHeight="1" x14ac:dyDescent="0.2">
      <c r="B352" s="405"/>
      <c r="D352" s="404"/>
      <c r="I352" s="392"/>
    </row>
    <row r="353" spans="2:9" ht="15.75" customHeight="1" x14ac:dyDescent="0.2">
      <c r="B353" s="405"/>
      <c r="D353" s="404"/>
      <c r="I353" s="392"/>
    </row>
    <row r="354" spans="2:9" ht="15.75" customHeight="1" x14ac:dyDescent="0.2">
      <c r="B354" s="405"/>
      <c r="D354" s="404"/>
      <c r="I354" s="392"/>
    </row>
    <row r="355" spans="2:9" ht="15.75" customHeight="1" x14ac:dyDescent="0.2">
      <c r="B355" s="405"/>
      <c r="D355" s="404"/>
      <c r="I355" s="392"/>
    </row>
    <row r="356" spans="2:9" ht="15.75" customHeight="1" x14ac:dyDescent="0.2">
      <c r="B356" s="405"/>
      <c r="D356" s="404"/>
      <c r="I356" s="392"/>
    </row>
    <row r="357" spans="2:9" ht="15.75" customHeight="1" x14ac:dyDescent="0.2">
      <c r="B357" s="405"/>
      <c r="D357" s="404"/>
      <c r="I357" s="392"/>
    </row>
    <row r="358" spans="2:9" ht="15.75" customHeight="1" x14ac:dyDescent="0.2">
      <c r="B358" s="405"/>
      <c r="D358" s="404"/>
      <c r="I358" s="392"/>
    </row>
    <row r="359" spans="2:9" ht="15.75" customHeight="1" x14ac:dyDescent="0.2">
      <c r="B359" s="405"/>
      <c r="D359" s="404"/>
      <c r="I359" s="392"/>
    </row>
    <row r="360" spans="2:9" ht="15.75" customHeight="1" x14ac:dyDescent="0.2">
      <c r="B360" s="405"/>
      <c r="D360" s="404"/>
      <c r="I360" s="392"/>
    </row>
    <row r="361" spans="2:9" ht="15.75" customHeight="1" x14ac:dyDescent="0.2">
      <c r="B361" s="405"/>
      <c r="D361" s="404"/>
      <c r="I361" s="392"/>
    </row>
    <row r="362" spans="2:9" ht="15.75" customHeight="1" x14ac:dyDescent="0.2">
      <c r="B362" s="405"/>
      <c r="D362" s="404"/>
      <c r="I362" s="392"/>
    </row>
    <row r="363" spans="2:9" ht="15.75" customHeight="1" x14ac:dyDescent="0.2">
      <c r="B363" s="405"/>
      <c r="D363" s="404"/>
      <c r="I363" s="392"/>
    </row>
    <row r="364" spans="2:9" ht="15.75" customHeight="1" x14ac:dyDescent="0.2">
      <c r="B364" s="405"/>
      <c r="D364" s="404"/>
      <c r="I364" s="392"/>
    </row>
    <row r="365" spans="2:9" ht="15.75" customHeight="1" x14ac:dyDescent="0.2">
      <c r="B365" s="405"/>
      <c r="D365" s="404"/>
      <c r="I365" s="392"/>
    </row>
    <row r="366" spans="2:9" ht="15.75" customHeight="1" x14ac:dyDescent="0.2">
      <c r="B366" s="405"/>
      <c r="D366" s="404"/>
      <c r="I366" s="392"/>
    </row>
    <row r="367" spans="2:9" ht="15.75" customHeight="1" x14ac:dyDescent="0.2">
      <c r="B367" s="405"/>
      <c r="D367" s="404"/>
      <c r="I367" s="392"/>
    </row>
    <row r="368" spans="2:9" ht="15.75" customHeight="1" x14ac:dyDescent="0.2">
      <c r="B368" s="405"/>
      <c r="D368" s="404"/>
      <c r="I368" s="392"/>
    </row>
    <row r="369" spans="2:9" ht="15.75" customHeight="1" x14ac:dyDescent="0.2">
      <c r="B369" s="405"/>
      <c r="D369" s="404"/>
      <c r="I369" s="392"/>
    </row>
    <row r="370" spans="2:9" ht="15.75" customHeight="1" x14ac:dyDescent="0.2">
      <c r="B370" s="405"/>
      <c r="D370" s="404"/>
      <c r="I370" s="392"/>
    </row>
    <row r="371" spans="2:9" ht="15.75" customHeight="1" x14ac:dyDescent="0.2">
      <c r="B371" s="405"/>
      <c r="D371" s="404"/>
      <c r="I371" s="392"/>
    </row>
    <row r="372" spans="2:9" ht="15.75" customHeight="1" x14ac:dyDescent="0.2">
      <c r="B372" s="405"/>
      <c r="D372" s="404"/>
      <c r="I372" s="392"/>
    </row>
    <row r="373" spans="2:9" ht="15.75" customHeight="1" x14ac:dyDescent="0.2">
      <c r="B373" s="405"/>
      <c r="D373" s="404"/>
      <c r="I373" s="392"/>
    </row>
    <row r="374" spans="2:9" ht="15.75" customHeight="1" x14ac:dyDescent="0.2">
      <c r="B374" s="405"/>
      <c r="D374" s="404"/>
      <c r="I374" s="392"/>
    </row>
    <row r="375" spans="2:9" ht="15.75" customHeight="1" x14ac:dyDescent="0.2">
      <c r="B375" s="405"/>
      <c r="D375" s="404"/>
      <c r="I375" s="392"/>
    </row>
    <row r="376" spans="2:9" ht="15.75" customHeight="1" x14ac:dyDescent="0.2">
      <c r="B376" s="405"/>
      <c r="D376" s="404"/>
      <c r="I376" s="392"/>
    </row>
    <row r="377" spans="2:9" ht="15.75" customHeight="1" x14ac:dyDescent="0.2">
      <c r="B377" s="405"/>
      <c r="D377" s="404"/>
      <c r="I377" s="392"/>
    </row>
    <row r="378" spans="2:9" ht="15.75" customHeight="1" x14ac:dyDescent="0.2">
      <c r="B378" s="405"/>
      <c r="D378" s="404"/>
      <c r="I378" s="392"/>
    </row>
    <row r="379" spans="2:9" ht="15.75" customHeight="1" x14ac:dyDescent="0.2">
      <c r="B379" s="405"/>
      <c r="D379" s="404"/>
      <c r="I379" s="392"/>
    </row>
    <row r="380" spans="2:9" ht="15.75" customHeight="1" x14ac:dyDescent="0.2">
      <c r="B380" s="405"/>
      <c r="D380" s="404"/>
      <c r="I380" s="392"/>
    </row>
    <row r="381" spans="2:9" ht="15.75" customHeight="1" x14ac:dyDescent="0.2">
      <c r="B381" s="405"/>
      <c r="D381" s="404"/>
      <c r="I381" s="392"/>
    </row>
    <row r="382" spans="2:9" ht="15.75" customHeight="1" x14ac:dyDescent="0.2">
      <c r="B382" s="405"/>
      <c r="D382" s="404"/>
      <c r="I382" s="392"/>
    </row>
    <row r="383" spans="2:9" ht="15.75" customHeight="1" x14ac:dyDescent="0.2">
      <c r="B383" s="405"/>
      <c r="D383" s="404"/>
      <c r="I383" s="392"/>
    </row>
    <row r="384" spans="2:9" ht="15.75" customHeight="1" x14ac:dyDescent="0.2">
      <c r="B384" s="405"/>
      <c r="D384" s="404"/>
      <c r="I384" s="392"/>
    </row>
    <row r="385" spans="2:9" ht="15.75" customHeight="1" x14ac:dyDescent="0.2">
      <c r="B385" s="405"/>
      <c r="D385" s="404"/>
      <c r="I385" s="392"/>
    </row>
    <row r="386" spans="2:9" ht="15.75" customHeight="1" x14ac:dyDescent="0.2">
      <c r="B386" s="405"/>
      <c r="D386" s="404"/>
      <c r="I386" s="392"/>
    </row>
    <row r="387" spans="2:9" ht="15.75" customHeight="1" x14ac:dyDescent="0.2">
      <c r="B387" s="405"/>
      <c r="D387" s="404"/>
      <c r="I387" s="392"/>
    </row>
    <row r="388" spans="2:9" ht="15.75" customHeight="1" x14ac:dyDescent="0.2">
      <c r="B388" s="405"/>
      <c r="D388" s="404"/>
      <c r="I388" s="392"/>
    </row>
    <row r="389" spans="2:9" ht="15.75" customHeight="1" x14ac:dyDescent="0.2">
      <c r="B389" s="405"/>
      <c r="D389" s="404"/>
      <c r="I389" s="392"/>
    </row>
    <row r="390" spans="2:9" ht="15.75" customHeight="1" x14ac:dyDescent="0.2">
      <c r="B390" s="405"/>
      <c r="D390" s="404"/>
      <c r="I390" s="392"/>
    </row>
    <row r="391" spans="2:9" ht="15.75" customHeight="1" x14ac:dyDescent="0.2">
      <c r="B391" s="405"/>
      <c r="D391" s="404"/>
      <c r="I391" s="392"/>
    </row>
    <row r="392" spans="2:9" ht="15.75" customHeight="1" x14ac:dyDescent="0.2">
      <c r="B392" s="405"/>
      <c r="D392" s="404"/>
      <c r="I392" s="392"/>
    </row>
    <row r="393" spans="2:9" ht="15.75" customHeight="1" x14ac:dyDescent="0.2">
      <c r="B393" s="405"/>
      <c r="D393" s="404"/>
      <c r="I393" s="392"/>
    </row>
    <row r="394" spans="2:9" ht="15.75" customHeight="1" x14ac:dyDescent="0.2">
      <c r="B394" s="405"/>
      <c r="D394" s="404"/>
      <c r="I394" s="392"/>
    </row>
    <row r="395" spans="2:9" ht="15.75" customHeight="1" x14ac:dyDescent="0.2">
      <c r="B395" s="405"/>
      <c r="D395" s="404"/>
      <c r="I395" s="392"/>
    </row>
    <row r="396" spans="2:9" ht="15.75" customHeight="1" x14ac:dyDescent="0.2">
      <c r="B396" s="405"/>
      <c r="D396" s="404"/>
      <c r="I396" s="392"/>
    </row>
    <row r="397" spans="2:9" ht="15.75" customHeight="1" x14ac:dyDescent="0.2">
      <c r="B397" s="405"/>
      <c r="D397" s="404"/>
      <c r="I397" s="392"/>
    </row>
    <row r="398" spans="2:9" ht="15.75" customHeight="1" x14ac:dyDescent="0.2">
      <c r="B398" s="405"/>
      <c r="D398" s="404"/>
      <c r="I398" s="392"/>
    </row>
    <row r="399" spans="2:9" ht="15.75" customHeight="1" x14ac:dyDescent="0.2">
      <c r="B399" s="405"/>
      <c r="D399" s="404"/>
      <c r="I399" s="392"/>
    </row>
    <row r="400" spans="2:9" ht="15.75" customHeight="1" x14ac:dyDescent="0.2">
      <c r="B400" s="405"/>
      <c r="D400" s="404"/>
      <c r="I400" s="392"/>
    </row>
    <row r="401" spans="2:9" ht="15.75" customHeight="1" x14ac:dyDescent="0.2">
      <c r="B401" s="405"/>
      <c r="D401" s="404"/>
      <c r="I401" s="392"/>
    </row>
    <row r="402" spans="2:9" ht="15.75" customHeight="1" x14ac:dyDescent="0.2">
      <c r="B402" s="405"/>
      <c r="D402" s="404"/>
      <c r="I402" s="392"/>
    </row>
    <row r="403" spans="2:9" ht="15.75" customHeight="1" x14ac:dyDescent="0.2">
      <c r="B403" s="405"/>
      <c r="D403" s="404"/>
      <c r="I403" s="392"/>
    </row>
    <row r="404" spans="2:9" ht="15.75" customHeight="1" x14ac:dyDescent="0.2">
      <c r="B404" s="405"/>
      <c r="D404" s="404"/>
      <c r="I404" s="392"/>
    </row>
    <row r="405" spans="2:9" ht="15.75" customHeight="1" x14ac:dyDescent="0.2">
      <c r="B405" s="405"/>
      <c r="D405" s="404"/>
      <c r="I405" s="392"/>
    </row>
    <row r="406" spans="2:9" ht="15.75" customHeight="1" x14ac:dyDescent="0.2">
      <c r="B406" s="405"/>
      <c r="D406" s="404"/>
      <c r="I406" s="392"/>
    </row>
    <row r="407" spans="2:9" ht="15.75" customHeight="1" x14ac:dyDescent="0.2">
      <c r="B407" s="405"/>
      <c r="D407" s="404"/>
      <c r="I407" s="392"/>
    </row>
    <row r="408" spans="2:9" ht="15.75" customHeight="1" x14ac:dyDescent="0.2">
      <c r="B408" s="405"/>
      <c r="D408" s="404"/>
      <c r="I408" s="392"/>
    </row>
    <row r="409" spans="2:9" ht="15.75" customHeight="1" x14ac:dyDescent="0.2">
      <c r="B409" s="405"/>
      <c r="D409" s="404"/>
      <c r="I409" s="392"/>
    </row>
    <row r="410" spans="2:9" ht="15.75" customHeight="1" x14ac:dyDescent="0.2">
      <c r="B410" s="405"/>
      <c r="D410" s="404"/>
      <c r="I410" s="392"/>
    </row>
    <row r="411" spans="2:9" ht="15.75" customHeight="1" x14ac:dyDescent="0.2">
      <c r="B411" s="405"/>
      <c r="D411" s="404"/>
      <c r="I411" s="392"/>
    </row>
    <row r="412" spans="2:9" ht="15.75" customHeight="1" x14ac:dyDescent="0.2">
      <c r="B412" s="405"/>
      <c r="D412" s="404"/>
      <c r="I412" s="392"/>
    </row>
    <row r="413" spans="2:9" ht="15.75" customHeight="1" x14ac:dyDescent="0.2">
      <c r="B413" s="405"/>
      <c r="D413" s="404"/>
      <c r="I413" s="392"/>
    </row>
    <row r="414" spans="2:9" ht="15.75" customHeight="1" x14ac:dyDescent="0.2">
      <c r="B414" s="405"/>
      <c r="D414" s="404"/>
      <c r="I414" s="392"/>
    </row>
    <row r="415" spans="2:9" ht="15.75" customHeight="1" x14ac:dyDescent="0.2">
      <c r="B415" s="405"/>
      <c r="D415" s="404"/>
      <c r="I415" s="392"/>
    </row>
    <row r="416" spans="2:9" ht="15.75" customHeight="1" x14ac:dyDescent="0.2">
      <c r="B416" s="405"/>
      <c r="D416" s="404"/>
      <c r="I416" s="392"/>
    </row>
    <row r="417" spans="2:9" ht="15.75" customHeight="1" x14ac:dyDescent="0.2">
      <c r="B417" s="405"/>
      <c r="D417" s="404"/>
      <c r="I417" s="392"/>
    </row>
    <row r="418" spans="2:9" ht="15.75" customHeight="1" x14ac:dyDescent="0.2">
      <c r="B418" s="405"/>
      <c r="D418" s="404"/>
      <c r="I418" s="392"/>
    </row>
    <row r="419" spans="2:9" ht="15.75" customHeight="1" x14ac:dyDescent="0.2">
      <c r="B419" s="405"/>
      <c r="D419" s="404"/>
      <c r="I419" s="392"/>
    </row>
    <row r="420" spans="2:9" ht="15.75" customHeight="1" x14ac:dyDescent="0.2">
      <c r="B420" s="405"/>
      <c r="D420" s="404"/>
      <c r="I420" s="392"/>
    </row>
    <row r="421" spans="2:9" ht="15.75" customHeight="1" x14ac:dyDescent="0.2">
      <c r="B421" s="405"/>
      <c r="D421" s="404"/>
      <c r="I421" s="392"/>
    </row>
    <row r="422" spans="2:9" ht="15.75" customHeight="1" x14ac:dyDescent="0.2">
      <c r="B422" s="405"/>
      <c r="D422" s="404"/>
      <c r="I422" s="392"/>
    </row>
    <row r="423" spans="2:9" ht="15.75" customHeight="1" x14ac:dyDescent="0.2">
      <c r="B423" s="405"/>
      <c r="D423" s="404"/>
      <c r="I423" s="392"/>
    </row>
    <row r="424" spans="2:9" ht="15.75" customHeight="1" x14ac:dyDescent="0.2">
      <c r="B424" s="405"/>
      <c r="D424" s="404"/>
      <c r="I424" s="392"/>
    </row>
    <row r="425" spans="2:9" ht="15.75" customHeight="1" x14ac:dyDescent="0.2">
      <c r="B425" s="405"/>
      <c r="D425" s="404"/>
      <c r="I425" s="392"/>
    </row>
    <row r="426" spans="2:9" ht="15.75" customHeight="1" x14ac:dyDescent="0.2">
      <c r="B426" s="405"/>
      <c r="D426" s="404"/>
      <c r="I426" s="392"/>
    </row>
    <row r="427" spans="2:9" ht="15.75" customHeight="1" x14ac:dyDescent="0.2">
      <c r="B427" s="405"/>
      <c r="D427" s="404"/>
      <c r="I427" s="392"/>
    </row>
    <row r="428" spans="2:9" ht="15.75" customHeight="1" x14ac:dyDescent="0.2">
      <c r="B428" s="405"/>
      <c r="D428" s="404"/>
      <c r="I428" s="392"/>
    </row>
    <row r="429" spans="2:9" ht="15.75" customHeight="1" x14ac:dyDescent="0.2">
      <c r="B429" s="405"/>
      <c r="D429" s="404"/>
      <c r="I429" s="392"/>
    </row>
    <row r="430" spans="2:9" ht="15.75" customHeight="1" x14ac:dyDescent="0.2">
      <c r="B430" s="405"/>
      <c r="D430" s="404"/>
      <c r="I430" s="392"/>
    </row>
    <row r="431" spans="2:9" ht="15.75" customHeight="1" x14ac:dyDescent="0.2">
      <c r="B431" s="405"/>
      <c r="D431" s="404"/>
      <c r="I431" s="392"/>
    </row>
    <row r="432" spans="2:9" ht="15.75" customHeight="1" x14ac:dyDescent="0.2">
      <c r="B432" s="405"/>
      <c r="D432" s="404"/>
      <c r="I432" s="392"/>
    </row>
    <row r="433" spans="2:9" ht="15.75" customHeight="1" x14ac:dyDescent="0.2">
      <c r="B433" s="405"/>
      <c r="D433" s="404"/>
      <c r="I433" s="392"/>
    </row>
    <row r="434" spans="2:9" ht="15.75" customHeight="1" x14ac:dyDescent="0.2">
      <c r="B434" s="405"/>
      <c r="D434" s="404"/>
      <c r="I434" s="392"/>
    </row>
    <row r="435" spans="2:9" ht="15.75" customHeight="1" x14ac:dyDescent="0.2">
      <c r="B435" s="405"/>
      <c r="D435" s="404"/>
      <c r="I435" s="392"/>
    </row>
    <row r="436" spans="2:9" ht="15.75" customHeight="1" x14ac:dyDescent="0.2">
      <c r="B436" s="405"/>
      <c r="D436" s="404"/>
      <c r="I436" s="392"/>
    </row>
    <row r="437" spans="2:9" ht="15.75" customHeight="1" x14ac:dyDescent="0.2">
      <c r="B437" s="405"/>
      <c r="D437" s="404"/>
      <c r="I437" s="392"/>
    </row>
    <row r="438" spans="2:9" ht="15.75" customHeight="1" x14ac:dyDescent="0.2">
      <c r="B438" s="405"/>
      <c r="D438" s="404"/>
      <c r="I438" s="392"/>
    </row>
    <row r="439" spans="2:9" ht="15.75" customHeight="1" x14ac:dyDescent="0.2">
      <c r="B439" s="405"/>
      <c r="D439" s="404"/>
      <c r="I439" s="392"/>
    </row>
    <row r="440" spans="2:9" ht="15.75" customHeight="1" x14ac:dyDescent="0.2">
      <c r="B440" s="405"/>
      <c r="D440" s="404"/>
      <c r="I440" s="392"/>
    </row>
    <row r="441" spans="2:9" ht="15.75" customHeight="1" x14ac:dyDescent="0.2">
      <c r="B441" s="405"/>
      <c r="D441" s="404"/>
      <c r="I441" s="392"/>
    </row>
    <row r="442" spans="2:9" ht="15.75" customHeight="1" x14ac:dyDescent="0.2">
      <c r="B442" s="405"/>
      <c r="D442" s="404"/>
      <c r="I442" s="392"/>
    </row>
    <row r="443" spans="2:9" ht="15.75" customHeight="1" x14ac:dyDescent="0.2">
      <c r="B443" s="405"/>
      <c r="D443" s="404"/>
      <c r="I443" s="392"/>
    </row>
    <row r="444" spans="2:9" ht="15.75" customHeight="1" x14ac:dyDescent="0.2">
      <c r="B444" s="405"/>
      <c r="D444" s="404"/>
      <c r="I444" s="392"/>
    </row>
    <row r="445" spans="2:9" ht="15.75" customHeight="1" x14ac:dyDescent="0.2">
      <c r="B445" s="405"/>
      <c r="D445" s="404"/>
      <c r="I445" s="392"/>
    </row>
    <row r="446" spans="2:9" ht="15.75" customHeight="1" x14ac:dyDescent="0.2">
      <c r="B446" s="405"/>
      <c r="D446" s="404"/>
      <c r="I446" s="392"/>
    </row>
    <row r="447" spans="2:9" ht="15.75" customHeight="1" x14ac:dyDescent="0.2">
      <c r="B447" s="405"/>
      <c r="D447" s="404"/>
      <c r="I447" s="392"/>
    </row>
    <row r="448" spans="2:9" ht="15.75" customHeight="1" x14ac:dyDescent="0.2">
      <c r="B448" s="405"/>
      <c r="D448" s="404"/>
      <c r="I448" s="392"/>
    </row>
    <row r="449" spans="2:9" ht="15.75" customHeight="1" x14ac:dyDescent="0.2">
      <c r="B449" s="405"/>
      <c r="D449" s="404"/>
      <c r="I449" s="392"/>
    </row>
    <row r="450" spans="2:9" ht="15.75" customHeight="1" x14ac:dyDescent="0.2">
      <c r="B450" s="405"/>
      <c r="D450" s="404"/>
      <c r="I450" s="392"/>
    </row>
    <row r="451" spans="2:9" ht="15.75" customHeight="1" x14ac:dyDescent="0.2">
      <c r="B451" s="405"/>
      <c r="D451" s="404"/>
      <c r="I451" s="392"/>
    </row>
    <row r="452" spans="2:9" ht="15.75" customHeight="1" x14ac:dyDescent="0.2">
      <c r="B452" s="405"/>
      <c r="D452" s="404"/>
      <c r="I452" s="392"/>
    </row>
    <row r="453" spans="2:9" ht="15.75" customHeight="1" x14ac:dyDescent="0.2">
      <c r="B453" s="405"/>
      <c r="D453" s="404"/>
      <c r="I453" s="392"/>
    </row>
    <row r="454" spans="2:9" ht="15.75" customHeight="1" x14ac:dyDescent="0.2">
      <c r="B454" s="405"/>
      <c r="D454" s="404"/>
      <c r="I454" s="392"/>
    </row>
    <row r="455" spans="2:9" ht="15.75" customHeight="1" x14ac:dyDescent="0.2">
      <c r="B455" s="405"/>
      <c r="D455" s="404"/>
      <c r="I455" s="392"/>
    </row>
    <row r="456" spans="2:9" ht="15.75" customHeight="1" x14ac:dyDescent="0.2">
      <c r="B456" s="405"/>
      <c r="D456" s="404"/>
      <c r="I456" s="392"/>
    </row>
    <row r="457" spans="2:9" ht="15.75" customHeight="1" x14ac:dyDescent="0.2">
      <c r="B457" s="405"/>
      <c r="D457" s="404"/>
      <c r="I457" s="392"/>
    </row>
    <row r="458" spans="2:9" ht="15.75" customHeight="1" x14ac:dyDescent="0.2">
      <c r="B458" s="405"/>
      <c r="D458" s="404"/>
      <c r="I458" s="392"/>
    </row>
    <row r="459" spans="2:9" ht="15.75" customHeight="1" x14ac:dyDescent="0.2">
      <c r="B459" s="405"/>
      <c r="D459" s="404"/>
      <c r="I459" s="392"/>
    </row>
    <row r="460" spans="2:9" ht="15.75" customHeight="1" x14ac:dyDescent="0.2">
      <c r="B460" s="405"/>
      <c r="D460" s="404"/>
      <c r="I460" s="392"/>
    </row>
    <row r="461" spans="2:9" ht="15.75" customHeight="1" x14ac:dyDescent="0.2">
      <c r="B461" s="405"/>
      <c r="D461" s="404"/>
      <c r="I461" s="392"/>
    </row>
    <row r="462" spans="2:9" ht="15.75" customHeight="1" x14ac:dyDescent="0.2">
      <c r="B462" s="405"/>
      <c r="D462" s="404"/>
      <c r="I462" s="392"/>
    </row>
    <row r="463" spans="2:9" ht="15.75" customHeight="1" x14ac:dyDescent="0.2">
      <c r="B463" s="405"/>
      <c r="D463" s="404"/>
      <c r="I463" s="392"/>
    </row>
    <row r="464" spans="2:9" ht="15.75" customHeight="1" x14ac:dyDescent="0.2">
      <c r="B464" s="405"/>
      <c r="D464" s="404"/>
      <c r="I464" s="392"/>
    </row>
    <row r="465" spans="2:9" ht="15.75" customHeight="1" x14ac:dyDescent="0.2">
      <c r="B465" s="405"/>
      <c r="D465" s="404"/>
      <c r="I465" s="392"/>
    </row>
    <row r="466" spans="2:9" ht="15.75" customHeight="1" x14ac:dyDescent="0.2">
      <c r="B466" s="405"/>
      <c r="D466" s="404"/>
      <c r="I466" s="392"/>
    </row>
    <row r="467" spans="2:9" ht="15.75" customHeight="1" x14ac:dyDescent="0.2">
      <c r="B467" s="405"/>
      <c r="D467" s="404"/>
      <c r="I467" s="392"/>
    </row>
    <row r="468" spans="2:9" ht="15.75" customHeight="1" x14ac:dyDescent="0.2">
      <c r="B468" s="405"/>
      <c r="D468" s="404"/>
      <c r="I468" s="392"/>
    </row>
    <row r="469" spans="2:9" ht="15.75" customHeight="1" x14ac:dyDescent="0.2">
      <c r="B469" s="405"/>
      <c r="D469" s="404"/>
      <c r="I469" s="392"/>
    </row>
    <row r="470" spans="2:9" ht="15.75" customHeight="1" x14ac:dyDescent="0.2">
      <c r="B470" s="405"/>
      <c r="D470" s="404"/>
      <c r="I470" s="392"/>
    </row>
    <row r="471" spans="2:9" ht="15.75" customHeight="1" x14ac:dyDescent="0.2">
      <c r="B471" s="405"/>
      <c r="D471" s="404"/>
      <c r="I471" s="392"/>
    </row>
    <row r="472" spans="2:9" ht="15.75" customHeight="1" x14ac:dyDescent="0.2">
      <c r="B472" s="405"/>
      <c r="D472" s="404"/>
      <c r="I472" s="392"/>
    </row>
    <row r="473" spans="2:9" ht="15.75" customHeight="1" x14ac:dyDescent="0.2">
      <c r="B473" s="405"/>
      <c r="D473" s="404"/>
      <c r="I473" s="392"/>
    </row>
    <row r="474" spans="2:9" ht="15.75" customHeight="1" x14ac:dyDescent="0.2">
      <c r="B474" s="405"/>
      <c r="D474" s="404"/>
      <c r="I474" s="392"/>
    </row>
    <row r="475" spans="2:9" ht="15.75" customHeight="1" x14ac:dyDescent="0.2">
      <c r="B475" s="405"/>
      <c r="D475" s="404"/>
      <c r="I475" s="392"/>
    </row>
    <row r="476" spans="2:9" ht="15.75" customHeight="1" x14ac:dyDescent="0.2">
      <c r="B476" s="405"/>
      <c r="D476" s="404"/>
      <c r="I476" s="392"/>
    </row>
    <row r="477" spans="2:9" ht="15.75" customHeight="1" x14ac:dyDescent="0.2">
      <c r="B477" s="405"/>
      <c r="D477" s="404"/>
      <c r="I477" s="392"/>
    </row>
    <row r="478" spans="2:9" ht="15.75" customHeight="1" x14ac:dyDescent="0.2">
      <c r="B478" s="405"/>
      <c r="D478" s="404"/>
      <c r="I478" s="392"/>
    </row>
    <row r="479" spans="2:9" ht="15.75" customHeight="1" x14ac:dyDescent="0.2">
      <c r="B479" s="405"/>
      <c r="D479" s="404"/>
      <c r="I479" s="392"/>
    </row>
    <row r="480" spans="2:9" ht="15.75" customHeight="1" x14ac:dyDescent="0.2">
      <c r="B480" s="405"/>
      <c r="D480" s="404"/>
      <c r="I480" s="392"/>
    </row>
    <row r="481" spans="2:9" ht="15.75" customHeight="1" x14ac:dyDescent="0.2">
      <c r="B481" s="405"/>
      <c r="D481" s="404"/>
      <c r="I481" s="392"/>
    </row>
    <row r="482" spans="2:9" ht="15.75" customHeight="1" x14ac:dyDescent="0.2">
      <c r="B482" s="405"/>
      <c r="D482" s="404"/>
      <c r="I482" s="392"/>
    </row>
    <row r="483" spans="2:9" ht="15.75" customHeight="1" x14ac:dyDescent="0.2">
      <c r="B483" s="405"/>
      <c r="D483" s="404"/>
      <c r="I483" s="392"/>
    </row>
    <row r="484" spans="2:9" ht="15.75" customHeight="1" x14ac:dyDescent="0.2">
      <c r="B484" s="405"/>
      <c r="D484" s="404"/>
      <c r="I484" s="392"/>
    </row>
    <row r="485" spans="2:9" ht="15.75" customHeight="1" x14ac:dyDescent="0.2">
      <c r="B485" s="405"/>
      <c r="D485" s="404"/>
      <c r="I485" s="392"/>
    </row>
    <row r="486" spans="2:9" ht="15.75" customHeight="1" x14ac:dyDescent="0.2">
      <c r="B486" s="405"/>
      <c r="D486" s="404"/>
      <c r="I486" s="392"/>
    </row>
    <row r="487" spans="2:9" ht="15.75" customHeight="1" x14ac:dyDescent="0.2">
      <c r="B487" s="405"/>
      <c r="D487" s="404"/>
      <c r="I487" s="392"/>
    </row>
    <row r="488" spans="2:9" ht="15.75" customHeight="1" x14ac:dyDescent="0.2">
      <c r="B488" s="405"/>
      <c r="D488" s="404"/>
      <c r="I488" s="392"/>
    </row>
    <row r="489" spans="2:9" ht="15.75" customHeight="1" x14ac:dyDescent="0.2">
      <c r="B489" s="405"/>
      <c r="D489" s="404"/>
      <c r="I489" s="392"/>
    </row>
    <row r="490" spans="2:9" ht="15.75" customHeight="1" x14ac:dyDescent="0.2">
      <c r="B490" s="405"/>
      <c r="D490" s="404"/>
      <c r="I490" s="392"/>
    </row>
    <row r="491" spans="2:9" ht="15.75" customHeight="1" x14ac:dyDescent="0.2">
      <c r="B491" s="405"/>
      <c r="D491" s="404"/>
      <c r="I491" s="392"/>
    </row>
    <row r="492" spans="2:9" ht="15.75" customHeight="1" x14ac:dyDescent="0.2">
      <c r="B492" s="405"/>
      <c r="D492" s="404"/>
      <c r="I492" s="392"/>
    </row>
    <row r="493" spans="2:9" ht="15.75" customHeight="1" x14ac:dyDescent="0.2">
      <c r="B493" s="405"/>
      <c r="D493" s="404"/>
      <c r="I493" s="392"/>
    </row>
    <row r="494" spans="2:9" ht="15.75" customHeight="1" x14ac:dyDescent="0.2">
      <c r="B494" s="405"/>
      <c r="D494" s="404"/>
      <c r="I494" s="392"/>
    </row>
    <row r="495" spans="2:9" ht="15.75" customHeight="1" x14ac:dyDescent="0.2">
      <c r="B495" s="405"/>
      <c r="D495" s="404"/>
      <c r="I495" s="392"/>
    </row>
    <row r="496" spans="2:9" ht="15.75" customHeight="1" x14ac:dyDescent="0.2">
      <c r="B496" s="405"/>
      <c r="D496" s="404"/>
      <c r="I496" s="392"/>
    </row>
    <row r="497" spans="2:9" ht="15.75" customHeight="1" x14ac:dyDescent="0.2">
      <c r="B497" s="405"/>
      <c r="D497" s="404"/>
      <c r="I497" s="392"/>
    </row>
    <row r="498" spans="2:9" ht="15.75" customHeight="1" x14ac:dyDescent="0.2">
      <c r="B498" s="405"/>
      <c r="D498" s="404"/>
      <c r="I498" s="392"/>
    </row>
    <row r="499" spans="2:9" ht="15.75" customHeight="1" x14ac:dyDescent="0.2">
      <c r="B499" s="405"/>
      <c r="D499" s="404"/>
      <c r="I499" s="392"/>
    </row>
    <row r="500" spans="2:9" ht="15.75" customHeight="1" x14ac:dyDescent="0.2">
      <c r="B500" s="405"/>
      <c r="D500" s="404"/>
      <c r="I500" s="392"/>
    </row>
    <row r="501" spans="2:9" ht="15.75" customHeight="1" x14ac:dyDescent="0.2">
      <c r="B501" s="405"/>
      <c r="D501" s="404"/>
      <c r="I501" s="392"/>
    </row>
    <row r="502" spans="2:9" ht="15.75" customHeight="1" x14ac:dyDescent="0.2">
      <c r="B502" s="405"/>
      <c r="D502" s="404"/>
      <c r="I502" s="392"/>
    </row>
    <row r="503" spans="2:9" ht="15.75" customHeight="1" x14ac:dyDescent="0.2">
      <c r="B503" s="405"/>
      <c r="D503" s="404"/>
      <c r="I503" s="392"/>
    </row>
    <row r="504" spans="2:9" ht="15.75" customHeight="1" x14ac:dyDescent="0.2">
      <c r="B504" s="405"/>
      <c r="D504" s="404"/>
      <c r="I504" s="392"/>
    </row>
    <row r="505" spans="2:9" ht="15.75" customHeight="1" x14ac:dyDescent="0.2">
      <c r="B505" s="405"/>
      <c r="D505" s="404"/>
      <c r="I505" s="392"/>
    </row>
    <row r="506" spans="2:9" ht="15.75" customHeight="1" x14ac:dyDescent="0.2">
      <c r="B506" s="405"/>
      <c r="D506" s="404"/>
      <c r="I506" s="392"/>
    </row>
    <row r="507" spans="2:9" ht="15.75" customHeight="1" x14ac:dyDescent="0.2">
      <c r="B507" s="405"/>
      <c r="D507" s="404"/>
      <c r="I507" s="392"/>
    </row>
    <row r="508" spans="2:9" ht="15.75" customHeight="1" x14ac:dyDescent="0.2">
      <c r="B508" s="405"/>
      <c r="D508" s="404"/>
      <c r="I508" s="392"/>
    </row>
    <row r="509" spans="2:9" ht="15.75" customHeight="1" x14ac:dyDescent="0.2">
      <c r="B509" s="405"/>
      <c r="D509" s="404"/>
      <c r="I509" s="392"/>
    </row>
    <row r="510" spans="2:9" ht="15.75" customHeight="1" x14ac:dyDescent="0.2">
      <c r="B510" s="405"/>
      <c r="D510" s="404"/>
      <c r="I510" s="392"/>
    </row>
    <row r="511" spans="2:9" ht="15.75" customHeight="1" x14ac:dyDescent="0.2">
      <c r="B511" s="405"/>
      <c r="D511" s="404"/>
      <c r="I511" s="392"/>
    </row>
    <row r="512" spans="2:9" ht="15.75" customHeight="1" x14ac:dyDescent="0.2">
      <c r="B512" s="405"/>
      <c r="D512" s="404"/>
      <c r="I512" s="392"/>
    </row>
    <row r="513" spans="2:9" ht="15.75" customHeight="1" x14ac:dyDescent="0.2">
      <c r="B513" s="405"/>
      <c r="D513" s="404"/>
      <c r="I513" s="392"/>
    </row>
    <row r="514" spans="2:9" ht="15.75" customHeight="1" x14ac:dyDescent="0.2">
      <c r="B514" s="405"/>
      <c r="D514" s="404"/>
      <c r="I514" s="392"/>
    </row>
    <row r="515" spans="2:9" ht="15.75" customHeight="1" x14ac:dyDescent="0.2">
      <c r="B515" s="405"/>
      <c r="D515" s="404"/>
      <c r="I515" s="392"/>
    </row>
    <row r="516" spans="2:9" ht="15.75" customHeight="1" x14ac:dyDescent="0.2">
      <c r="B516" s="405"/>
      <c r="D516" s="404"/>
      <c r="I516" s="392"/>
    </row>
    <row r="517" spans="2:9" ht="15.75" customHeight="1" x14ac:dyDescent="0.2">
      <c r="B517" s="405"/>
      <c r="D517" s="404"/>
      <c r="I517" s="392"/>
    </row>
    <row r="518" spans="2:9" ht="15.75" customHeight="1" x14ac:dyDescent="0.2">
      <c r="B518" s="405"/>
      <c r="D518" s="404"/>
      <c r="I518" s="392"/>
    </row>
    <row r="519" spans="2:9" ht="15.75" customHeight="1" x14ac:dyDescent="0.2">
      <c r="B519" s="405"/>
      <c r="D519" s="404"/>
      <c r="I519" s="392"/>
    </row>
    <row r="520" spans="2:9" ht="15.75" customHeight="1" x14ac:dyDescent="0.2">
      <c r="B520" s="405"/>
      <c r="D520" s="404"/>
      <c r="I520" s="392"/>
    </row>
    <row r="521" spans="2:9" ht="15.75" customHeight="1" x14ac:dyDescent="0.2">
      <c r="B521" s="405"/>
      <c r="D521" s="404"/>
      <c r="I521" s="392"/>
    </row>
    <row r="522" spans="2:9" ht="15.75" customHeight="1" x14ac:dyDescent="0.2">
      <c r="B522" s="405"/>
      <c r="D522" s="404"/>
      <c r="I522" s="392"/>
    </row>
    <row r="523" spans="2:9" ht="15.75" customHeight="1" x14ac:dyDescent="0.2">
      <c r="B523" s="405"/>
      <c r="D523" s="404"/>
      <c r="I523" s="392"/>
    </row>
    <row r="524" spans="2:9" ht="15.75" customHeight="1" x14ac:dyDescent="0.2">
      <c r="B524" s="405"/>
      <c r="D524" s="404"/>
      <c r="I524" s="392"/>
    </row>
    <row r="525" spans="2:9" ht="15.75" customHeight="1" x14ac:dyDescent="0.2">
      <c r="B525" s="405"/>
      <c r="D525" s="404"/>
      <c r="I525" s="392"/>
    </row>
    <row r="526" spans="2:9" ht="15.75" customHeight="1" x14ac:dyDescent="0.2">
      <c r="B526" s="405"/>
      <c r="D526" s="404"/>
      <c r="I526" s="392"/>
    </row>
    <row r="527" spans="2:9" ht="15.75" customHeight="1" x14ac:dyDescent="0.2">
      <c r="B527" s="405"/>
      <c r="D527" s="404"/>
      <c r="I527" s="392"/>
    </row>
    <row r="528" spans="2:9" ht="15.75" customHeight="1" x14ac:dyDescent="0.2">
      <c r="B528" s="405"/>
      <c r="D528" s="404"/>
      <c r="I528" s="392"/>
    </row>
    <row r="529" spans="2:9" ht="15.75" customHeight="1" x14ac:dyDescent="0.2">
      <c r="B529" s="405"/>
      <c r="D529" s="404"/>
      <c r="I529" s="392"/>
    </row>
    <row r="530" spans="2:9" ht="15.75" customHeight="1" x14ac:dyDescent="0.2">
      <c r="B530" s="405"/>
      <c r="D530" s="404"/>
      <c r="I530" s="392"/>
    </row>
    <row r="531" spans="2:9" ht="15.75" customHeight="1" x14ac:dyDescent="0.2">
      <c r="B531" s="405"/>
      <c r="D531" s="404"/>
      <c r="I531" s="392"/>
    </row>
    <row r="532" spans="2:9" ht="15.75" customHeight="1" x14ac:dyDescent="0.2">
      <c r="B532" s="405"/>
      <c r="D532" s="404"/>
      <c r="I532" s="392"/>
    </row>
    <row r="533" spans="2:9" ht="15.75" customHeight="1" x14ac:dyDescent="0.2">
      <c r="B533" s="405"/>
      <c r="D533" s="404"/>
      <c r="I533" s="392"/>
    </row>
    <row r="534" spans="2:9" ht="15.75" customHeight="1" x14ac:dyDescent="0.2">
      <c r="B534" s="405"/>
      <c r="D534" s="404"/>
      <c r="I534" s="392"/>
    </row>
    <row r="535" spans="2:9" ht="15.75" customHeight="1" x14ac:dyDescent="0.2">
      <c r="B535" s="405"/>
      <c r="D535" s="404"/>
      <c r="I535" s="392"/>
    </row>
    <row r="536" spans="2:9" ht="15.75" customHeight="1" x14ac:dyDescent="0.2">
      <c r="B536" s="405"/>
      <c r="D536" s="404"/>
      <c r="I536" s="392"/>
    </row>
    <row r="537" spans="2:9" ht="15.75" customHeight="1" x14ac:dyDescent="0.2">
      <c r="B537" s="405"/>
      <c r="D537" s="404"/>
      <c r="I537" s="392"/>
    </row>
    <row r="538" spans="2:9" ht="15.75" customHeight="1" x14ac:dyDescent="0.2">
      <c r="B538" s="405"/>
      <c r="D538" s="404"/>
      <c r="I538" s="392"/>
    </row>
    <row r="539" spans="2:9" ht="15.75" customHeight="1" x14ac:dyDescent="0.2">
      <c r="B539" s="405"/>
      <c r="D539" s="404"/>
      <c r="I539" s="392"/>
    </row>
    <row r="540" spans="2:9" ht="15.75" customHeight="1" x14ac:dyDescent="0.2">
      <c r="B540" s="405"/>
      <c r="D540" s="404"/>
      <c r="I540" s="392"/>
    </row>
    <row r="541" spans="2:9" ht="15.75" customHeight="1" x14ac:dyDescent="0.2">
      <c r="B541" s="405"/>
      <c r="D541" s="404"/>
      <c r="I541" s="392"/>
    </row>
    <row r="542" spans="2:9" ht="15.75" customHeight="1" x14ac:dyDescent="0.2">
      <c r="B542" s="405"/>
      <c r="D542" s="404"/>
      <c r="I542" s="392"/>
    </row>
    <row r="543" spans="2:9" ht="15.75" customHeight="1" x14ac:dyDescent="0.2">
      <c r="B543" s="405"/>
      <c r="D543" s="404"/>
      <c r="I543" s="392"/>
    </row>
    <row r="544" spans="2:9" ht="15.75" customHeight="1" x14ac:dyDescent="0.2">
      <c r="B544" s="405"/>
      <c r="D544" s="404"/>
      <c r="I544" s="392"/>
    </row>
    <row r="545" spans="2:9" ht="15.75" customHeight="1" x14ac:dyDescent="0.2">
      <c r="B545" s="405"/>
      <c r="D545" s="404"/>
      <c r="I545" s="392"/>
    </row>
    <row r="546" spans="2:9" ht="15.75" customHeight="1" x14ac:dyDescent="0.2">
      <c r="B546" s="405"/>
      <c r="D546" s="404"/>
      <c r="I546" s="392"/>
    </row>
    <row r="547" spans="2:9" ht="15.75" customHeight="1" x14ac:dyDescent="0.2">
      <c r="B547" s="405"/>
      <c r="D547" s="404"/>
      <c r="I547" s="392"/>
    </row>
    <row r="548" spans="2:9" ht="15.75" customHeight="1" x14ac:dyDescent="0.2">
      <c r="B548" s="405"/>
      <c r="D548" s="404"/>
      <c r="I548" s="392"/>
    </row>
    <row r="549" spans="2:9" ht="15.75" customHeight="1" x14ac:dyDescent="0.2">
      <c r="B549" s="405"/>
      <c r="D549" s="404"/>
      <c r="I549" s="392"/>
    </row>
    <row r="550" spans="2:9" ht="15.75" customHeight="1" x14ac:dyDescent="0.2">
      <c r="B550" s="405"/>
      <c r="D550" s="404"/>
      <c r="I550" s="392"/>
    </row>
    <row r="551" spans="2:9" ht="15.75" customHeight="1" x14ac:dyDescent="0.2">
      <c r="B551" s="405"/>
      <c r="D551" s="404"/>
      <c r="I551" s="392"/>
    </row>
    <row r="552" spans="2:9" ht="15.75" customHeight="1" x14ac:dyDescent="0.2">
      <c r="B552" s="405"/>
      <c r="D552" s="404"/>
      <c r="I552" s="392"/>
    </row>
    <row r="553" spans="2:9" ht="15.75" customHeight="1" x14ac:dyDescent="0.2">
      <c r="B553" s="405"/>
      <c r="D553" s="404"/>
      <c r="I553" s="392"/>
    </row>
    <row r="554" spans="2:9" ht="15.75" customHeight="1" x14ac:dyDescent="0.2">
      <c r="B554" s="405"/>
      <c r="D554" s="404"/>
      <c r="I554" s="392"/>
    </row>
    <row r="555" spans="2:9" ht="15.75" customHeight="1" x14ac:dyDescent="0.2">
      <c r="B555" s="405"/>
      <c r="D555" s="404"/>
      <c r="I555" s="392"/>
    </row>
    <row r="556" spans="2:9" ht="15.75" customHeight="1" x14ac:dyDescent="0.2">
      <c r="B556" s="405"/>
      <c r="D556" s="404"/>
      <c r="I556" s="392"/>
    </row>
    <row r="557" spans="2:9" ht="15.75" customHeight="1" x14ac:dyDescent="0.2">
      <c r="B557" s="405"/>
      <c r="D557" s="404"/>
      <c r="I557" s="392"/>
    </row>
    <row r="558" spans="2:9" ht="15.75" customHeight="1" x14ac:dyDescent="0.2">
      <c r="B558" s="405"/>
      <c r="D558" s="404"/>
      <c r="I558" s="392"/>
    </row>
    <row r="559" spans="2:9" ht="15.75" customHeight="1" x14ac:dyDescent="0.2">
      <c r="B559" s="405"/>
      <c r="D559" s="404"/>
      <c r="I559" s="392"/>
    </row>
    <row r="560" spans="2:9" ht="15.75" customHeight="1" x14ac:dyDescent="0.2">
      <c r="B560" s="405"/>
      <c r="D560" s="404"/>
      <c r="I560" s="392"/>
    </row>
    <row r="561" spans="2:9" ht="15.75" customHeight="1" x14ac:dyDescent="0.2">
      <c r="B561" s="405"/>
      <c r="D561" s="404"/>
      <c r="I561" s="392"/>
    </row>
    <row r="562" spans="2:9" ht="15.75" customHeight="1" x14ac:dyDescent="0.2">
      <c r="B562" s="405"/>
      <c r="D562" s="404"/>
      <c r="I562" s="392"/>
    </row>
    <row r="563" spans="2:9" ht="15.75" customHeight="1" x14ac:dyDescent="0.2">
      <c r="B563" s="405"/>
      <c r="D563" s="404"/>
      <c r="I563" s="392"/>
    </row>
    <row r="564" spans="2:9" ht="15.75" customHeight="1" x14ac:dyDescent="0.2">
      <c r="B564" s="405"/>
      <c r="D564" s="404"/>
      <c r="I564" s="392"/>
    </row>
    <row r="565" spans="2:9" ht="15.75" customHeight="1" x14ac:dyDescent="0.2">
      <c r="B565" s="405"/>
      <c r="D565" s="404"/>
      <c r="I565" s="392"/>
    </row>
    <row r="566" spans="2:9" ht="15.75" customHeight="1" x14ac:dyDescent="0.2">
      <c r="B566" s="405"/>
      <c r="D566" s="404"/>
      <c r="I566" s="392"/>
    </row>
    <row r="567" spans="2:9" ht="15.75" customHeight="1" x14ac:dyDescent="0.2">
      <c r="B567" s="405"/>
      <c r="D567" s="404"/>
      <c r="I567" s="392"/>
    </row>
    <row r="568" spans="2:9" ht="15.75" customHeight="1" x14ac:dyDescent="0.2">
      <c r="B568" s="405"/>
      <c r="D568" s="404"/>
      <c r="I568" s="392"/>
    </row>
    <row r="569" spans="2:9" ht="15.75" customHeight="1" x14ac:dyDescent="0.2">
      <c r="B569" s="405"/>
      <c r="D569" s="404"/>
      <c r="I569" s="392"/>
    </row>
    <row r="570" spans="2:9" ht="15.75" customHeight="1" x14ac:dyDescent="0.2">
      <c r="B570" s="405"/>
      <c r="D570" s="404"/>
      <c r="I570" s="392"/>
    </row>
    <row r="571" spans="2:9" ht="15.75" customHeight="1" x14ac:dyDescent="0.2">
      <c r="B571" s="405"/>
      <c r="D571" s="404"/>
      <c r="I571" s="392"/>
    </row>
    <row r="572" spans="2:9" ht="15.75" customHeight="1" x14ac:dyDescent="0.2">
      <c r="B572" s="405"/>
      <c r="D572" s="404"/>
      <c r="I572" s="392"/>
    </row>
    <row r="573" spans="2:9" ht="15.75" customHeight="1" x14ac:dyDescent="0.2">
      <c r="B573" s="405"/>
      <c r="D573" s="404"/>
      <c r="I573" s="392"/>
    </row>
    <row r="574" spans="2:9" ht="15.75" customHeight="1" x14ac:dyDescent="0.2">
      <c r="B574" s="405"/>
      <c r="D574" s="404"/>
      <c r="I574" s="392"/>
    </row>
    <row r="575" spans="2:9" ht="15.75" customHeight="1" x14ac:dyDescent="0.2">
      <c r="B575" s="405"/>
      <c r="D575" s="404"/>
      <c r="I575" s="392"/>
    </row>
    <row r="576" spans="2:9" ht="15.75" customHeight="1" x14ac:dyDescent="0.2">
      <c r="B576" s="405"/>
      <c r="D576" s="404"/>
      <c r="I576" s="392"/>
    </row>
    <row r="577" spans="2:9" ht="15.75" customHeight="1" x14ac:dyDescent="0.2">
      <c r="B577" s="405"/>
      <c r="D577" s="404"/>
      <c r="I577" s="392"/>
    </row>
    <row r="578" spans="2:9" ht="15.75" customHeight="1" x14ac:dyDescent="0.2">
      <c r="B578" s="405"/>
      <c r="D578" s="404"/>
      <c r="I578" s="392"/>
    </row>
    <row r="579" spans="2:9" ht="15.75" customHeight="1" x14ac:dyDescent="0.2">
      <c r="B579" s="405"/>
      <c r="D579" s="404"/>
      <c r="I579" s="392"/>
    </row>
    <row r="580" spans="2:9" ht="15.75" customHeight="1" x14ac:dyDescent="0.2">
      <c r="B580" s="405"/>
      <c r="D580" s="404"/>
      <c r="I580" s="392"/>
    </row>
    <row r="581" spans="2:9" ht="15.75" customHeight="1" x14ac:dyDescent="0.2">
      <c r="B581" s="405"/>
      <c r="D581" s="404"/>
      <c r="I581" s="392"/>
    </row>
    <row r="582" spans="2:9" ht="15.75" customHeight="1" x14ac:dyDescent="0.2">
      <c r="B582" s="405"/>
      <c r="D582" s="404"/>
      <c r="I582" s="392"/>
    </row>
    <row r="583" spans="2:9" ht="15.75" customHeight="1" x14ac:dyDescent="0.2">
      <c r="B583" s="405"/>
      <c r="D583" s="404"/>
      <c r="I583" s="392"/>
    </row>
    <row r="584" spans="2:9" ht="15.75" customHeight="1" x14ac:dyDescent="0.2">
      <c r="B584" s="405"/>
      <c r="D584" s="404"/>
      <c r="I584" s="392"/>
    </row>
    <row r="585" spans="2:9" ht="15.75" customHeight="1" x14ac:dyDescent="0.2">
      <c r="B585" s="405"/>
      <c r="D585" s="404"/>
      <c r="I585" s="392"/>
    </row>
    <row r="586" spans="2:9" ht="15.75" customHeight="1" x14ac:dyDescent="0.2">
      <c r="B586" s="405"/>
      <c r="D586" s="404"/>
      <c r="I586" s="392"/>
    </row>
    <row r="587" spans="2:9" ht="15.75" customHeight="1" x14ac:dyDescent="0.2">
      <c r="B587" s="405"/>
      <c r="D587" s="404"/>
      <c r="I587" s="392"/>
    </row>
    <row r="588" spans="2:9" ht="15.75" customHeight="1" x14ac:dyDescent="0.2">
      <c r="B588" s="405"/>
      <c r="D588" s="404"/>
      <c r="I588" s="392"/>
    </row>
    <row r="589" spans="2:9" ht="15.75" customHeight="1" x14ac:dyDescent="0.2">
      <c r="B589" s="405"/>
      <c r="D589" s="404"/>
      <c r="I589" s="392"/>
    </row>
    <row r="590" spans="2:9" ht="15.75" customHeight="1" x14ac:dyDescent="0.2">
      <c r="B590" s="405"/>
      <c r="D590" s="404"/>
      <c r="I590" s="392"/>
    </row>
    <row r="591" spans="2:9" ht="15.75" customHeight="1" x14ac:dyDescent="0.2">
      <c r="B591" s="405"/>
      <c r="D591" s="404"/>
      <c r="I591" s="392"/>
    </row>
    <row r="592" spans="2:9" ht="15.75" customHeight="1" x14ac:dyDescent="0.2">
      <c r="B592" s="405"/>
      <c r="D592" s="404"/>
      <c r="I592" s="392"/>
    </row>
    <row r="593" spans="2:9" ht="15.75" customHeight="1" x14ac:dyDescent="0.2">
      <c r="B593" s="405"/>
      <c r="D593" s="404"/>
      <c r="I593" s="392"/>
    </row>
    <row r="594" spans="2:9" ht="15.75" customHeight="1" x14ac:dyDescent="0.2">
      <c r="B594" s="405"/>
      <c r="D594" s="404"/>
      <c r="I594" s="392"/>
    </row>
    <row r="595" spans="2:9" ht="15.75" customHeight="1" x14ac:dyDescent="0.2">
      <c r="B595" s="405"/>
      <c r="D595" s="404"/>
      <c r="I595" s="392"/>
    </row>
    <row r="596" spans="2:9" ht="15.75" customHeight="1" x14ac:dyDescent="0.2">
      <c r="B596" s="405"/>
      <c r="D596" s="404"/>
      <c r="I596" s="392"/>
    </row>
    <row r="597" spans="2:9" ht="15.75" customHeight="1" x14ac:dyDescent="0.2">
      <c r="B597" s="405"/>
      <c r="D597" s="404"/>
      <c r="I597" s="392"/>
    </row>
    <row r="598" spans="2:9" ht="15.75" customHeight="1" x14ac:dyDescent="0.2">
      <c r="B598" s="405"/>
      <c r="D598" s="404"/>
      <c r="I598" s="392"/>
    </row>
    <row r="599" spans="2:9" ht="15.75" customHeight="1" x14ac:dyDescent="0.2">
      <c r="B599" s="405"/>
      <c r="D599" s="404"/>
      <c r="I599" s="392"/>
    </row>
    <row r="600" spans="2:9" ht="15.75" customHeight="1" x14ac:dyDescent="0.2">
      <c r="B600" s="405"/>
      <c r="D600" s="404"/>
      <c r="I600" s="392"/>
    </row>
    <row r="601" spans="2:9" ht="15.75" customHeight="1" x14ac:dyDescent="0.2">
      <c r="B601" s="405"/>
      <c r="D601" s="404"/>
      <c r="I601" s="392"/>
    </row>
    <row r="602" spans="2:9" ht="15.75" customHeight="1" x14ac:dyDescent="0.2">
      <c r="B602" s="405"/>
      <c r="D602" s="404"/>
      <c r="I602" s="392"/>
    </row>
    <row r="603" spans="2:9" ht="15.75" customHeight="1" x14ac:dyDescent="0.2">
      <c r="B603" s="405"/>
      <c r="D603" s="404"/>
      <c r="I603" s="392"/>
    </row>
    <row r="604" spans="2:9" ht="15.75" customHeight="1" x14ac:dyDescent="0.2">
      <c r="B604" s="405"/>
      <c r="D604" s="404"/>
      <c r="I604" s="392"/>
    </row>
    <row r="605" spans="2:9" ht="15.75" customHeight="1" x14ac:dyDescent="0.2">
      <c r="B605" s="405"/>
      <c r="D605" s="404"/>
      <c r="I605" s="392"/>
    </row>
    <row r="606" spans="2:9" ht="15.75" customHeight="1" x14ac:dyDescent="0.2">
      <c r="B606" s="405"/>
      <c r="D606" s="404"/>
      <c r="I606" s="392"/>
    </row>
    <row r="607" spans="2:9" ht="15.75" customHeight="1" x14ac:dyDescent="0.2">
      <c r="B607" s="405"/>
      <c r="D607" s="404"/>
      <c r="I607" s="392"/>
    </row>
    <row r="608" spans="2:9" ht="15.75" customHeight="1" x14ac:dyDescent="0.2">
      <c r="B608" s="405"/>
      <c r="D608" s="404"/>
      <c r="I608" s="392"/>
    </row>
    <row r="609" spans="2:9" ht="15.75" customHeight="1" x14ac:dyDescent="0.2">
      <c r="B609" s="405"/>
      <c r="D609" s="404"/>
      <c r="I609" s="392"/>
    </row>
    <row r="610" spans="2:9" ht="15.75" customHeight="1" x14ac:dyDescent="0.2">
      <c r="B610" s="405"/>
      <c r="D610" s="404"/>
      <c r="I610" s="392"/>
    </row>
    <row r="611" spans="2:9" ht="15.75" customHeight="1" x14ac:dyDescent="0.2">
      <c r="B611" s="405"/>
      <c r="D611" s="404"/>
      <c r="I611" s="392"/>
    </row>
    <row r="612" spans="2:9" ht="15.75" customHeight="1" x14ac:dyDescent="0.2">
      <c r="B612" s="405"/>
      <c r="D612" s="404"/>
      <c r="I612" s="392"/>
    </row>
    <row r="613" spans="2:9" ht="15.75" customHeight="1" x14ac:dyDescent="0.2">
      <c r="B613" s="405"/>
      <c r="D613" s="404"/>
      <c r="I613" s="392"/>
    </row>
    <row r="614" spans="2:9" ht="15.75" customHeight="1" x14ac:dyDescent="0.2">
      <c r="B614" s="405"/>
      <c r="D614" s="404"/>
      <c r="I614" s="392"/>
    </row>
    <row r="615" spans="2:9" ht="15.75" customHeight="1" x14ac:dyDescent="0.2">
      <c r="B615" s="405"/>
      <c r="D615" s="404"/>
      <c r="I615" s="392"/>
    </row>
    <row r="616" spans="2:9" ht="15.75" customHeight="1" x14ac:dyDescent="0.2">
      <c r="B616" s="405"/>
      <c r="D616" s="404"/>
      <c r="I616" s="392"/>
    </row>
    <row r="617" spans="2:9" ht="15.75" customHeight="1" x14ac:dyDescent="0.2">
      <c r="B617" s="405"/>
      <c r="D617" s="404"/>
      <c r="I617" s="392"/>
    </row>
    <row r="618" spans="2:9" ht="15.75" customHeight="1" x14ac:dyDescent="0.2">
      <c r="B618" s="405"/>
      <c r="D618" s="404"/>
      <c r="I618" s="392"/>
    </row>
    <row r="619" spans="2:9" ht="15.75" customHeight="1" x14ac:dyDescent="0.2">
      <c r="B619" s="405"/>
      <c r="D619" s="404"/>
      <c r="I619" s="392"/>
    </row>
    <row r="620" spans="2:9" ht="15.75" customHeight="1" x14ac:dyDescent="0.2">
      <c r="B620" s="405"/>
      <c r="D620" s="404"/>
      <c r="I620" s="392"/>
    </row>
    <row r="621" spans="2:9" ht="15.75" customHeight="1" x14ac:dyDescent="0.2">
      <c r="B621" s="405"/>
      <c r="D621" s="404"/>
      <c r="I621" s="392"/>
    </row>
    <row r="622" spans="2:9" ht="15.75" customHeight="1" x14ac:dyDescent="0.2">
      <c r="B622" s="405"/>
      <c r="D622" s="404"/>
      <c r="I622" s="392"/>
    </row>
    <row r="623" spans="2:9" ht="15.75" customHeight="1" x14ac:dyDescent="0.2">
      <c r="B623" s="405"/>
      <c r="D623" s="404"/>
      <c r="I623" s="392"/>
    </row>
    <row r="624" spans="2:9" ht="15.75" customHeight="1" x14ac:dyDescent="0.2">
      <c r="B624" s="405"/>
      <c r="D624" s="404"/>
      <c r="I624" s="392"/>
    </row>
    <row r="625" spans="2:9" ht="15.75" customHeight="1" x14ac:dyDescent="0.2">
      <c r="B625" s="405"/>
      <c r="D625" s="404"/>
      <c r="I625" s="392"/>
    </row>
    <row r="626" spans="2:9" ht="15.75" customHeight="1" x14ac:dyDescent="0.2">
      <c r="B626" s="405"/>
      <c r="D626" s="404"/>
      <c r="I626" s="392"/>
    </row>
    <row r="627" spans="2:9" ht="15.75" customHeight="1" x14ac:dyDescent="0.2">
      <c r="B627" s="405"/>
      <c r="D627" s="404"/>
      <c r="I627" s="392"/>
    </row>
    <row r="628" spans="2:9" ht="15.75" customHeight="1" x14ac:dyDescent="0.2">
      <c r="B628" s="405"/>
      <c r="D628" s="404"/>
      <c r="I628" s="392"/>
    </row>
    <row r="629" spans="2:9" ht="15.75" customHeight="1" x14ac:dyDescent="0.2">
      <c r="B629" s="405"/>
      <c r="D629" s="404"/>
      <c r="I629" s="392"/>
    </row>
    <row r="630" spans="2:9" ht="15.75" customHeight="1" x14ac:dyDescent="0.2">
      <c r="B630" s="405"/>
      <c r="D630" s="404"/>
      <c r="I630" s="392"/>
    </row>
    <row r="631" spans="2:9" ht="15.75" customHeight="1" x14ac:dyDescent="0.2">
      <c r="B631" s="405"/>
      <c r="D631" s="404"/>
      <c r="I631" s="392"/>
    </row>
    <row r="632" spans="2:9" ht="15.75" customHeight="1" x14ac:dyDescent="0.2">
      <c r="B632" s="405"/>
      <c r="D632" s="404"/>
      <c r="I632" s="392"/>
    </row>
    <row r="633" spans="2:9" ht="15.75" customHeight="1" x14ac:dyDescent="0.2">
      <c r="B633" s="405"/>
      <c r="D633" s="404"/>
      <c r="I633" s="392"/>
    </row>
    <row r="634" spans="2:9" ht="15.75" customHeight="1" x14ac:dyDescent="0.2">
      <c r="B634" s="405"/>
      <c r="D634" s="404"/>
      <c r="I634" s="392"/>
    </row>
    <row r="635" spans="2:9" ht="15.75" customHeight="1" x14ac:dyDescent="0.2">
      <c r="B635" s="405"/>
      <c r="D635" s="404"/>
      <c r="I635" s="392"/>
    </row>
    <row r="636" spans="2:9" ht="15.75" customHeight="1" x14ac:dyDescent="0.2">
      <c r="B636" s="405"/>
      <c r="D636" s="404"/>
      <c r="I636" s="392"/>
    </row>
    <row r="637" spans="2:9" ht="15.75" customHeight="1" x14ac:dyDescent="0.2">
      <c r="B637" s="405"/>
      <c r="D637" s="404"/>
      <c r="I637" s="392"/>
    </row>
    <row r="638" spans="2:9" ht="15.75" customHeight="1" x14ac:dyDescent="0.2">
      <c r="B638" s="405"/>
      <c r="D638" s="404"/>
      <c r="I638" s="392"/>
    </row>
    <row r="639" spans="2:9" ht="15.75" customHeight="1" x14ac:dyDescent="0.2">
      <c r="B639" s="405"/>
      <c r="D639" s="404"/>
      <c r="I639" s="392"/>
    </row>
    <row r="640" spans="2:9" ht="15.75" customHeight="1" x14ac:dyDescent="0.2">
      <c r="B640" s="405"/>
      <c r="D640" s="404"/>
      <c r="I640" s="392"/>
    </row>
    <row r="641" spans="2:9" ht="15.75" customHeight="1" x14ac:dyDescent="0.2">
      <c r="B641" s="405"/>
      <c r="D641" s="404"/>
      <c r="I641" s="392"/>
    </row>
    <row r="642" spans="2:9" ht="15.75" customHeight="1" x14ac:dyDescent="0.2">
      <c r="B642" s="405"/>
      <c r="D642" s="404"/>
      <c r="I642" s="392"/>
    </row>
    <row r="643" spans="2:9" ht="15.75" customHeight="1" x14ac:dyDescent="0.2">
      <c r="B643" s="405"/>
      <c r="D643" s="404"/>
      <c r="I643" s="392"/>
    </row>
    <row r="644" spans="2:9" ht="15.75" customHeight="1" x14ac:dyDescent="0.2">
      <c r="B644" s="405"/>
      <c r="D644" s="404"/>
      <c r="I644" s="392"/>
    </row>
    <row r="645" spans="2:9" ht="15.75" customHeight="1" x14ac:dyDescent="0.2">
      <c r="B645" s="405"/>
      <c r="D645" s="404"/>
      <c r="I645" s="392"/>
    </row>
    <row r="646" spans="2:9" ht="15.75" customHeight="1" x14ac:dyDescent="0.2">
      <c r="B646" s="405"/>
      <c r="D646" s="404"/>
      <c r="I646" s="392"/>
    </row>
    <row r="647" spans="2:9" ht="15.75" customHeight="1" x14ac:dyDescent="0.2">
      <c r="B647" s="405"/>
      <c r="D647" s="404"/>
      <c r="I647" s="392"/>
    </row>
    <row r="648" spans="2:9" ht="15.75" customHeight="1" x14ac:dyDescent="0.2">
      <c r="B648" s="405"/>
      <c r="D648" s="404"/>
      <c r="I648" s="392"/>
    </row>
    <row r="649" spans="2:9" ht="15.75" customHeight="1" x14ac:dyDescent="0.2">
      <c r="B649" s="405"/>
      <c r="D649" s="404"/>
      <c r="I649" s="392"/>
    </row>
    <row r="650" spans="2:9" ht="15.75" customHeight="1" x14ac:dyDescent="0.2">
      <c r="B650" s="405"/>
      <c r="D650" s="404"/>
      <c r="I650" s="392"/>
    </row>
    <row r="651" spans="2:9" ht="15.75" customHeight="1" x14ac:dyDescent="0.2">
      <c r="B651" s="405"/>
      <c r="D651" s="404"/>
      <c r="I651" s="392"/>
    </row>
    <row r="652" spans="2:9" ht="15.75" customHeight="1" x14ac:dyDescent="0.2">
      <c r="B652" s="405"/>
      <c r="D652" s="404"/>
      <c r="I652" s="392"/>
    </row>
    <row r="653" spans="2:9" ht="15.75" customHeight="1" x14ac:dyDescent="0.2">
      <c r="B653" s="405"/>
      <c r="D653" s="404"/>
      <c r="I653" s="392"/>
    </row>
    <row r="654" spans="2:9" ht="15.75" customHeight="1" x14ac:dyDescent="0.2">
      <c r="B654" s="405"/>
      <c r="D654" s="404"/>
      <c r="I654" s="392"/>
    </row>
    <row r="655" spans="2:9" ht="15.75" customHeight="1" x14ac:dyDescent="0.2">
      <c r="B655" s="405"/>
      <c r="D655" s="404"/>
      <c r="I655" s="392"/>
    </row>
    <row r="656" spans="2:9" ht="15.75" customHeight="1" x14ac:dyDescent="0.2">
      <c r="B656" s="405"/>
      <c r="D656" s="404"/>
      <c r="I656" s="392"/>
    </row>
    <row r="657" spans="2:9" ht="15.75" customHeight="1" x14ac:dyDescent="0.2">
      <c r="B657" s="405"/>
      <c r="D657" s="404"/>
      <c r="I657" s="392"/>
    </row>
    <row r="658" spans="2:9" ht="15.75" customHeight="1" x14ac:dyDescent="0.2">
      <c r="B658" s="405"/>
      <c r="D658" s="404"/>
      <c r="I658" s="392"/>
    </row>
    <row r="659" spans="2:9" ht="15.75" customHeight="1" x14ac:dyDescent="0.2">
      <c r="B659" s="405"/>
      <c r="D659" s="404"/>
      <c r="I659" s="392"/>
    </row>
    <row r="660" spans="2:9" ht="15.75" customHeight="1" x14ac:dyDescent="0.2">
      <c r="B660" s="405"/>
      <c r="D660" s="404"/>
      <c r="I660" s="392"/>
    </row>
    <row r="661" spans="2:9" ht="15.75" customHeight="1" x14ac:dyDescent="0.2">
      <c r="B661" s="405"/>
      <c r="D661" s="404"/>
      <c r="I661" s="392"/>
    </row>
    <row r="662" spans="2:9" ht="15.75" customHeight="1" x14ac:dyDescent="0.2">
      <c r="B662" s="405"/>
      <c r="D662" s="404"/>
      <c r="I662" s="392"/>
    </row>
    <row r="663" spans="2:9" ht="15.75" customHeight="1" x14ac:dyDescent="0.2">
      <c r="B663" s="405"/>
      <c r="D663" s="404"/>
      <c r="I663" s="392"/>
    </row>
    <row r="664" spans="2:9" ht="15.75" customHeight="1" x14ac:dyDescent="0.2">
      <c r="B664" s="405"/>
      <c r="D664" s="404"/>
      <c r="I664" s="392"/>
    </row>
    <row r="665" spans="2:9" ht="15.75" customHeight="1" x14ac:dyDescent="0.2">
      <c r="B665" s="405"/>
      <c r="D665" s="404"/>
      <c r="I665" s="392"/>
    </row>
    <row r="666" spans="2:9" ht="15.75" customHeight="1" x14ac:dyDescent="0.2">
      <c r="B666" s="405"/>
      <c r="D666" s="404"/>
      <c r="I666" s="392"/>
    </row>
    <row r="667" spans="2:9" ht="15.75" customHeight="1" x14ac:dyDescent="0.2">
      <c r="B667" s="405"/>
      <c r="D667" s="404"/>
      <c r="I667" s="392"/>
    </row>
    <row r="668" spans="2:9" ht="15.75" customHeight="1" x14ac:dyDescent="0.2">
      <c r="B668" s="405"/>
      <c r="D668" s="404"/>
      <c r="I668" s="392"/>
    </row>
    <row r="669" spans="2:9" ht="15.75" customHeight="1" x14ac:dyDescent="0.2">
      <c r="B669" s="405"/>
      <c r="D669" s="404"/>
      <c r="I669" s="392"/>
    </row>
    <row r="670" spans="2:9" ht="15.75" customHeight="1" x14ac:dyDescent="0.2">
      <c r="B670" s="405"/>
      <c r="D670" s="404"/>
      <c r="I670" s="392"/>
    </row>
    <row r="671" spans="2:9" ht="15.75" customHeight="1" x14ac:dyDescent="0.2">
      <c r="B671" s="405"/>
      <c r="D671" s="404"/>
      <c r="I671" s="392"/>
    </row>
    <row r="672" spans="2:9" ht="15.75" customHeight="1" x14ac:dyDescent="0.2">
      <c r="B672" s="405"/>
      <c r="D672" s="404"/>
      <c r="I672" s="392"/>
    </row>
    <row r="673" spans="2:9" ht="15.75" customHeight="1" x14ac:dyDescent="0.2">
      <c r="B673" s="405"/>
      <c r="D673" s="404"/>
      <c r="I673" s="392"/>
    </row>
    <row r="674" spans="2:9" ht="15.75" customHeight="1" x14ac:dyDescent="0.2">
      <c r="B674" s="405"/>
      <c r="D674" s="404"/>
      <c r="I674" s="392"/>
    </row>
    <row r="675" spans="2:9" ht="15.75" customHeight="1" x14ac:dyDescent="0.2">
      <c r="B675" s="405"/>
      <c r="D675" s="404"/>
      <c r="I675" s="392"/>
    </row>
    <row r="676" spans="2:9" ht="15.75" customHeight="1" x14ac:dyDescent="0.2">
      <c r="B676" s="405"/>
      <c r="D676" s="404"/>
      <c r="I676" s="392"/>
    </row>
    <row r="677" spans="2:9" ht="15.75" customHeight="1" x14ac:dyDescent="0.2">
      <c r="B677" s="405"/>
      <c r="D677" s="404"/>
      <c r="I677" s="392"/>
    </row>
    <row r="678" spans="2:9" ht="15.75" customHeight="1" x14ac:dyDescent="0.2">
      <c r="B678" s="405"/>
      <c r="D678" s="404"/>
      <c r="I678" s="392"/>
    </row>
    <row r="679" spans="2:9" ht="15.75" customHeight="1" x14ac:dyDescent="0.2">
      <c r="B679" s="405"/>
      <c r="D679" s="404"/>
      <c r="I679" s="392"/>
    </row>
    <row r="680" spans="2:9" ht="15.75" customHeight="1" x14ac:dyDescent="0.2">
      <c r="B680" s="405"/>
      <c r="D680" s="404"/>
      <c r="I680" s="392"/>
    </row>
    <row r="681" spans="2:9" ht="15.75" customHeight="1" x14ac:dyDescent="0.2">
      <c r="B681" s="405"/>
      <c r="D681" s="404"/>
      <c r="I681" s="392"/>
    </row>
    <row r="682" spans="2:9" ht="15.75" customHeight="1" x14ac:dyDescent="0.2">
      <c r="B682" s="405"/>
      <c r="D682" s="404"/>
      <c r="I682" s="392"/>
    </row>
    <row r="683" spans="2:9" ht="15.75" customHeight="1" x14ac:dyDescent="0.2">
      <c r="B683" s="405"/>
      <c r="D683" s="404"/>
      <c r="I683" s="392"/>
    </row>
    <row r="684" spans="2:9" ht="15.75" customHeight="1" x14ac:dyDescent="0.2">
      <c r="B684" s="405"/>
      <c r="D684" s="404"/>
      <c r="I684" s="392"/>
    </row>
    <row r="685" spans="2:9" ht="15.75" customHeight="1" x14ac:dyDescent="0.2">
      <c r="B685" s="405"/>
      <c r="D685" s="404"/>
      <c r="I685" s="392"/>
    </row>
    <row r="686" spans="2:9" ht="15.75" customHeight="1" x14ac:dyDescent="0.2">
      <c r="B686" s="405"/>
      <c r="D686" s="404"/>
      <c r="I686" s="392"/>
    </row>
    <row r="687" spans="2:9" ht="15.75" customHeight="1" x14ac:dyDescent="0.2">
      <c r="B687" s="405"/>
      <c r="D687" s="404"/>
      <c r="I687" s="392"/>
    </row>
    <row r="688" spans="2:9" ht="15.75" customHeight="1" x14ac:dyDescent="0.2">
      <c r="B688" s="405"/>
      <c r="D688" s="404"/>
      <c r="I688" s="392"/>
    </row>
    <row r="689" spans="2:9" ht="15.75" customHeight="1" x14ac:dyDescent="0.2">
      <c r="B689" s="405"/>
      <c r="D689" s="404"/>
      <c r="I689" s="392"/>
    </row>
    <row r="690" spans="2:9" ht="15.75" customHeight="1" x14ac:dyDescent="0.2">
      <c r="B690" s="405"/>
      <c r="D690" s="404"/>
      <c r="I690" s="392"/>
    </row>
    <row r="691" spans="2:9" ht="15.75" customHeight="1" x14ac:dyDescent="0.2">
      <c r="B691" s="405"/>
      <c r="D691" s="404"/>
      <c r="I691" s="392"/>
    </row>
    <row r="692" spans="2:9" ht="15.75" customHeight="1" x14ac:dyDescent="0.2">
      <c r="B692" s="405"/>
      <c r="D692" s="404"/>
      <c r="I692" s="392"/>
    </row>
    <row r="693" spans="2:9" ht="15.75" customHeight="1" x14ac:dyDescent="0.2">
      <c r="B693" s="405"/>
      <c r="D693" s="404"/>
      <c r="I693" s="392"/>
    </row>
    <row r="694" spans="2:9" ht="15.75" customHeight="1" x14ac:dyDescent="0.2">
      <c r="B694" s="405"/>
      <c r="D694" s="404"/>
      <c r="I694" s="392"/>
    </row>
    <row r="695" spans="2:9" ht="15.75" customHeight="1" x14ac:dyDescent="0.2">
      <c r="B695" s="405"/>
      <c r="D695" s="404"/>
      <c r="I695" s="392"/>
    </row>
    <row r="696" spans="2:9" ht="15.75" customHeight="1" x14ac:dyDescent="0.2">
      <c r="B696" s="405"/>
      <c r="D696" s="404"/>
      <c r="I696" s="392"/>
    </row>
    <row r="697" spans="2:9" ht="15.75" customHeight="1" x14ac:dyDescent="0.2">
      <c r="B697" s="405"/>
      <c r="D697" s="404"/>
      <c r="I697" s="392"/>
    </row>
    <row r="698" spans="2:9" ht="15.75" customHeight="1" x14ac:dyDescent="0.2">
      <c r="B698" s="405"/>
      <c r="D698" s="404"/>
      <c r="I698" s="392"/>
    </row>
    <row r="699" spans="2:9" ht="15.75" customHeight="1" x14ac:dyDescent="0.2">
      <c r="B699" s="405"/>
      <c r="D699" s="404"/>
      <c r="I699" s="392"/>
    </row>
    <row r="700" spans="2:9" ht="15.75" customHeight="1" x14ac:dyDescent="0.2">
      <c r="B700" s="405"/>
      <c r="D700" s="404"/>
      <c r="I700" s="392"/>
    </row>
    <row r="701" spans="2:9" ht="15.75" customHeight="1" x14ac:dyDescent="0.2">
      <c r="B701" s="405"/>
      <c r="D701" s="404"/>
      <c r="I701" s="392"/>
    </row>
    <row r="702" spans="2:9" ht="15.75" customHeight="1" x14ac:dyDescent="0.2">
      <c r="B702" s="405"/>
      <c r="D702" s="404"/>
      <c r="I702" s="392"/>
    </row>
    <row r="703" spans="2:9" ht="15.75" customHeight="1" x14ac:dyDescent="0.2">
      <c r="B703" s="405"/>
      <c r="D703" s="404"/>
      <c r="I703" s="392"/>
    </row>
    <row r="704" spans="2:9" ht="15.75" customHeight="1" x14ac:dyDescent="0.2">
      <c r="B704" s="405"/>
      <c r="D704" s="404"/>
      <c r="I704" s="392"/>
    </row>
    <row r="705" spans="2:9" ht="15.75" customHeight="1" x14ac:dyDescent="0.2">
      <c r="B705" s="405"/>
      <c r="D705" s="404"/>
      <c r="I705" s="392"/>
    </row>
    <row r="706" spans="2:9" ht="15.75" customHeight="1" x14ac:dyDescent="0.2">
      <c r="B706" s="405"/>
      <c r="D706" s="404"/>
      <c r="I706" s="392"/>
    </row>
    <row r="707" spans="2:9" ht="15.75" customHeight="1" x14ac:dyDescent="0.2">
      <c r="B707" s="405"/>
      <c r="D707" s="404"/>
      <c r="I707" s="392"/>
    </row>
    <row r="708" spans="2:9" ht="15.75" customHeight="1" x14ac:dyDescent="0.2">
      <c r="B708" s="405"/>
      <c r="D708" s="404"/>
      <c r="I708" s="392"/>
    </row>
    <row r="709" spans="2:9" ht="15.75" customHeight="1" x14ac:dyDescent="0.2">
      <c r="B709" s="405"/>
      <c r="D709" s="404"/>
      <c r="I709" s="392"/>
    </row>
    <row r="710" spans="2:9" ht="15.75" customHeight="1" x14ac:dyDescent="0.2">
      <c r="B710" s="405"/>
      <c r="D710" s="404"/>
      <c r="I710" s="392"/>
    </row>
    <row r="711" spans="2:9" ht="15.75" customHeight="1" x14ac:dyDescent="0.2">
      <c r="B711" s="405"/>
      <c r="D711" s="404"/>
      <c r="I711" s="392"/>
    </row>
    <row r="712" spans="2:9" ht="15.75" customHeight="1" x14ac:dyDescent="0.2">
      <c r="B712" s="405"/>
      <c r="D712" s="404"/>
      <c r="I712" s="392"/>
    </row>
    <row r="713" spans="2:9" ht="15.75" customHeight="1" x14ac:dyDescent="0.2">
      <c r="B713" s="405"/>
      <c r="D713" s="404"/>
      <c r="I713" s="392"/>
    </row>
    <row r="714" spans="2:9" ht="15.75" customHeight="1" x14ac:dyDescent="0.2">
      <c r="B714" s="405"/>
      <c r="D714" s="404"/>
      <c r="I714" s="392"/>
    </row>
    <row r="715" spans="2:9" ht="15.75" customHeight="1" x14ac:dyDescent="0.2">
      <c r="B715" s="405"/>
      <c r="D715" s="404"/>
      <c r="I715" s="392"/>
    </row>
    <row r="716" spans="2:9" ht="15.75" customHeight="1" x14ac:dyDescent="0.2">
      <c r="B716" s="405"/>
      <c r="D716" s="404"/>
      <c r="I716" s="392"/>
    </row>
    <row r="717" spans="2:9" ht="15.75" customHeight="1" x14ac:dyDescent="0.2">
      <c r="B717" s="405"/>
      <c r="D717" s="404"/>
      <c r="I717" s="392"/>
    </row>
    <row r="718" spans="2:9" ht="15.75" customHeight="1" x14ac:dyDescent="0.2">
      <c r="B718" s="405"/>
      <c r="D718" s="404"/>
      <c r="I718" s="392"/>
    </row>
    <row r="719" spans="2:9" ht="15.75" customHeight="1" x14ac:dyDescent="0.2">
      <c r="B719" s="405"/>
      <c r="D719" s="404"/>
      <c r="I719" s="392"/>
    </row>
    <row r="720" spans="2:9" ht="15.75" customHeight="1" x14ac:dyDescent="0.2">
      <c r="B720" s="405"/>
      <c r="D720" s="404"/>
      <c r="I720" s="392"/>
    </row>
    <row r="721" spans="2:9" ht="15.75" customHeight="1" x14ac:dyDescent="0.2">
      <c r="B721" s="405"/>
      <c r="D721" s="404"/>
      <c r="I721" s="392"/>
    </row>
    <row r="722" spans="2:9" ht="15.75" customHeight="1" x14ac:dyDescent="0.2">
      <c r="B722" s="405"/>
      <c r="D722" s="404"/>
      <c r="I722" s="392"/>
    </row>
    <row r="723" spans="2:9" ht="15.75" customHeight="1" x14ac:dyDescent="0.2">
      <c r="B723" s="405"/>
      <c r="D723" s="404"/>
      <c r="I723" s="392"/>
    </row>
    <row r="724" spans="2:9" ht="15.75" customHeight="1" x14ac:dyDescent="0.2">
      <c r="B724" s="405"/>
      <c r="D724" s="404"/>
      <c r="I724" s="392"/>
    </row>
    <row r="725" spans="2:9" ht="15.75" customHeight="1" x14ac:dyDescent="0.2">
      <c r="B725" s="405"/>
      <c r="D725" s="404"/>
      <c r="I725" s="392"/>
    </row>
    <row r="726" spans="2:9" ht="15.75" customHeight="1" x14ac:dyDescent="0.2">
      <c r="B726" s="405"/>
      <c r="D726" s="404"/>
      <c r="I726" s="392"/>
    </row>
    <row r="727" spans="2:9" ht="15.75" customHeight="1" x14ac:dyDescent="0.2">
      <c r="B727" s="405"/>
      <c r="D727" s="404"/>
      <c r="I727" s="392"/>
    </row>
    <row r="728" spans="2:9" ht="15.75" customHeight="1" x14ac:dyDescent="0.2">
      <c r="B728" s="405"/>
      <c r="D728" s="404"/>
      <c r="I728" s="392"/>
    </row>
    <row r="729" spans="2:9" ht="15.75" customHeight="1" x14ac:dyDescent="0.2">
      <c r="B729" s="405"/>
      <c r="D729" s="404"/>
      <c r="I729" s="392"/>
    </row>
    <row r="730" spans="2:9" ht="15.75" customHeight="1" x14ac:dyDescent="0.2">
      <c r="B730" s="405"/>
      <c r="D730" s="404"/>
      <c r="I730" s="392"/>
    </row>
    <row r="731" spans="2:9" ht="15.75" customHeight="1" x14ac:dyDescent="0.2">
      <c r="B731" s="405"/>
      <c r="D731" s="404"/>
      <c r="I731" s="392"/>
    </row>
    <row r="732" spans="2:9" ht="15.75" customHeight="1" x14ac:dyDescent="0.2">
      <c r="B732" s="405"/>
      <c r="D732" s="404"/>
      <c r="I732" s="392"/>
    </row>
    <row r="733" spans="2:9" ht="15.75" customHeight="1" x14ac:dyDescent="0.2">
      <c r="B733" s="405"/>
      <c r="D733" s="404"/>
      <c r="I733" s="392"/>
    </row>
    <row r="734" spans="2:9" ht="15.75" customHeight="1" x14ac:dyDescent="0.2">
      <c r="B734" s="405"/>
      <c r="D734" s="404"/>
      <c r="I734" s="392"/>
    </row>
    <row r="735" spans="2:9" ht="15.75" customHeight="1" x14ac:dyDescent="0.2">
      <c r="B735" s="405"/>
      <c r="D735" s="404"/>
      <c r="I735" s="392"/>
    </row>
    <row r="736" spans="2:9" ht="15.75" customHeight="1" x14ac:dyDescent="0.2">
      <c r="B736" s="405"/>
      <c r="D736" s="404"/>
      <c r="I736" s="392"/>
    </row>
    <row r="737" spans="2:9" ht="15.75" customHeight="1" x14ac:dyDescent="0.2">
      <c r="B737" s="405"/>
      <c r="D737" s="404"/>
      <c r="I737" s="392"/>
    </row>
    <row r="738" spans="2:9" ht="15.75" customHeight="1" x14ac:dyDescent="0.2">
      <c r="B738" s="405"/>
      <c r="D738" s="404"/>
      <c r="I738" s="392"/>
    </row>
    <row r="739" spans="2:9" ht="15.75" customHeight="1" x14ac:dyDescent="0.2">
      <c r="B739" s="405"/>
      <c r="D739" s="404"/>
      <c r="I739" s="392"/>
    </row>
    <row r="740" spans="2:9" ht="15.75" customHeight="1" x14ac:dyDescent="0.2">
      <c r="B740" s="405"/>
      <c r="D740" s="404"/>
      <c r="I740" s="392"/>
    </row>
    <row r="741" spans="2:9" ht="15.75" customHeight="1" x14ac:dyDescent="0.2">
      <c r="B741" s="405"/>
      <c r="D741" s="404"/>
      <c r="I741" s="392"/>
    </row>
    <row r="742" spans="2:9" ht="15.75" customHeight="1" x14ac:dyDescent="0.2">
      <c r="B742" s="405"/>
      <c r="D742" s="404"/>
      <c r="I742" s="392"/>
    </row>
    <row r="743" spans="2:9" ht="15.75" customHeight="1" x14ac:dyDescent="0.2">
      <c r="B743" s="405"/>
      <c r="D743" s="404"/>
      <c r="I743" s="392"/>
    </row>
    <row r="744" spans="2:9" ht="15.75" customHeight="1" x14ac:dyDescent="0.2">
      <c r="B744" s="405"/>
      <c r="D744" s="404"/>
      <c r="I744" s="392"/>
    </row>
    <row r="745" spans="2:9" ht="15.75" customHeight="1" x14ac:dyDescent="0.2">
      <c r="B745" s="405"/>
      <c r="D745" s="404"/>
      <c r="I745" s="392"/>
    </row>
    <row r="746" spans="2:9" ht="15.75" customHeight="1" x14ac:dyDescent="0.2">
      <c r="B746" s="405"/>
      <c r="D746" s="404"/>
      <c r="I746" s="392"/>
    </row>
    <row r="747" spans="2:9" ht="15.75" customHeight="1" x14ac:dyDescent="0.2">
      <c r="B747" s="405"/>
      <c r="D747" s="404"/>
      <c r="I747" s="392"/>
    </row>
    <row r="748" spans="2:9" ht="15.75" customHeight="1" x14ac:dyDescent="0.2">
      <c r="B748" s="405"/>
      <c r="D748" s="404"/>
      <c r="I748" s="392"/>
    </row>
    <row r="749" spans="2:9" ht="15.75" customHeight="1" x14ac:dyDescent="0.2">
      <c r="B749" s="405"/>
      <c r="D749" s="404"/>
      <c r="I749" s="392"/>
    </row>
    <row r="750" spans="2:9" ht="15.75" customHeight="1" x14ac:dyDescent="0.2">
      <c r="B750" s="405"/>
      <c r="D750" s="404"/>
      <c r="I750" s="392"/>
    </row>
    <row r="751" spans="2:9" ht="15.75" customHeight="1" x14ac:dyDescent="0.2">
      <c r="B751" s="405"/>
      <c r="D751" s="404"/>
      <c r="I751" s="392"/>
    </row>
    <row r="752" spans="2:9" ht="15.75" customHeight="1" x14ac:dyDescent="0.2">
      <c r="B752" s="405"/>
      <c r="D752" s="404"/>
      <c r="I752" s="392"/>
    </row>
    <row r="753" spans="2:9" ht="15.75" customHeight="1" x14ac:dyDescent="0.2">
      <c r="B753" s="405"/>
      <c r="D753" s="404"/>
      <c r="I753" s="392"/>
    </row>
    <row r="754" spans="2:9" ht="15.75" customHeight="1" x14ac:dyDescent="0.2">
      <c r="B754" s="405"/>
      <c r="D754" s="404"/>
      <c r="I754" s="392"/>
    </row>
    <row r="755" spans="2:9" ht="15.75" customHeight="1" x14ac:dyDescent="0.2">
      <c r="B755" s="405"/>
      <c r="D755" s="404"/>
      <c r="I755" s="392"/>
    </row>
    <row r="756" spans="2:9" ht="15.75" customHeight="1" x14ac:dyDescent="0.2">
      <c r="B756" s="405"/>
      <c r="D756" s="404"/>
      <c r="I756" s="392"/>
    </row>
    <row r="757" spans="2:9" ht="15.75" customHeight="1" x14ac:dyDescent="0.2">
      <c r="B757" s="405"/>
      <c r="D757" s="404"/>
      <c r="I757" s="392"/>
    </row>
    <row r="758" spans="2:9" ht="15.75" customHeight="1" x14ac:dyDescent="0.2">
      <c r="B758" s="405"/>
      <c r="D758" s="404"/>
      <c r="I758" s="392"/>
    </row>
    <row r="759" spans="2:9" ht="15.75" customHeight="1" x14ac:dyDescent="0.2">
      <c r="B759" s="405"/>
      <c r="D759" s="404"/>
      <c r="I759" s="392"/>
    </row>
    <row r="760" spans="2:9" ht="15.75" customHeight="1" x14ac:dyDescent="0.2">
      <c r="B760" s="405"/>
      <c r="D760" s="404"/>
      <c r="I760" s="392"/>
    </row>
    <row r="761" spans="2:9" ht="15.75" customHeight="1" x14ac:dyDescent="0.2">
      <c r="B761" s="405"/>
      <c r="D761" s="404"/>
      <c r="I761" s="392"/>
    </row>
    <row r="762" spans="2:9" ht="15.75" customHeight="1" x14ac:dyDescent="0.2">
      <c r="B762" s="405"/>
      <c r="D762" s="404"/>
      <c r="I762" s="392"/>
    </row>
    <row r="763" spans="2:9" ht="15.75" customHeight="1" x14ac:dyDescent="0.2">
      <c r="B763" s="405"/>
      <c r="D763" s="404"/>
      <c r="I763" s="392"/>
    </row>
    <row r="764" spans="2:9" ht="15.75" customHeight="1" x14ac:dyDescent="0.2">
      <c r="B764" s="405"/>
      <c r="D764" s="404"/>
      <c r="I764" s="392"/>
    </row>
    <row r="765" spans="2:9" ht="15.75" customHeight="1" x14ac:dyDescent="0.2">
      <c r="B765" s="405"/>
      <c r="D765" s="404"/>
      <c r="I765" s="392"/>
    </row>
    <row r="766" spans="2:9" ht="15.75" customHeight="1" x14ac:dyDescent="0.2">
      <c r="B766" s="405"/>
      <c r="D766" s="404"/>
      <c r="I766" s="392"/>
    </row>
    <row r="767" spans="2:9" ht="15.75" customHeight="1" x14ac:dyDescent="0.2">
      <c r="B767" s="405"/>
      <c r="D767" s="404"/>
      <c r="I767" s="392"/>
    </row>
    <row r="768" spans="2:9" ht="15.75" customHeight="1" x14ac:dyDescent="0.2">
      <c r="B768" s="405"/>
      <c r="D768" s="404"/>
      <c r="I768" s="392"/>
    </row>
    <row r="769" spans="2:9" ht="15.75" customHeight="1" x14ac:dyDescent="0.2">
      <c r="B769" s="405"/>
      <c r="D769" s="404"/>
      <c r="I769" s="392"/>
    </row>
    <row r="770" spans="2:9" ht="15.75" customHeight="1" x14ac:dyDescent="0.2">
      <c r="B770" s="405"/>
      <c r="D770" s="404"/>
      <c r="I770" s="392"/>
    </row>
    <row r="771" spans="2:9" ht="15.75" customHeight="1" x14ac:dyDescent="0.2">
      <c r="B771" s="405"/>
      <c r="D771" s="404"/>
      <c r="I771" s="392"/>
    </row>
    <row r="772" spans="2:9" ht="15.75" customHeight="1" x14ac:dyDescent="0.2">
      <c r="B772" s="405"/>
      <c r="D772" s="404"/>
      <c r="I772" s="392"/>
    </row>
    <row r="773" spans="2:9" ht="15.75" customHeight="1" x14ac:dyDescent="0.2">
      <c r="B773" s="405"/>
      <c r="D773" s="404"/>
      <c r="I773" s="392"/>
    </row>
    <row r="774" spans="2:9" ht="15.75" customHeight="1" x14ac:dyDescent="0.2">
      <c r="B774" s="405"/>
      <c r="D774" s="404"/>
      <c r="I774" s="392"/>
    </row>
    <row r="775" spans="2:9" ht="15.75" customHeight="1" x14ac:dyDescent="0.2">
      <c r="B775" s="405"/>
      <c r="D775" s="404"/>
      <c r="I775" s="392"/>
    </row>
    <row r="776" spans="2:9" ht="15.75" customHeight="1" x14ac:dyDescent="0.2">
      <c r="B776" s="405"/>
      <c r="D776" s="404"/>
      <c r="I776" s="392"/>
    </row>
    <row r="777" spans="2:9" ht="15.75" customHeight="1" x14ac:dyDescent="0.2">
      <c r="B777" s="405"/>
      <c r="D777" s="404"/>
      <c r="I777" s="392"/>
    </row>
    <row r="778" spans="2:9" ht="15.75" customHeight="1" x14ac:dyDescent="0.2">
      <c r="B778" s="405"/>
      <c r="D778" s="404"/>
      <c r="I778" s="392"/>
    </row>
    <row r="779" spans="2:9" ht="15.75" customHeight="1" x14ac:dyDescent="0.2">
      <c r="B779" s="405"/>
      <c r="D779" s="404"/>
      <c r="I779" s="392"/>
    </row>
    <row r="780" spans="2:9" ht="15.75" customHeight="1" x14ac:dyDescent="0.2">
      <c r="B780" s="405"/>
      <c r="D780" s="404"/>
      <c r="I780" s="392"/>
    </row>
    <row r="781" spans="2:9" ht="15.75" customHeight="1" x14ac:dyDescent="0.2">
      <c r="B781" s="405"/>
      <c r="D781" s="404"/>
      <c r="I781" s="392"/>
    </row>
    <row r="782" spans="2:9" ht="15.75" customHeight="1" x14ac:dyDescent="0.2">
      <c r="B782" s="405"/>
      <c r="D782" s="404"/>
      <c r="I782" s="392"/>
    </row>
    <row r="783" spans="2:9" ht="15.75" customHeight="1" x14ac:dyDescent="0.2">
      <c r="B783" s="405"/>
      <c r="D783" s="404"/>
      <c r="I783" s="392"/>
    </row>
    <row r="784" spans="2:9" ht="15.75" customHeight="1" x14ac:dyDescent="0.2">
      <c r="B784" s="405"/>
      <c r="D784" s="404"/>
      <c r="I784" s="392"/>
    </row>
    <row r="785" spans="2:9" ht="15.75" customHeight="1" x14ac:dyDescent="0.2">
      <c r="B785" s="405"/>
      <c r="D785" s="404"/>
      <c r="I785" s="392"/>
    </row>
    <row r="786" spans="2:9" ht="15.75" customHeight="1" x14ac:dyDescent="0.2">
      <c r="B786" s="405"/>
      <c r="D786" s="404"/>
      <c r="I786" s="392"/>
    </row>
    <row r="787" spans="2:9" ht="15.75" customHeight="1" x14ac:dyDescent="0.2">
      <c r="B787" s="405"/>
      <c r="D787" s="404"/>
      <c r="I787" s="392"/>
    </row>
    <row r="788" spans="2:9" ht="15.75" customHeight="1" x14ac:dyDescent="0.2">
      <c r="B788" s="405"/>
      <c r="D788" s="404"/>
      <c r="I788" s="392"/>
    </row>
    <row r="789" spans="2:9" ht="15.75" customHeight="1" x14ac:dyDescent="0.2">
      <c r="B789" s="405"/>
      <c r="D789" s="404"/>
      <c r="I789" s="392"/>
    </row>
    <row r="790" spans="2:9" ht="15.75" customHeight="1" x14ac:dyDescent="0.2">
      <c r="B790" s="405"/>
      <c r="D790" s="404"/>
      <c r="I790" s="392"/>
    </row>
    <row r="791" spans="2:9" ht="15.75" customHeight="1" x14ac:dyDescent="0.2">
      <c r="B791" s="405"/>
      <c r="D791" s="404"/>
      <c r="I791" s="392"/>
    </row>
    <row r="792" spans="2:9" ht="15.75" customHeight="1" x14ac:dyDescent="0.2">
      <c r="B792" s="405"/>
      <c r="D792" s="404"/>
      <c r="I792" s="392"/>
    </row>
    <row r="793" spans="2:9" ht="15.75" customHeight="1" x14ac:dyDescent="0.2">
      <c r="B793" s="405"/>
      <c r="D793" s="404"/>
      <c r="I793" s="392"/>
    </row>
    <row r="794" spans="2:9" ht="15.75" customHeight="1" x14ac:dyDescent="0.2">
      <c r="B794" s="405"/>
      <c r="D794" s="404"/>
      <c r="I794" s="392"/>
    </row>
    <row r="795" spans="2:9" ht="15.75" customHeight="1" x14ac:dyDescent="0.2">
      <c r="B795" s="405"/>
      <c r="D795" s="404"/>
      <c r="I795" s="392"/>
    </row>
    <row r="796" spans="2:9" ht="15.75" customHeight="1" x14ac:dyDescent="0.2">
      <c r="B796" s="405"/>
      <c r="D796" s="404"/>
      <c r="I796" s="392"/>
    </row>
    <row r="797" spans="2:9" ht="15.75" customHeight="1" x14ac:dyDescent="0.2">
      <c r="B797" s="405"/>
      <c r="D797" s="404"/>
      <c r="I797" s="392"/>
    </row>
    <row r="798" spans="2:9" ht="15.75" customHeight="1" x14ac:dyDescent="0.2">
      <c r="B798" s="405"/>
      <c r="D798" s="404"/>
      <c r="I798" s="392"/>
    </row>
    <row r="799" spans="2:9" ht="15.75" customHeight="1" x14ac:dyDescent="0.2">
      <c r="B799" s="405"/>
      <c r="D799" s="404"/>
      <c r="I799" s="392"/>
    </row>
    <row r="800" spans="2:9" ht="15.75" customHeight="1" x14ac:dyDescent="0.2">
      <c r="B800" s="405"/>
      <c r="D800" s="404"/>
      <c r="I800" s="392"/>
    </row>
    <row r="801" spans="2:9" ht="15.75" customHeight="1" x14ac:dyDescent="0.2">
      <c r="B801" s="405"/>
      <c r="D801" s="404"/>
      <c r="I801" s="392"/>
    </row>
    <row r="802" spans="2:9" ht="15.75" customHeight="1" x14ac:dyDescent="0.2">
      <c r="B802" s="405"/>
      <c r="D802" s="404"/>
      <c r="I802" s="392"/>
    </row>
    <row r="803" spans="2:9" ht="15.75" customHeight="1" x14ac:dyDescent="0.2">
      <c r="B803" s="405"/>
      <c r="D803" s="404"/>
      <c r="I803" s="392"/>
    </row>
    <row r="804" spans="2:9" ht="15.75" customHeight="1" x14ac:dyDescent="0.2">
      <c r="B804" s="405"/>
      <c r="D804" s="404"/>
      <c r="I804" s="392"/>
    </row>
    <row r="805" spans="2:9" ht="15.75" customHeight="1" x14ac:dyDescent="0.2">
      <c r="B805" s="405"/>
      <c r="D805" s="404"/>
      <c r="I805" s="392"/>
    </row>
    <row r="806" spans="2:9" ht="15.75" customHeight="1" x14ac:dyDescent="0.2">
      <c r="B806" s="405"/>
      <c r="D806" s="404"/>
      <c r="I806" s="392"/>
    </row>
    <row r="807" spans="2:9" ht="15.75" customHeight="1" x14ac:dyDescent="0.2">
      <c r="B807" s="405"/>
      <c r="D807" s="404"/>
      <c r="I807" s="392"/>
    </row>
    <row r="808" spans="2:9" ht="15.75" customHeight="1" x14ac:dyDescent="0.2">
      <c r="B808" s="405"/>
      <c r="D808" s="404"/>
      <c r="I808" s="392"/>
    </row>
    <row r="809" spans="2:9" ht="15.75" customHeight="1" x14ac:dyDescent="0.2">
      <c r="B809" s="405"/>
      <c r="D809" s="404"/>
      <c r="I809" s="392"/>
    </row>
    <row r="810" spans="2:9" ht="15.75" customHeight="1" x14ac:dyDescent="0.2">
      <c r="B810" s="405"/>
      <c r="D810" s="404"/>
      <c r="I810" s="392"/>
    </row>
    <row r="811" spans="2:9" ht="15.75" customHeight="1" x14ac:dyDescent="0.2">
      <c r="B811" s="405"/>
      <c r="D811" s="404"/>
      <c r="I811" s="392"/>
    </row>
    <row r="812" spans="2:9" ht="15.75" customHeight="1" x14ac:dyDescent="0.2">
      <c r="B812" s="405"/>
      <c r="D812" s="404"/>
      <c r="I812" s="392"/>
    </row>
    <row r="813" spans="2:9" ht="15.75" customHeight="1" x14ac:dyDescent="0.2">
      <c r="B813" s="405"/>
      <c r="D813" s="404"/>
      <c r="I813" s="392"/>
    </row>
    <row r="814" spans="2:9" ht="15.75" customHeight="1" x14ac:dyDescent="0.2">
      <c r="B814" s="405"/>
      <c r="D814" s="404"/>
      <c r="I814" s="392"/>
    </row>
    <row r="815" spans="2:9" ht="15.75" customHeight="1" x14ac:dyDescent="0.2">
      <c r="B815" s="405"/>
      <c r="D815" s="404"/>
      <c r="I815" s="392"/>
    </row>
    <row r="816" spans="2:9" ht="15.75" customHeight="1" x14ac:dyDescent="0.2">
      <c r="B816" s="405"/>
      <c r="D816" s="404"/>
      <c r="I816" s="392"/>
    </row>
    <row r="817" spans="2:9" ht="15.75" customHeight="1" x14ac:dyDescent="0.2">
      <c r="B817" s="405"/>
      <c r="D817" s="404"/>
      <c r="I817" s="392"/>
    </row>
    <row r="818" spans="2:9" ht="15.75" customHeight="1" x14ac:dyDescent="0.2">
      <c r="B818" s="405"/>
      <c r="D818" s="404"/>
      <c r="I818" s="392"/>
    </row>
    <row r="819" spans="2:9" ht="15.75" customHeight="1" x14ac:dyDescent="0.2">
      <c r="B819" s="405"/>
      <c r="D819" s="404"/>
      <c r="I819" s="392"/>
    </row>
    <row r="820" spans="2:9" ht="15.75" customHeight="1" x14ac:dyDescent="0.2">
      <c r="B820" s="405"/>
      <c r="D820" s="404"/>
      <c r="I820" s="392"/>
    </row>
    <row r="821" spans="2:9" ht="15.75" customHeight="1" x14ac:dyDescent="0.2">
      <c r="B821" s="405"/>
      <c r="D821" s="404"/>
      <c r="I821" s="392"/>
    </row>
    <row r="822" spans="2:9" ht="15.75" customHeight="1" x14ac:dyDescent="0.2">
      <c r="B822" s="405"/>
      <c r="D822" s="404"/>
      <c r="I822" s="392"/>
    </row>
    <row r="823" spans="2:9" ht="15.75" customHeight="1" x14ac:dyDescent="0.2">
      <c r="B823" s="405"/>
      <c r="D823" s="404"/>
      <c r="I823" s="392"/>
    </row>
    <row r="824" spans="2:9" ht="15.75" customHeight="1" x14ac:dyDescent="0.2">
      <c r="B824" s="405"/>
      <c r="D824" s="404"/>
      <c r="I824" s="392"/>
    </row>
    <row r="825" spans="2:9" ht="15.75" customHeight="1" x14ac:dyDescent="0.2">
      <c r="B825" s="405"/>
      <c r="D825" s="404"/>
      <c r="I825" s="392"/>
    </row>
    <row r="826" spans="2:9" ht="15.75" customHeight="1" x14ac:dyDescent="0.2">
      <c r="B826" s="405"/>
      <c r="D826" s="404"/>
      <c r="I826" s="392"/>
    </row>
    <row r="827" spans="2:9" ht="15.75" customHeight="1" x14ac:dyDescent="0.2">
      <c r="B827" s="405"/>
      <c r="D827" s="404"/>
      <c r="I827" s="392"/>
    </row>
    <row r="828" spans="2:9" ht="15.75" customHeight="1" x14ac:dyDescent="0.2">
      <c r="B828" s="405"/>
      <c r="D828" s="404"/>
      <c r="I828" s="392"/>
    </row>
    <row r="829" spans="2:9" ht="15.75" customHeight="1" x14ac:dyDescent="0.2">
      <c r="B829" s="405"/>
      <c r="D829" s="404"/>
      <c r="I829" s="392"/>
    </row>
    <row r="830" spans="2:9" ht="15.75" customHeight="1" x14ac:dyDescent="0.2">
      <c r="B830" s="405"/>
      <c r="D830" s="404"/>
      <c r="I830" s="392"/>
    </row>
    <row r="831" spans="2:9" ht="15.75" customHeight="1" x14ac:dyDescent="0.2">
      <c r="B831" s="405"/>
      <c r="D831" s="404"/>
      <c r="I831" s="392"/>
    </row>
    <row r="832" spans="2:9" ht="15.75" customHeight="1" x14ac:dyDescent="0.2">
      <c r="B832" s="405"/>
      <c r="D832" s="404"/>
      <c r="I832" s="392"/>
    </row>
    <row r="833" spans="2:9" ht="15.75" customHeight="1" x14ac:dyDescent="0.2">
      <c r="B833" s="405"/>
      <c r="D833" s="404"/>
      <c r="I833" s="392"/>
    </row>
    <row r="834" spans="2:9" ht="15.75" customHeight="1" x14ac:dyDescent="0.2">
      <c r="B834" s="405"/>
      <c r="D834" s="404"/>
      <c r="I834" s="392"/>
    </row>
    <row r="835" spans="2:9" ht="15.75" customHeight="1" x14ac:dyDescent="0.2">
      <c r="B835" s="405"/>
      <c r="D835" s="404"/>
      <c r="I835" s="392"/>
    </row>
    <row r="836" spans="2:9" ht="15.75" customHeight="1" x14ac:dyDescent="0.2">
      <c r="B836" s="405"/>
      <c r="D836" s="404"/>
      <c r="I836" s="392"/>
    </row>
    <row r="837" spans="2:9" ht="15.75" customHeight="1" x14ac:dyDescent="0.2">
      <c r="B837" s="405"/>
      <c r="D837" s="404"/>
      <c r="I837" s="392"/>
    </row>
    <row r="838" spans="2:9" ht="15.75" customHeight="1" x14ac:dyDescent="0.2">
      <c r="B838" s="405"/>
      <c r="D838" s="404"/>
      <c r="I838" s="392"/>
    </row>
    <row r="839" spans="2:9" ht="15.75" customHeight="1" x14ac:dyDescent="0.2">
      <c r="B839" s="405"/>
      <c r="D839" s="404"/>
      <c r="I839" s="392"/>
    </row>
    <row r="840" spans="2:9" ht="15.75" customHeight="1" x14ac:dyDescent="0.2">
      <c r="B840" s="405"/>
      <c r="D840" s="404"/>
      <c r="I840" s="392"/>
    </row>
    <row r="841" spans="2:9" ht="15.75" customHeight="1" x14ac:dyDescent="0.2">
      <c r="B841" s="405"/>
      <c r="D841" s="404"/>
      <c r="I841" s="392"/>
    </row>
    <row r="842" spans="2:9" ht="15.75" customHeight="1" x14ac:dyDescent="0.2">
      <c r="B842" s="405"/>
      <c r="D842" s="404"/>
      <c r="I842" s="392"/>
    </row>
    <row r="843" spans="2:9" ht="15.75" customHeight="1" x14ac:dyDescent="0.2">
      <c r="B843" s="405"/>
      <c r="D843" s="404"/>
      <c r="I843" s="392"/>
    </row>
    <row r="844" spans="2:9" ht="15.75" customHeight="1" x14ac:dyDescent="0.2">
      <c r="B844" s="405"/>
      <c r="D844" s="404"/>
      <c r="I844" s="392"/>
    </row>
    <row r="845" spans="2:9" ht="15.75" customHeight="1" x14ac:dyDescent="0.2">
      <c r="B845" s="405"/>
      <c r="D845" s="404"/>
      <c r="I845" s="392"/>
    </row>
    <row r="846" spans="2:9" ht="15.75" customHeight="1" x14ac:dyDescent="0.2">
      <c r="B846" s="405"/>
      <c r="D846" s="404"/>
      <c r="I846" s="392"/>
    </row>
    <row r="847" spans="2:9" ht="15.75" customHeight="1" x14ac:dyDescent="0.2">
      <c r="B847" s="405"/>
      <c r="D847" s="404"/>
      <c r="I847" s="392"/>
    </row>
    <row r="848" spans="2:9" ht="15.75" customHeight="1" x14ac:dyDescent="0.2">
      <c r="B848" s="405"/>
      <c r="D848" s="404"/>
      <c r="I848" s="392"/>
    </row>
    <row r="849" spans="2:9" ht="15.75" customHeight="1" x14ac:dyDescent="0.2">
      <c r="B849" s="405"/>
      <c r="D849" s="404"/>
      <c r="I849" s="392"/>
    </row>
    <row r="850" spans="2:9" ht="15.75" customHeight="1" x14ac:dyDescent="0.2">
      <c r="B850" s="405"/>
      <c r="D850" s="404"/>
      <c r="I850" s="392"/>
    </row>
    <row r="851" spans="2:9" ht="15.75" customHeight="1" x14ac:dyDescent="0.2">
      <c r="B851" s="405"/>
      <c r="D851" s="404"/>
      <c r="I851" s="392"/>
    </row>
    <row r="852" spans="2:9" ht="15.75" customHeight="1" x14ac:dyDescent="0.2">
      <c r="B852" s="405"/>
      <c r="D852" s="404"/>
      <c r="I852" s="392"/>
    </row>
    <row r="853" spans="2:9" ht="15.75" customHeight="1" x14ac:dyDescent="0.2">
      <c r="B853" s="405"/>
      <c r="D853" s="404"/>
      <c r="I853" s="392"/>
    </row>
    <row r="854" spans="2:9" ht="15.75" customHeight="1" x14ac:dyDescent="0.2">
      <c r="B854" s="405"/>
      <c r="D854" s="404"/>
      <c r="I854" s="392"/>
    </row>
    <row r="855" spans="2:9" ht="15.75" customHeight="1" x14ac:dyDescent="0.2">
      <c r="B855" s="405"/>
      <c r="D855" s="404"/>
      <c r="I855" s="392"/>
    </row>
    <row r="856" spans="2:9" ht="15.75" customHeight="1" x14ac:dyDescent="0.2">
      <c r="B856" s="405"/>
      <c r="D856" s="404"/>
      <c r="I856" s="392"/>
    </row>
    <row r="857" spans="2:9" ht="15.75" customHeight="1" x14ac:dyDescent="0.2">
      <c r="B857" s="405"/>
      <c r="D857" s="404"/>
      <c r="I857" s="392"/>
    </row>
    <row r="858" spans="2:9" ht="15.75" customHeight="1" x14ac:dyDescent="0.2">
      <c r="B858" s="405"/>
      <c r="D858" s="404"/>
      <c r="I858" s="392"/>
    </row>
    <row r="859" spans="2:9" ht="15.75" customHeight="1" x14ac:dyDescent="0.2">
      <c r="B859" s="405"/>
      <c r="D859" s="404"/>
      <c r="I859" s="392"/>
    </row>
    <row r="860" spans="2:9" ht="15.75" customHeight="1" x14ac:dyDescent="0.2">
      <c r="B860" s="405"/>
      <c r="D860" s="404"/>
      <c r="I860" s="392"/>
    </row>
    <row r="861" spans="2:9" ht="15.75" customHeight="1" x14ac:dyDescent="0.2">
      <c r="B861" s="405"/>
      <c r="D861" s="404"/>
      <c r="I861" s="392"/>
    </row>
    <row r="862" spans="2:9" ht="15.75" customHeight="1" x14ac:dyDescent="0.2">
      <c r="B862" s="405"/>
      <c r="D862" s="404"/>
      <c r="I862" s="392"/>
    </row>
    <row r="863" spans="2:9" ht="15.75" customHeight="1" x14ac:dyDescent="0.2">
      <c r="B863" s="405"/>
      <c r="D863" s="404"/>
      <c r="I863" s="392"/>
    </row>
    <row r="864" spans="2:9" ht="15.75" customHeight="1" x14ac:dyDescent="0.2">
      <c r="B864" s="405"/>
      <c r="D864" s="404"/>
      <c r="I864" s="392"/>
    </row>
    <row r="865" spans="2:9" ht="15.75" customHeight="1" x14ac:dyDescent="0.2">
      <c r="B865" s="405"/>
      <c r="D865" s="404"/>
      <c r="I865" s="392"/>
    </row>
    <row r="866" spans="2:9" ht="15.75" customHeight="1" x14ac:dyDescent="0.2">
      <c r="B866" s="405"/>
      <c r="D866" s="404"/>
      <c r="I866" s="392"/>
    </row>
    <row r="867" spans="2:9" ht="15.75" customHeight="1" x14ac:dyDescent="0.2">
      <c r="B867" s="405"/>
      <c r="D867" s="404"/>
      <c r="I867" s="392"/>
    </row>
    <row r="868" spans="2:9" ht="15.75" customHeight="1" x14ac:dyDescent="0.2">
      <c r="B868" s="405"/>
      <c r="D868" s="404"/>
      <c r="I868" s="392"/>
    </row>
    <row r="869" spans="2:9" ht="15.75" customHeight="1" x14ac:dyDescent="0.2">
      <c r="B869" s="405"/>
      <c r="D869" s="404"/>
      <c r="I869" s="392"/>
    </row>
    <row r="870" spans="2:9" ht="15.75" customHeight="1" x14ac:dyDescent="0.2">
      <c r="B870" s="405"/>
      <c r="D870" s="404"/>
      <c r="I870" s="392"/>
    </row>
    <row r="871" spans="2:9" ht="15.75" customHeight="1" x14ac:dyDescent="0.2">
      <c r="B871" s="405"/>
      <c r="D871" s="404"/>
      <c r="I871" s="392"/>
    </row>
    <row r="872" spans="2:9" ht="15.75" customHeight="1" x14ac:dyDescent="0.2">
      <c r="B872" s="405"/>
      <c r="D872" s="404"/>
      <c r="I872" s="392"/>
    </row>
    <row r="873" spans="2:9" ht="15.75" customHeight="1" x14ac:dyDescent="0.2">
      <c r="B873" s="405"/>
      <c r="D873" s="404"/>
      <c r="I873" s="392"/>
    </row>
    <row r="874" spans="2:9" ht="15.75" customHeight="1" x14ac:dyDescent="0.2">
      <c r="B874" s="405"/>
      <c r="D874" s="404"/>
      <c r="I874" s="392"/>
    </row>
    <row r="875" spans="2:9" ht="15.75" customHeight="1" x14ac:dyDescent="0.2">
      <c r="B875" s="405"/>
      <c r="D875" s="404"/>
      <c r="I875" s="392"/>
    </row>
    <row r="876" spans="2:9" ht="15.75" customHeight="1" x14ac:dyDescent="0.2">
      <c r="B876" s="405"/>
      <c r="D876" s="404"/>
      <c r="I876" s="392"/>
    </row>
    <row r="877" spans="2:9" ht="15.75" customHeight="1" x14ac:dyDescent="0.2">
      <c r="B877" s="405"/>
      <c r="D877" s="404"/>
      <c r="I877" s="392"/>
    </row>
    <row r="878" spans="2:9" ht="15.75" customHeight="1" x14ac:dyDescent="0.2">
      <c r="B878" s="405"/>
      <c r="D878" s="404"/>
      <c r="I878" s="392"/>
    </row>
    <row r="879" spans="2:9" ht="15.75" customHeight="1" x14ac:dyDescent="0.2">
      <c r="B879" s="405"/>
      <c r="D879" s="404"/>
      <c r="I879" s="392"/>
    </row>
    <row r="880" spans="2:9" ht="15.75" customHeight="1" x14ac:dyDescent="0.2">
      <c r="B880" s="405"/>
      <c r="D880" s="404"/>
      <c r="I880" s="392"/>
    </row>
    <row r="881" spans="2:9" ht="15.75" customHeight="1" x14ac:dyDescent="0.2">
      <c r="B881" s="405"/>
      <c r="D881" s="404"/>
      <c r="I881" s="392"/>
    </row>
    <row r="882" spans="2:9" ht="15.75" customHeight="1" x14ac:dyDescent="0.2">
      <c r="B882" s="405"/>
      <c r="D882" s="404"/>
      <c r="I882" s="392"/>
    </row>
    <row r="883" spans="2:9" ht="15.75" customHeight="1" x14ac:dyDescent="0.2">
      <c r="B883" s="405"/>
      <c r="D883" s="404"/>
      <c r="I883" s="392"/>
    </row>
    <row r="884" spans="2:9" ht="15.75" customHeight="1" x14ac:dyDescent="0.2">
      <c r="B884" s="405"/>
      <c r="D884" s="404"/>
      <c r="I884" s="392"/>
    </row>
    <row r="885" spans="2:9" ht="15.75" customHeight="1" x14ac:dyDescent="0.2">
      <c r="B885" s="405"/>
      <c r="D885" s="404"/>
      <c r="I885" s="392"/>
    </row>
    <row r="886" spans="2:9" ht="15.75" customHeight="1" x14ac:dyDescent="0.2">
      <c r="B886" s="405"/>
      <c r="D886" s="404"/>
      <c r="I886" s="392"/>
    </row>
    <row r="887" spans="2:9" ht="15.75" customHeight="1" x14ac:dyDescent="0.2">
      <c r="B887" s="405"/>
      <c r="D887" s="404"/>
      <c r="I887" s="392"/>
    </row>
    <row r="888" spans="2:9" ht="15.75" customHeight="1" x14ac:dyDescent="0.2">
      <c r="B888" s="405"/>
      <c r="D888" s="404"/>
      <c r="I888" s="392"/>
    </row>
    <row r="889" spans="2:9" ht="15.75" customHeight="1" x14ac:dyDescent="0.2">
      <c r="B889" s="405"/>
      <c r="D889" s="404"/>
      <c r="I889" s="392"/>
    </row>
    <row r="890" spans="2:9" ht="15.75" customHeight="1" x14ac:dyDescent="0.2">
      <c r="B890" s="405"/>
      <c r="D890" s="404"/>
      <c r="I890" s="392"/>
    </row>
    <row r="891" spans="2:9" ht="15.75" customHeight="1" x14ac:dyDescent="0.2">
      <c r="B891" s="405"/>
      <c r="D891" s="404"/>
      <c r="I891" s="392"/>
    </row>
    <row r="892" spans="2:9" ht="15.75" customHeight="1" x14ac:dyDescent="0.2">
      <c r="B892" s="405"/>
      <c r="D892" s="404"/>
      <c r="I892" s="392"/>
    </row>
    <row r="893" spans="2:9" ht="15.75" customHeight="1" x14ac:dyDescent="0.2">
      <c r="B893" s="405"/>
      <c r="D893" s="404"/>
      <c r="I893" s="392"/>
    </row>
    <row r="894" spans="2:9" ht="15.75" customHeight="1" x14ac:dyDescent="0.2">
      <c r="B894" s="405"/>
      <c r="D894" s="404"/>
      <c r="I894" s="392"/>
    </row>
    <row r="895" spans="2:9" ht="15.75" customHeight="1" x14ac:dyDescent="0.2">
      <c r="B895" s="405"/>
      <c r="D895" s="404"/>
      <c r="I895" s="392"/>
    </row>
    <row r="896" spans="2:9" ht="15.75" customHeight="1" x14ac:dyDescent="0.2">
      <c r="B896" s="405"/>
      <c r="D896" s="404"/>
      <c r="I896" s="392"/>
    </row>
    <row r="897" spans="2:9" ht="15.75" customHeight="1" x14ac:dyDescent="0.2">
      <c r="B897" s="405"/>
      <c r="D897" s="404"/>
      <c r="I897" s="392"/>
    </row>
    <row r="898" spans="2:9" ht="15.75" customHeight="1" x14ac:dyDescent="0.2">
      <c r="B898" s="405"/>
      <c r="D898" s="404"/>
      <c r="I898" s="392"/>
    </row>
    <row r="899" spans="2:9" ht="15.75" customHeight="1" x14ac:dyDescent="0.2">
      <c r="B899" s="405"/>
      <c r="D899" s="404"/>
      <c r="I899" s="392"/>
    </row>
    <row r="900" spans="2:9" ht="15.75" customHeight="1" x14ac:dyDescent="0.2">
      <c r="B900" s="405"/>
      <c r="D900" s="404"/>
      <c r="I900" s="392"/>
    </row>
    <row r="901" spans="2:9" ht="15.75" customHeight="1" x14ac:dyDescent="0.2">
      <c r="B901" s="405"/>
      <c r="D901" s="404"/>
      <c r="I901" s="392"/>
    </row>
    <row r="902" spans="2:9" ht="15.75" customHeight="1" x14ac:dyDescent="0.2">
      <c r="B902" s="405"/>
      <c r="D902" s="404"/>
      <c r="I902" s="392"/>
    </row>
    <row r="903" spans="2:9" ht="15.75" customHeight="1" x14ac:dyDescent="0.2">
      <c r="B903" s="405"/>
      <c r="D903" s="404"/>
      <c r="I903" s="392"/>
    </row>
    <row r="904" spans="2:9" ht="15.75" customHeight="1" x14ac:dyDescent="0.2">
      <c r="B904" s="405"/>
      <c r="D904" s="404"/>
      <c r="I904" s="392"/>
    </row>
    <row r="905" spans="2:9" ht="15.75" customHeight="1" x14ac:dyDescent="0.2">
      <c r="B905" s="405"/>
      <c r="D905" s="404"/>
      <c r="I905" s="392"/>
    </row>
    <row r="906" spans="2:9" ht="15.75" customHeight="1" x14ac:dyDescent="0.2">
      <c r="B906" s="405"/>
      <c r="D906" s="404"/>
      <c r="I906" s="392"/>
    </row>
    <row r="907" spans="2:9" ht="15.75" customHeight="1" x14ac:dyDescent="0.2">
      <c r="B907" s="405"/>
      <c r="D907" s="404"/>
      <c r="I907" s="392"/>
    </row>
    <row r="908" spans="2:9" ht="15.75" customHeight="1" x14ac:dyDescent="0.2">
      <c r="B908" s="405"/>
      <c r="D908" s="404"/>
      <c r="I908" s="392"/>
    </row>
    <row r="909" spans="2:9" ht="15.75" customHeight="1" x14ac:dyDescent="0.2">
      <c r="B909" s="405"/>
      <c r="D909" s="404"/>
      <c r="I909" s="392"/>
    </row>
    <row r="910" spans="2:9" ht="15.75" customHeight="1" x14ac:dyDescent="0.2">
      <c r="B910" s="405"/>
      <c r="D910" s="404"/>
      <c r="I910" s="392"/>
    </row>
    <row r="911" spans="2:9" ht="15.75" customHeight="1" x14ac:dyDescent="0.2">
      <c r="B911" s="405"/>
      <c r="D911" s="404"/>
      <c r="I911" s="392"/>
    </row>
    <row r="912" spans="2:9" ht="15.75" customHeight="1" x14ac:dyDescent="0.2">
      <c r="B912" s="405"/>
      <c r="D912" s="404"/>
      <c r="I912" s="392"/>
    </row>
    <row r="913" spans="2:9" ht="15.75" customHeight="1" x14ac:dyDescent="0.2">
      <c r="B913" s="405"/>
      <c r="D913" s="404"/>
      <c r="I913" s="392"/>
    </row>
    <row r="914" spans="2:9" ht="15.75" customHeight="1" x14ac:dyDescent="0.2">
      <c r="B914" s="405"/>
      <c r="D914" s="404"/>
      <c r="I914" s="392"/>
    </row>
    <row r="915" spans="2:9" ht="15.75" customHeight="1" x14ac:dyDescent="0.2">
      <c r="B915" s="405"/>
      <c r="D915" s="404"/>
      <c r="I915" s="392"/>
    </row>
    <row r="916" spans="2:9" ht="15.75" customHeight="1" x14ac:dyDescent="0.2">
      <c r="B916" s="405"/>
      <c r="D916" s="404"/>
      <c r="I916" s="392"/>
    </row>
    <row r="917" spans="2:9" ht="15.75" customHeight="1" x14ac:dyDescent="0.2">
      <c r="B917" s="405"/>
      <c r="D917" s="404"/>
      <c r="I917" s="392"/>
    </row>
    <row r="918" spans="2:9" ht="15.75" customHeight="1" x14ac:dyDescent="0.2">
      <c r="B918" s="405"/>
      <c r="D918" s="404"/>
      <c r="I918" s="392"/>
    </row>
    <row r="919" spans="2:9" ht="15.75" customHeight="1" x14ac:dyDescent="0.2">
      <c r="B919" s="405"/>
      <c r="D919" s="404"/>
      <c r="I919" s="392"/>
    </row>
    <row r="920" spans="2:9" ht="15.75" customHeight="1" x14ac:dyDescent="0.2">
      <c r="B920" s="405"/>
      <c r="D920" s="404"/>
      <c r="I920" s="392"/>
    </row>
    <row r="921" spans="2:9" ht="15.75" customHeight="1" x14ac:dyDescent="0.2">
      <c r="B921" s="405"/>
      <c r="D921" s="404"/>
      <c r="I921" s="392"/>
    </row>
    <row r="922" spans="2:9" ht="15.75" customHeight="1" x14ac:dyDescent="0.2">
      <c r="B922" s="405"/>
      <c r="D922" s="404"/>
      <c r="I922" s="392"/>
    </row>
    <row r="923" spans="2:9" ht="15.75" customHeight="1" x14ac:dyDescent="0.2">
      <c r="B923" s="405"/>
      <c r="D923" s="404"/>
      <c r="I923" s="392"/>
    </row>
    <row r="924" spans="2:9" ht="15.75" customHeight="1" x14ac:dyDescent="0.2">
      <c r="B924" s="405"/>
      <c r="D924" s="404"/>
      <c r="I924" s="392"/>
    </row>
    <row r="925" spans="2:9" ht="15.75" customHeight="1" x14ac:dyDescent="0.2">
      <c r="B925" s="405"/>
      <c r="D925" s="404"/>
      <c r="I925" s="392"/>
    </row>
    <row r="926" spans="2:9" ht="15.75" customHeight="1" x14ac:dyDescent="0.2">
      <c r="B926" s="405"/>
      <c r="D926" s="404"/>
      <c r="I926" s="392"/>
    </row>
    <row r="927" spans="2:9" ht="15.75" customHeight="1" x14ac:dyDescent="0.2">
      <c r="B927" s="405"/>
      <c r="D927" s="404"/>
      <c r="I927" s="392"/>
    </row>
    <row r="928" spans="2:9" ht="15.75" customHeight="1" x14ac:dyDescent="0.2">
      <c r="B928" s="405"/>
      <c r="D928" s="404"/>
      <c r="I928" s="392"/>
    </row>
    <row r="929" spans="2:9" ht="15.75" customHeight="1" x14ac:dyDescent="0.2">
      <c r="B929" s="405"/>
      <c r="D929" s="404"/>
      <c r="I929" s="392"/>
    </row>
    <row r="930" spans="2:9" ht="15.75" customHeight="1" x14ac:dyDescent="0.2">
      <c r="B930" s="405"/>
      <c r="D930" s="404"/>
      <c r="I930" s="392"/>
    </row>
    <row r="931" spans="2:9" ht="15.75" customHeight="1" x14ac:dyDescent="0.2">
      <c r="B931" s="405"/>
      <c r="D931" s="404"/>
      <c r="I931" s="392"/>
    </row>
    <row r="932" spans="2:9" ht="15.75" customHeight="1" x14ac:dyDescent="0.2">
      <c r="B932" s="405"/>
      <c r="D932" s="404"/>
      <c r="I932" s="392"/>
    </row>
    <row r="933" spans="2:9" ht="15.75" customHeight="1" x14ac:dyDescent="0.2">
      <c r="B933" s="405"/>
      <c r="D933" s="404"/>
      <c r="I933" s="392"/>
    </row>
    <row r="934" spans="2:9" ht="15.75" customHeight="1" x14ac:dyDescent="0.2">
      <c r="B934" s="405"/>
      <c r="D934" s="404"/>
      <c r="I934" s="392"/>
    </row>
    <row r="935" spans="2:9" ht="15.75" customHeight="1" x14ac:dyDescent="0.2">
      <c r="B935" s="405"/>
      <c r="D935" s="404"/>
      <c r="I935" s="392"/>
    </row>
    <row r="936" spans="2:9" ht="15.75" customHeight="1" x14ac:dyDescent="0.2">
      <c r="B936" s="405"/>
      <c r="D936" s="404"/>
      <c r="I936" s="392"/>
    </row>
    <row r="937" spans="2:9" ht="15.75" customHeight="1" x14ac:dyDescent="0.2">
      <c r="B937" s="405"/>
      <c r="D937" s="404"/>
      <c r="I937" s="392"/>
    </row>
    <row r="938" spans="2:9" ht="15.75" customHeight="1" x14ac:dyDescent="0.2">
      <c r="B938" s="405"/>
      <c r="D938" s="404"/>
      <c r="I938" s="392"/>
    </row>
    <row r="939" spans="2:9" ht="16" x14ac:dyDescent="0.2">
      <c r="D939" s="406"/>
    </row>
    <row r="940" spans="2:9" ht="16" x14ac:dyDescent="0.2">
      <c r="D940" s="406"/>
    </row>
    <row r="941" spans="2:9" ht="16" x14ac:dyDescent="0.2">
      <c r="D941" s="406"/>
    </row>
    <row r="942" spans="2:9" ht="16" x14ac:dyDescent="0.2">
      <c r="D942" s="406"/>
    </row>
    <row r="943" spans="2:9" ht="16" x14ac:dyDescent="0.2">
      <c r="D943" s="406"/>
    </row>
    <row r="944" spans="2:9" ht="16" x14ac:dyDescent="0.2">
      <c r="D944" s="406"/>
    </row>
    <row r="945" spans="4:4" ht="16" x14ac:dyDescent="0.2">
      <c r="D945" s="406"/>
    </row>
    <row r="946" spans="4:4" ht="16" x14ac:dyDescent="0.2">
      <c r="D946" s="406"/>
    </row>
    <row r="947" spans="4:4" ht="16" x14ac:dyDescent="0.2">
      <c r="D947" s="406"/>
    </row>
    <row r="948" spans="4:4" ht="16" x14ac:dyDescent="0.2">
      <c r="D948" s="406"/>
    </row>
    <row r="949" spans="4:4" ht="16" x14ac:dyDescent="0.2">
      <c r="D949" s="406"/>
    </row>
    <row r="950" spans="4:4" ht="16" x14ac:dyDescent="0.2">
      <c r="D950" s="406"/>
    </row>
    <row r="951" spans="4:4" ht="16" x14ac:dyDescent="0.2">
      <c r="D951" s="406"/>
    </row>
    <row r="952" spans="4:4" ht="16" x14ac:dyDescent="0.2">
      <c r="D952" s="406"/>
    </row>
    <row r="953" spans="4:4" ht="16" x14ac:dyDescent="0.2">
      <c r="D953" s="406"/>
    </row>
    <row r="954" spans="4:4" ht="16" x14ac:dyDescent="0.2">
      <c r="D954" s="406"/>
    </row>
    <row r="955" spans="4:4" ht="16" x14ac:dyDescent="0.2">
      <c r="D955" s="406"/>
    </row>
    <row r="956" spans="4:4" ht="16" x14ac:dyDescent="0.2">
      <c r="D956" s="406"/>
    </row>
    <row r="957" spans="4:4" ht="16" x14ac:dyDescent="0.2">
      <c r="D957" s="406"/>
    </row>
    <row r="958" spans="4:4" ht="16" x14ac:dyDescent="0.2">
      <c r="D958" s="406"/>
    </row>
    <row r="959" spans="4:4" ht="16" x14ac:dyDescent="0.2">
      <c r="D959" s="406"/>
    </row>
    <row r="960" spans="4:4" ht="16" x14ac:dyDescent="0.2">
      <c r="D960" s="406"/>
    </row>
    <row r="961" spans="4:4" ht="16" x14ac:dyDescent="0.2">
      <c r="D961" s="406"/>
    </row>
    <row r="962" spans="4:4" ht="16" x14ac:dyDescent="0.2">
      <c r="D962" s="406"/>
    </row>
    <row r="963" spans="4:4" ht="16" x14ac:dyDescent="0.2">
      <c r="D963" s="406"/>
    </row>
    <row r="964" spans="4:4" ht="16" x14ac:dyDescent="0.2">
      <c r="D964" s="406"/>
    </row>
    <row r="965" spans="4:4" ht="16" x14ac:dyDescent="0.2">
      <c r="D965" s="406"/>
    </row>
    <row r="966" spans="4:4" ht="16" x14ac:dyDescent="0.2">
      <c r="D966" s="406"/>
    </row>
    <row r="967" spans="4:4" ht="16" x14ac:dyDescent="0.2">
      <c r="D967" s="406"/>
    </row>
    <row r="968" spans="4:4" ht="16" x14ac:dyDescent="0.2">
      <c r="D968" s="406"/>
    </row>
    <row r="969" spans="4:4" ht="16" x14ac:dyDescent="0.2">
      <c r="D969" s="406"/>
    </row>
    <row r="970" spans="4:4" ht="16" x14ac:dyDescent="0.2">
      <c r="D970" s="406"/>
    </row>
    <row r="971" spans="4:4" ht="16" x14ac:dyDescent="0.2">
      <c r="D971" s="406"/>
    </row>
    <row r="972" spans="4:4" ht="16" x14ac:dyDescent="0.2">
      <c r="D972" s="406"/>
    </row>
    <row r="973" spans="4:4" ht="16" x14ac:dyDescent="0.2">
      <c r="D973" s="406"/>
    </row>
    <row r="974" spans="4:4" ht="16" x14ac:dyDescent="0.2">
      <c r="D974" s="406"/>
    </row>
    <row r="975" spans="4:4" ht="16" x14ac:dyDescent="0.2">
      <c r="D975" s="406"/>
    </row>
    <row r="976" spans="4:4" ht="16" x14ac:dyDescent="0.2">
      <c r="D976" s="406"/>
    </row>
    <row r="977" spans="4:4" ht="16" x14ac:dyDescent="0.2">
      <c r="D977" s="406"/>
    </row>
    <row r="978" spans="4:4" ht="16" x14ac:dyDescent="0.2">
      <c r="D978" s="406"/>
    </row>
    <row r="979" spans="4:4" ht="16" x14ac:dyDescent="0.2">
      <c r="D979" s="406"/>
    </row>
    <row r="980" spans="4:4" ht="16" x14ac:dyDescent="0.2">
      <c r="D980" s="406"/>
    </row>
    <row r="981" spans="4:4" ht="16" x14ac:dyDescent="0.2">
      <c r="D981" s="406"/>
    </row>
    <row r="982" spans="4:4" ht="16" x14ac:dyDescent="0.2">
      <c r="D982" s="406"/>
    </row>
    <row r="983" spans="4:4" ht="16" x14ac:dyDescent="0.2">
      <c r="D983" s="406"/>
    </row>
    <row r="984" spans="4:4" ht="16" x14ac:dyDescent="0.2">
      <c r="D984" s="406"/>
    </row>
    <row r="985" spans="4:4" ht="16" x14ac:dyDescent="0.2">
      <c r="D985" s="406"/>
    </row>
    <row r="986" spans="4:4" ht="16" x14ac:dyDescent="0.2">
      <c r="D986" s="406"/>
    </row>
    <row r="987" spans="4:4" ht="16" x14ac:dyDescent="0.2">
      <c r="D987" s="406"/>
    </row>
    <row r="988" spans="4:4" ht="16" x14ac:dyDescent="0.2">
      <c r="D988" s="406"/>
    </row>
    <row r="989" spans="4:4" ht="16" x14ac:dyDescent="0.2">
      <c r="D989" s="406"/>
    </row>
    <row r="990" spans="4:4" ht="16" x14ac:dyDescent="0.2">
      <c r="D990" s="406"/>
    </row>
    <row r="991" spans="4:4" ht="16" x14ac:dyDescent="0.2">
      <c r="D991" s="406"/>
    </row>
    <row r="992" spans="4:4" ht="16" x14ac:dyDescent="0.2">
      <c r="D992" s="406"/>
    </row>
    <row r="993" spans="4:4" ht="16" x14ac:dyDescent="0.2">
      <c r="D993" s="406"/>
    </row>
    <row r="994" spans="4:4" ht="16" x14ac:dyDescent="0.2">
      <c r="D994" s="406"/>
    </row>
    <row r="995" spans="4:4" ht="16" x14ac:dyDescent="0.2">
      <c r="D995" s="406"/>
    </row>
    <row r="996" spans="4:4" ht="16" x14ac:dyDescent="0.2">
      <c r="D996" s="406"/>
    </row>
    <row r="997" spans="4:4" ht="16" x14ac:dyDescent="0.2">
      <c r="D997" s="406"/>
    </row>
    <row r="998" spans="4:4" ht="16" x14ac:dyDescent="0.2">
      <c r="D998" s="406"/>
    </row>
    <row r="999" spans="4:4" ht="16" x14ac:dyDescent="0.2">
      <c r="D999" s="406"/>
    </row>
    <row r="1000" spans="4:4" ht="16" x14ac:dyDescent="0.2">
      <c r="D1000" s="406"/>
    </row>
  </sheetData>
  <autoFilter ref="A1:I938" xr:uid="{00000000-0009-0000-0000-000005000000}"/>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00"/>
  <sheetViews>
    <sheetView workbookViewId="0"/>
  </sheetViews>
  <sheetFormatPr baseColWidth="10" defaultColWidth="11.1640625" defaultRowHeight="15" customHeight="1" x14ac:dyDescent="0.2"/>
  <cols>
    <col min="1" max="1" width="3.83203125" customWidth="1"/>
    <col min="2" max="2" width="30" customWidth="1"/>
    <col min="3" max="3" width="65" customWidth="1"/>
    <col min="4" max="4" width="15.83203125" customWidth="1"/>
    <col min="5" max="5" width="43.1640625" customWidth="1"/>
    <col min="6" max="6" width="17.6640625" customWidth="1"/>
    <col min="7" max="7" width="60.33203125" customWidth="1"/>
    <col min="8" max="8" width="15.83203125" customWidth="1"/>
    <col min="9" max="9" width="7.83203125" customWidth="1"/>
    <col min="10" max="28" width="11" customWidth="1"/>
  </cols>
  <sheetData>
    <row r="1" spans="1:28" ht="25.5" customHeight="1" x14ac:dyDescent="0.3">
      <c r="A1" s="407"/>
      <c r="B1" s="408"/>
      <c r="C1" s="407"/>
      <c r="D1" s="409"/>
      <c r="E1" s="407"/>
      <c r="F1" s="407"/>
      <c r="G1" s="407"/>
      <c r="H1" s="410"/>
      <c r="I1" s="407"/>
      <c r="J1" s="407"/>
      <c r="K1" s="407"/>
      <c r="L1" s="408"/>
      <c r="M1" s="407"/>
      <c r="N1" s="407"/>
      <c r="O1" s="407"/>
      <c r="P1" s="407"/>
      <c r="Q1" s="407"/>
      <c r="R1" s="407"/>
      <c r="S1" s="407"/>
      <c r="T1" s="407"/>
      <c r="U1" s="408"/>
      <c r="V1" s="407"/>
      <c r="W1" s="407"/>
      <c r="X1" s="407"/>
      <c r="Y1" s="407"/>
      <c r="Z1" s="407"/>
      <c r="AA1" s="407"/>
      <c r="AB1" s="407"/>
    </row>
    <row r="2" spans="1:28" ht="25.5" customHeight="1" x14ac:dyDescent="0.3">
      <c r="A2" s="407"/>
      <c r="B2" s="629" t="s">
        <v>885</v>
      </c>
      <c r="C2" s="630"/>
      <c r="D2" s="409"/>
      <c r="E2" s="633" t="s">
        <v>886</v>
      </c>
      <c r="F2" s="634"/>
      <c r="G2" s="634"/>
      <c r="H2" s="635"/>
      <c r="I2" s="407"/>
    </row>
    <row r="3" spans="1:28" ht="25.5" customHeight="1" x14ac:dyDescent="0.3">
      <c r="A3" s="407"/>
      <c r="B3" s="631"/>
      <c r="C3" s="632"/>
      <c r="D3" s="409"/>
      <c r="E3" s="411" t="s">
        <v>887</v>
      </c>
      <c r="F3" s="412" t="s">
        <v>888</v>
      </c>
      <c r="G3" s="413" t="s">
        <v>889</v>
      </c>
      <c r="H3" s="414" t="s">
        <v>888</v>
      </c>
      <c r="I3" s="407"/>
    </row>
    <row r="4" spans="1:28" ht="25.5" customHeight="1" x14ac:dyDescent="0.2">
      <c r="A4" s="407"/>
      <c r="B4" s="407"/>
      <c r="C4" s="407"/>
      <c r="D4" s="407"/>
      <c r="E4" s="407"/>
      <c r="F4" s="407"/>
      <c r="G4" s="407"/>
      <c r="H4" s="407"/>
      <c r="I4" s="407"/>
      <c r="J4" s="415"/>
      <c r="K4" s="415"/>
      <c r="L4" s="416"/>
      <c r="M4" s="415"/>
      <c r="N4" s="415"/>
      <c r="O4" s="415"/>
      <c r="P4" s="415"/>
      <c r="Q4" s="415"/>
      <c r="R4" s="415"/>
      <c r="S4" s="415"/>
      <c r="T4" s="415"/>
      <c r="U4" s="416"/>
      <c r="V4" s="415"/>
      <c r="W4" s="415"/>
      <c r="X4" s="415"/>
      <c r="Y4" s="415"/>
      <c r="Z4" s="415"/>
      <c r="AA4" s="415"/>
      <c r="AB4" s="415"/>
    </row>
    <row r="5" spans="1:28" ht="25.5" customHeight="1" x14ac:dyDescent="0.3">
      <c r="A5" s="407"/>
      <c r="B5" s="636" t="s">
        <v>890</v>
      </c>
      <c r="C5" s="417" t="s">
        <v>891</v>
      </c>
      <c r="D5" s="418" t="s">
        <v>892</v>
      </c>
      <c r="E5" s="419"/>
      <c r="F5" s="420"/>
      <c r="G5" s="421" t="s">
        <v>893</v>
      </c>
      <c r="H5" s="422">
        <v>41</v>
      </c>
      <c r="I5" s="407"/>
    </row>
    <row r="6" spans="1:28" ht="25.5" customHeight="1" x14ac:dyDescent="0.3">
      <c r="A6" s="407"/>
      <c r="B6" s="620"/>
      <c r="C6" s="423" t="s">
        <v>894</v>
      </c>
      <c r="D6" s="424">
        <v>1</v>
      </c>
      <c r="E6" s="425"/>
      <c r="F6" s="426"/>
      <c r="G6" s="427" t="s">
        <v>895</v>
      </c>
      <c r="H6" s="428">
        <v>42</v>
      </c>
      <c r="I6" s="407"/>
    </row>
    <row r="7" spans="1:28" ht="25.5" customHeight="1" x14ac:dyDescent="0.3">
      <c r="A7" s="407"/>
      <c r="B7" s="620"/>
      <c r="C7" s="429" t="s">
        <v>896</v>
      </c>
      <c r="D7" s="424">
        <v>2</v>
      </c>
      <c r="E7" s="430" t="s">
        <v>897</v>
      </c>
      <c r="F7" s="431">
        <v>31</v>
      </c>
      <c r="G7" s="432" t="s">
        <v>898</v>
      </c>
      <c r="H7" s="433">
        <v>43</v>
      </c>
      <c r="I7" s="407"/>
    </row>
    <row r="8" spans="1:28" ht="25.5" customHeight="1" x14ac:dyDescent="0.3">
      <c r="A8" s="407"/>
      <c r="B8" s="620"/>
      <c r="C8" s="423" t="s">
        <v>899</v>
      </c>
      <c r="D8" s="434">
        <v>3</v>
      </c>
      <c r="E8" s="435"/>
      <c r="F8" s="436"/>
      <c r="G8" s="437" t="s">
        <v>900</v>
      </c>
      <c r="H8" s="438">
        <v>54</v>
      </c>
      <c r="I8" s="407"/>
    </row>
    <row r="9" spans="1:28" ht="25.5" customHeight="1" x14ac:dyDescent="0.3">
      <c r="A9" s="407"/>
      <c r="B9" s="637"/>
      <c r="C9" s="439" t="s">
        <v>901</v>
      </c>
      <c r="D9" s="440">
        <v>4</v>
      </c>
      <c r="E9" s="441"/>
      <c r="F9" s="442"/>
      <c r="G9" s="442"/>
      <c r="H9" s="443"/>
      <c r="I9" s="407"/>
    </row>
    <row r="10" spans="1:28" ht="25.5" customHeight="1" x14ac:dyDescent="0.3">
      <c r="A10" s="407"/>
      <c r="B10" s="408"/>
      <c r="C10" s="444"/>
      <c r="D10" s="409"/>
      <c r="E10" s="407"/>
      <c r="F10" s="407"/>
      <c r="G10" s="407"/>
      <c r="H10" s="410"/>
      <c r="I10" s="407"/>
      <c r="J10" s="407"/>
      <c r="K10" s="407"/>
      <c r="L10" s="408"/>
      <c r="M10" s="407"/>
      <c r="N10" s="407"/>
      <c r="O10" s="407"/>
      <c r="P10" s="407"/>
      <c r="Q10" s="407"/>
      <c r="R10" s="407"/>
      <c r="S10" s="407"/>
      <c r="T10" s="407"/>
      <c r="U10" s="408"/>
      <c r="V10" s="407"/>
      <c r="W10" s="407"/>
      <c r="X10" s="407"/>
      <c r="Y10" s="407"/>
      <c r="Z10" s="407"/>
      <c r="AA10" s="407"/>
      <c r="AB10" s="407"/>
    </row>
    <row r="11" spans="1:28" ht="25.5" customHeight="1" x14ac:dyDescent="0.3">
      <c r="A11" s="407"/>
      <c r="B11" s="636" t="s">
        <v>902</v>
      </c>
      <c r="C11" s="417" t="s">
        <v>891</v>
      </c>
      <c r="D11" s="445" t="s">
        <v>892</v>
      </c>
      <c r="E11" s="446"/>
      <c r="F11" s="446"/>
      <c r="G11" s="447" t="s">
        <v>903</v>
      </c>
      <c r="H11" s="448">
        <v>45</v>
      </c>
      <c r="I11" s="407"/>
    </row>
    <row r="12" spans="1:28" ht="25.5" customHeight="1" x14ac:dyDescent="0.3">
      <c r="A12" s="407"/>
      <c r="B12" s="620"/>
      <c r="C12" s="423" t="s">
        <v>904</v>
      </c>
      <c r="D12" s="449">
        <v>5</v>
      </c>
      <c r="E12" s="450"/>
      <c r="F12" s="450"/>
      <c r="G12" s="451" t="s">
        <v>905</v>
      </c>
      <c r="H12" s="452">
        <v>56</v>
      </c>
      <c r="I12" s="407"/>
    </row>
    <row r="13" spans="1:28" ht="25.5" customHeight="1" x14ac:dyDescent="0.3">
      <c r="A13" s="407"/>
      <c r="B13" s="620"/>
      <c r="C13" s="429" t="s">
        <v>906</v>
      </c>
      <c r="D13" s="449">
        <v>6</v>
      </c>
      <c r="E13" s="453" t="s">
        <v>907</v>
      </c>
      <c r="F13" s="454">
        <v>32</v>
      </c>
      <c r="G13" s="455" t="s">
        <v>908</v>
      </c>
      <c r="H13" s="452">
        <v>47</v>
      </c>
      <c r="I13" s="407"/>
    </row>
    <row r="14" spans="1:28" ht="25.5" customHeight="1" x14ac:dyDescent="0.3">
      <c r="A14" s="407"/>
      <c r="B14" s="620"/>
      <c r="C14" s="423" t="s">
        <v>909</v>
      </c>
      <c r="D14" s="449">
        <v>7</v>
      </c>
      <c r="E14" s="450"/>
      <c r="F14" s="450"/>
      <c r="G14" s="456" t="s">
        <v>910</v>
      </c>
      <c r="H14" s="452">
        <v>58</v>
      </c>
      <c r="I14" s="407"/>
    </row>
    <row r="15" spans="1:28" ht="25.5" customHeight="1" x14ac:dyDescent="0.3">
      <c r="A15" s="407"/>
      <c r="B15" s="637"/>
      <c r="C15" s="457" t="s">
        <v>911</v>
      </c>
      <c r="D15" s="458">
        <v>8</v>
      </c>
      <c r="E15" s="459"/>
      <c r="F15" s="459"/>
      <c r="G15" s="460"/>
      <c r="H15" s="461"/>
      <c r="I15" s="407"/>
    </row>
    <row r="16" spans="1:28" ht="25.5" customHeight="1" x14ac:dyDescent="0.3">
      <c r="A16" s="407"/>
      <c r="B16" s="408"/>
      <c r="C16" s="444"/>
      <c r="D16" s="409"/>
      <c r="E16" s="407"/>
      <c r="F16" s="407"/>
      <c r="G16" s="407"/>
      <c r="H16" s="410"/>
      <c r="I16" s="407"/>
      <c r="J16" s="407"/>
      <c r="K16" s="407"/>
      <c r="L16" s="408"/>
      <c r="M16" s="407"/>
      <c r="N16" s="407"/>
      <c r="O16" s="407"/>
      <c r="P16" s="407"/>
      <c r="Q16" s="407"/>
      <c r="R16" s="407"/>
      <c r="S16" s="407"/>
      <c r="T16" s="407"/>
      <c r="U16" s="408"/>
      <c r="V16" s="407"/>
      <c r="W16" s="407"/>
      <c r="X16" s="407"/>
      <c r="Y16" s="407"/>
      <c r="Z16" s="407"/>
      <c r="AA16" s="407"/>
      <c r="AB16" s="407"/>
    </row>
    <row r="17" spans="1:28" ht="25.5" customHeight="1" x14ac:dyDescent="0.3">
      <c r="A17" s="407"/>
      <c r="B17" s="638" t="s">
        <v>912</v>
      </c>
      <c r="C17" s="417" t="s">
        <v>913</v>
      </c>
      <c r="D17" s="418" t="s">
        <v>914</v>
      </c>
      <c r="E17" s="462"/>
      <c r="F17" s="462"/>
      <c r="G17" s="462"/>
      <c r="H17" s="463"/>
      <c r="I17" s="407"/>
    </row>
    <row r="18" spans="1:28" ht="25.5" customHeight="1" x14ac:dyDescent="0.3">
      <c r="A18" s="407"/>
      <c r="B18" s="639"/>
      <c r="C18" s="464" t="s">
        <v>915</v>
      </c>
      <c r="D18" s="424">
        <v>9</v>
      </c>
      <c r="E18" s="666" t="s">
        <v>916</v>
      </c>
      <c r="F18" s="641">
        <v>33</v>
      </c>
      <c r="G18" s="663" t="s">
        <v>917</v>
      </c>
      <c r="H18" s="656">
        <v>49</v>
      </c>
      <c r="I18" s="407"/>
    </row>
    <row r="19" spans="1:28" ht="25.5" customHeight="1" x14ac:dyDescent="0.3">
      <c r="A19" s="407"/>
      <c r="B19" s="639"/>
      <c r="C19" s="429" t="s">
        <v>918</v>
      </c>
      <c r="D19" s="424">
        <v>10</v>
      </c>
      <c r="E19" s="664"/>
      <c r="F19" s="642"/>
      <c r="G19" s="664"/>
      <c r="H19" s="657"/>
      <c r="I19" s="407"/>
    </row>
    <row r="20" spans="1:28" ht="25.5" customHeight="1" x14ac:dyDescent="0.3">
      <c r="A20" s="407"/>
      <c r="B20" s="639"/>
      <c r="C20" s="464" t="s">
        <v>919</v>
      </c>
      <c r="D20" s="424">
        <v>11</v>
      </c>
      <c r="E20" s="664"/>
      <c r="F20" s="642"/>
      <c r="G20" s="664"/>
      <c r="H20" s="657"/>
      <c r="I20" s="407"/>
    </row>
    <row r="21" spans="1:28" ht="25.5" customHeight="1" x14ac:dyDescent="0.3">
      <c r="A21" s="407"/>
      <c r="B21" s="639"/>
      <c r="C21" s="429" t="s">
        <v>920</v>
      </c>
      <c r="D21" s="424">
        <v>12</v>
      </c>
      <c r="E21" s="664"/>
      <c r="F21" s="642"/>
      <c r="G21" s="664"/>
      <c r="H21" s="657"/>
      <c r="I21" s="407"/>
    </row>
    <row r="22" spans="1:28" ht="25.5" customHeight="1" x14ac:dyDescent="0.3">
      <c r="A22" s="407"/>
      <c r="B22" s="639"/>
      <c r="C22" s="465" t="s">
        <v>921</v>
      </c>
      <c r="D22" s="424">
        <v>13</v>
      </c>
      <c r="E22" s="664"/>
      <c r="F22" s="642"/>
      <c r="G22" s="664"/>
      <c r="H22" s="657"/>
      <c r="I22" s="407"/>
    </row>
    <row r="23" spans="1:28" ht="25.5" customHeight="1" x14ac:dyDescent="0.3">
      <c r="A23" s="407"/>
      <c r="B23" s="639"/>
      <c r="C23" s="429" t="s">
        <v>922</v>
      </c>
      <c r="D23" s="424">
        <v>14</v>
      </c>
      <c r="E23" s="665"/>
      <c r="F23" s="643"/>
      <c r="G23" s="665"/>
      <c r="H23" s="658"/>
      <c r="I23" s="407"/>
    </row>
    <row r="24" spans="1:28" ht="25.5" customHeight="1" x14ac:dyDescent="0.3">
      <c r="A24" s="407"/>
      <c r="B24" s="640"/>
      <c r="C24" s="466" t="s">
        <v>923</v>
      </c>
      <c r="D24" s="467">
        <v>15</v>
      </c>
      <c r="E24" s="468"/>
      <c r="F24" s="468"/>
      <c r="G24" s="468"/>
      <c r="H24" s="469"/>
      <c r="I24" s="407"/>
    </row>
    <row r="25" spans="1:28" ht="25.5" customHeight="1" x14ac:dyDescent="0.3">
      <c r="A25" s="407"/>
      <c r="B25" s="408"/>
      <c r="C25" s="444"/>
      <c r="D25" s="409"/>
      <c r="E25" s="407"/>
      <c r="F25" s="407"/>
      <c r="G25" s="407"/>
      <c r="H25" s="410"/>
      <c r="I25" s="407"/>
      <c r="J25" s="407"/>
      <c r="K25" s="407"/>
      <c r="L25" s="408"/>
      <c r="M25" s="407"/>
      <c r="N25" s="407"/>
      <c r="O25" s="407"/>
      <c r="P25" s="407"/>
      <c r="Q25" s="407"/>
      <c r="R25" s="407"/>
      <c r="S25" s="407"/>
      <c r="T25" s="407"/>
      <c r="U25" s="408"/>
      <c r="V25" s="407"/>
      <c r="W25" s="407"/>
      <c r="X25" s="407"/>
      <c r="Y25" s="407"/>
      <c r="Z25" s="407"/>
      <c r="AA25" s="407"/>
      <c r="AB25" s="407"/>
    </row>
    <row r="26" spans="1:28" ht="25.5" customHeight="1" x14ac:dyDescent="0.3">
      <c r="A26" s="407"/>
      <c r="B26" s="638" t="s">
        <v>924</v>
      </c>
      <c r="C26" s="417" t="s">
        <v>925</v>
      </c>
      <c r="D26" s="445" t="s">
        <v>926</v>
      </c>
      <c r="E26" s="462"/>
      <c r="F26" s="462"/>
      <c r="G26" s="462"/>
      <c r="H26" s="463"/>
      <c r="I26" s="407"/>
    </row>
    <row r="27" spans="1:28" ht="25.5" customHeight="1" x14ac:dyDescent="0.3">
      <c r="A27" s="407"/>
      <c r="B27" s="639"/>
      <c r="C27" s="423" t="s">
        <v>927</v>
      </c>
      <c r="D27" s="449">
        <v>16</v>
      </c>
      <c r="E27" s="667" t="s">
        <v>928</v>
      </c>
      <c r="F27" s="616">
        <v>34</v>
      </c>
      <c r="G27" s="619" t="s">
        <v>929</v>
      </c>
      <c r="H27" s="656">
        <v>50</v>
      </c>
      <c r="I27" s="407"/>
    </row>
    <row r="28" spans="1:28" ht="25.5" customHeight="1" x14ac:dyDescent="0.3">
      <c r="A28" s="407"/>
      <c r="B28" s="639"/>
      <c r="C28" s="470" t="s">
        <v>930</v>
      </c>
      <c r="D28" s="449">
        <v>17</v>
      </c>
      <c r="E28" s="668"/>
      <c r="F28" s="617"/>
      <c r="G28" s="620"/>
      <c r="H28" s="657"/>
      <c r="I28" s="407"/>
    </row>
    <row r="29" spans="1:28" ht="25.5" customHeight="1" x14ac:dyDescent="0.3">
      <c r="A29" s="407"/>
      <c r="B29" s="639"/>
      <c r="C29" s="423" t="s">
        <v>931</v>
      </c>
      <c r="D29" s="449">
        <v>18</v>
      </c>
      <c r="E29" s="668"/>
      <c r="F29" s="617"/>
      <c r="G29" s="620"/>
      <c r="H29" s="657"/>
      <c r="I29" s="407"/>
    </row>
    <row r="30" spans="1:28" ht="25.5" customHeight="1" x14ac:dyDescent="0.3">
      <c r="A30" s="407"/>
      <c r="B30" s="639"/>
      <c r="C30" s="470" t="s">
        <v>932</v>
      </c>
      <c r="D30" s="449">
        <v>19</v>
      </c>
      <c r="E30" s="669"/>
      <c r="F30" s="618"/>
      <c r="G30" s="621"/>
      <c r="H30" s="658"/>
      <c r="I30" s="407"/>
    </row>
    <row r="31" spans="1:28" ht="25.5" customHeight="1" x14ac:dyDescent="0.3">
      <c r="A31" s="407"/>
      <c r="B31" s="640"/>
      <c r="C31" s="471" t="s">
        <v>933</v>
      </c>
      <c r="D31" s="458">
        <v>20</v>
      </c>
      <c r="E31" s="468"/>
      <c r="F31" s="468"/>
      <c r="G31" s="468"/>
      <c r="H31" s="469"/>
      <c r="I31" s="407"/>
    </row>
    <row r="32" spans="1:28" ht="25.5" customHeight="1" x14ac:dyDescent="0.3">
      <c r="A32" s="407"/>
      <c r="B32" s="408"/>
      <c r="C32" s="444"/>
      <c r="D32" s="409"/>
      <c r="E32" s="407"/>
      <c r="F32" s="407"/>
      <c r="G32" s="407"/>
      <c r="H32" s="410"/>
      <c r="I32" s="407"/>
      <c r="J32" s="407"/>
      <c r="K32" s="407"/>
      <c r="L32" s="408"/>
      <c r="M32" s="407"/>
      <c r="N32" s="407"/>
      <c r="O32" s="407"/>
      <c r="P32" s="407"/>
      <c r="Q32" s="407"/>
      <c r="R32" s="407"/>
      <c r="S32" s="407"/>
      <c r="T32" s="407"/>
      <c r="U32" s="408"/>
      <c r="V32" s="407"/>
      <c r="W32" s="407"/>
      <c r="X32" s="407"/>
      <c r="Y32" s="407"/>
      <c r="Z32" s="407"/>
      <c r="AA32" s="407"/>
      <c r="AB32" s="407"/>
    </row>
    <row r="33" spans="1:28" ht="25.5" customHeight="1" x14ac:dyDescent="0.2">
      <c r="A33" s="407"/>
      <c r="B33" s="638" t="s">
        <v>934</v>
      </c>
      <c r="C33" s="646" t="s">
        <v>935</v>
      </c>
      <c r="D33" s="647"/>
      <c r="E33" s="648" t="s">
        <v>935</v>
      </c>
      <c r="F33" s="649"/>
      <c r="G33" s="649"/>
      <c r="H33" s="650"/>
      <c r="I33" s="407"/>
    </row>
    <row r="34" spans="1:28" ht="25.5" customHeight="1" x14ac:dyDescent="0.3">
      <c r="A34" s="407"/>
      <c r="B34" s="639"/>
      <c r="C34" s="465" t="s">
        <v>936</v>
      </c>
      <c r="D34" s="472">
        <v>21</v>
      </c>
      <c r="E34" s="644" t="s">
        <v>937</v>
      </c>
      <c r="F34" s="622">
        <v>35</v>
      </c>
      <c r="G34" s="624" t="s">
        <v>938</v>
      </c>
      <c r="H34" s="625">
        <v>51</v>
      </c>
      <c r="I34" s="407"/>
    </row>
    <row r="35" spans="1:28" ht="25.5" customHeight="1" x14ac:dyDescent="0.3">
      <c r="A35" s="407"/>
      <c r="B35" s="639"/>
      <c r="C35" s="423" t="s">
        <v>939</v>
      </c>
      <c r="D35" s="473">
        <v>22</v>
      </c>
      <c r="E35" s="623"/>
      <c r="F35" s="623"/>
      <c r="G35" s="600"/>
      <c r="H35" s="626"/>
      <c r="I35" s="407"/>
    </row>
    <row r="36" spans="1:28" ht="25.5" customHeight="1" x14ac:dyDescent="0.2">
      <c r="A36" s="407"/>
      <c r="B36" s="639"/>
      <c r="C36" s="651" t="s">
        <v>940</v>
      </c>
      <c r="D36" s="652"/>
      <c r="E36" s="653" t="s">
        <v>940</v>
      </c>
      <c r="F36" s="654"/>
      <c r="G36" s="654"/>
      <c r="H36" s="655"/>
      <c r="I36" s="407"/>
    </row>
    <row r="37" spans="1:28" ht="25.5" customHeight="1" x14ac:dyDescent="0.3">
      <c r="A37" s="407"/>
      <c r="B37" s="639"/>
      <c r="C37" s="474" t="s">
        <v>936</v>
      </c>
      <c r="D37" s="472">
        <v>21</v>
      </c>
      <c r="E37" s="644" t="s">
        <v>941</v>
      </c>
      <c r="F37" s="659">
        <v>52</v>
      </c>
      <c r="G37" s="624" t="s">
        <v>938</v>
      </c>
      <c r="H37" s="625">
        <v>61</v>
      </c>
      <c r="I37" s="407"/>
    </row>
    <row r="38" spans="1:28" ht="25.5" customHeight="1" x14ac:dyDescent="0.3">
      <c r="A38" s="407"/>
      <c r="B38" s="639"/>
      <c r="C38" s="475" t="s">
        <v>942</v>
      </c>
      <c r="D38" s="473">
        <v>23</v>
      </c>
      <c r="E38" s="623"/>
      <c r="F38" s="584"/>
      <c r="G38" s="600"/>
      <c r="H38" s="626"/>
      <c r="I38" s="407"/>
    </row>
    <row r="39" spans="1:28" ht="25.5" customHeight="1" x14ac:dyDescent="0.2">
      <c r="A39" s="407"/>
      <c r="B39" s="639"/>
      <c r="C39" s="651" t="s">
        <v>943</v>
      </c>
      <c r="D39" s="652"/>
      <c r="E39" s="653" t="s">
        <v>943</v>
      </c>
      <c r="F39" s="654"/>
      <c r="G39" s="654"/>
      <c r="H39" s="655"/>
      <c r="I39" s="407"/>
    </row>
    <row r="40" spans="1:28" ht="25.5" customHeight="1" x14ac:dyDescent="0.3">
      <c r="A40" s="407"/>
      <c r="B40" s="639"/>
      <c r="C40" s="476" t="s">
        <v>944</v>
      </c>
      <c r="D40" s="477">
        <v>21</v>
      </c>
      <c r="E40" s="644" t="s">
        <v>907</v>
      </c>
      <c r="F40" s="660">
        <v>36</v>
      </c>
      <c r="G40" s="478" t="s">
        <v>945</v>
      </c>
      <c r="H40" s="627">
        <v>55</v>
      </c>
      <c r="I40" s="407"/>
    </row>
    <row r="41" spans="1:28" ht="25.5" customHeight="1" x14ac:dyDescent="0.3">
      <c r="A41" s="407"/>
      <c r="B41" s="640"/>
      <c r="C41" s="479" t="s">
        <v>946</v>
      </c>
      <c r="D41" s="467">
        <v>25</v>
      </c>
      <c r="E41" s="623"/>
      <c r="F41" s="661"/>
      <c r="G41" s="480" t="s">
        <v>947</v>
      </c>
      <c r="H41" s="628"/>
      <c r="I41" s="407"/>
    </row>
    <row r="42" spans="1:28" ht="25.5" customHeight="1" x14ac:dyDescent="0.3">
      <c r="A42" s="407"/>
      <c r="B42" s="408"/>
      <c r="C42" s="444"/>
      <c r="D42" s="409"/>
      <c r="E42" s="407"/>
      <c r="F42" s="407"/>
      <c r="G42" s="407"/>
      <c r="H42" s="410"/>
      <c r="I42" s="407"/>
      <c r="J42" s="407"/>
      <c r="K42" s="407"/>
      <c r="L42" s="408"/>
      <c r="M42" s="407"/>
      <c r="N42" s="407"/>
      <c r="O42" s="407"/>
      <c r="P42" s="407"/>
      <c r="Q42" s="407"/>
      <c r="R42" s="407"/>
      <c r="S42" s="407"/>
      <c r="T42" s="407"/>
      <c r="U42" s="408"/>
      <c r="V42" s="407"/>
      <c r="W42" s="407"/>
      <c r="X42" s="407"/>
      <c r="Y42" s="407"/>
      <c r="Z42" s="407"/>
      <c r="AA42" s="407"/>
      <c r="AB42" s="407"/>
    </row>
    <row r="43" spans="1:28" ht="25.5" customHeight="1" x14ac:dyDescent="0.3">
      <c r="A43" s="407"/>
      <c r="B43" s="638" t="s">
        <v>948</v>
      </c>
      <c r="C43" s="481" t="s">
        <v>949</v>
      </c>
      <c r="D43" s="445">
        <v>26</v>
      </c>
      <c r="E43" s="645" t="s">
        <v>950</v>
      </c>
      <c r="F43" s="662">
        <v>37</v>
      </c>
      <c r="G43" s="612" t="s">
        <v>951</v>
      </c>
      <c r="H43" s="614">
        <v>62</v>
      </c>
      <c r="I43" s="407"/>
    </row>
    <row r="44" spans="1:28" ht="25.5" customHeight="1" x14ac:dyDescent="0.3">
      <c r="A44" s="407"/>
      <c r="B44" s="640"/>
      <c r="C44" s="482" t="s">
        <v>952</v>
      </c>
      <c r="D44" s="458">
        <v>27</v>
      </c>
      <c r="E44" s="613"/>
      <c r="F44" s="613"/>
      <c r="G44" s="613"/>
      <c r="H44" s="615"/>
      <c r="I44" s="407"/>
    </row>
    <row r="45" spans="1:28" ht="25.5" customHeight="1" x14ac:dyDescent="0.3">
      <c r="A45" s="407"/>
      <c r="B45" s="408"/>
      <c r="C45" s="444"/>
      <c r="D45" s="409"/>
      <c r="E45" s="407"/>
      <c r="F45" s="407"/>
      <c r="G45" s="407"/>
      <c r="H45" s="410"/>
      <c r="I45" s="407"/>
      <c r="J45" s="407"/>
      <c r="K45" s="407"/>
      <c r="L45" s="408"/>
      <c r="M45" s="407"/>
      <c r="N45" s="407"/>
      <c r="O45" s="407"/>
      <c r="P45" s="407"/>
      <c r="Q45" s="407"/>
      <c r="R45" s="407"/>
      <c r="S45" s="407"/>
      <c r="T45" s="407"/>
      <c r="U45" s="408"/>
      <c r="V45" s="407"/>
      <c r="W45" s="407"/>
      <c r="X45" s="407"/>
      <c r="Y45" s="407"/>
      <c r="Z45" s="407"/>
      <c r="AA45" s="407"/>
      <c r="AB45" s="407"/>
    </row>
    <row r="46" spans="1:28" ht="25.5" customHeight="1" x14ac:dyDescent="0.3">
      <c r="A46" s="407"/>
      <c r="B46" s="483" t="s">
        <v>953</v>
      </c>
      <c r="C46" s="484" t="s">
        <v>954</v>
      </c>
      <c r="D46" s="485">
        <v>28</v>
      </c>
      <c r="E46" s="486" t="s">
        <v>887</v>
      </c>
      <c r="F46" s="487">
        <v>38</v>
      </c>
      <c r="G46" s="488" t="s">
        <v>953</v>
      </c>
      <c r="H46" s="489">
        <v>63</v>
      </c>
      <c r="I46" s="407"/>
    </row>
    <row r="47" spans="1:28" ht="25.5" customHeight="1" x14ac:dyDescent="0.3">
      <c r="A47" s="407"/>
      <c r="B47" s="408"/>
      <c r="C47" s="407"/>
      <c r="D47" s="409"/>
      <c r="E47" s="407"/>
      <c r="F47" s="407"/>
      <c r="G47" s="407"/>
      <c r="H47" s="410"/>
      <c r="I47" s="407"/>
      <c r="J47" s="407"/>
      <c r="K47" s="407"/>
      <c r="L47" s="408"/>
      <c r="M47" s="407"/>
      <c r="N47" s="407"/>
      <c r="O47" s="407"/>
      <c r="P47" s="407"/>
      <c r="Q47" s="407"/>
      <c r="R47" s="407"/>
      <c r="S47" s="407"/>
      <c r="T47" s="407"/>
      <c r="U47" s="408"/>
      <c r="V47" s="407"/>
      <c r="W47" s="407"/>
      <c r="X47" s="407"/>
      <c r="Y47" s="407"/>
      <c r="Z47" s="407"/>
      <c r="AA47" s="407"/>
      <c r="AB47" s="407"/>
    </row>
    <row r="48" spans="1:28" ht="25.5" customHeight="1" x14ac:dyDescent="0.3">
      <c r="B48" s="490"/>
      <c r="C48" s="491"/>
      <c r="D48" s="492"/>
      <c r="H48" s="493"/>
      <c r="I48" s="494"/>
    </row>
    <row r="49" spans="2:9" ht="25.5" customHeight="1" x14ac:dyDescent="0.3">
      <c r="B49" s="490"/>
      <c r="C49" s="491"/>
      <c r="D49" s="492"/>
      <c r="H49" s="493"/>
      <c r="I49" s="494"/>
    </row>
    <row r="50" spans="2:9" ht="25.5" customHeight="1" x14ac:dyDescent="0.3">
      <c r="B50" s="490"/>
      <c r="C50" s="491"/>
      <c r="D50" s="492"/>
      <c r="H50" s="493"/>
      <c r="I50" s="494"/>
    </row>
    <row r="51" spans="2:9" ht="25.5" customHeight="1" x14ac:dyDescent="0.3">
      <c r="B51" s="490"/>
      <c r="C51" s="491"/>
      <c r="D51" s="492"/>
      <c r="H51" s="493"/>
      <c r="I51" s="494"/>
    </row>
    <row r="52" spans="2:9" ht="25.5" customHeight="1" x14ac:dyDescent="0.3">
      <c r="B52" s="490"/>
      <c r="C52" s="491"/>
      <c r="D52" s="492"/>
      <c r="E52" s="495"/>
      <c r="H52" s="493"/>
      <c r="I52" s="494"/>
    </row>
    <row r="53" spans="2:9" ht="25.5" customHeight="1" x14ac:dyDescent="0.3">
      <c r="B53" s="490"/>
      <c r="C53" s="491"/>
      <c r="D53" s="492"/>
      <c r="H53" s="493"/>
      <c r="I53" s="494"/>
    </row>
    <row r="54" spans="2:9" ht="25.5" customHeight="1" x14ac:dyDescent="0.3">
      <c r="B54" s="490"/>
      <c r="C54" s="491"/>
      <c r="D54" s="492"/>
      <c r="H54" s="493"/>
      <c r="I54" s="494"/>
    </row>
    <row r="55" spans="2:9" ht="25.5" customHeight="1" x14ac:dyDescent="0.3">
      <c r="B55" s="490"/>
      <c r="C55" s="491"/>
      <c r="D55" s="492"/>
      <c r="H55" s="493"/>
      <c r="I55" s="494"/>
    </row>
    <row r="56" spans="2:9" ht="25.5" customHeight="1" x14ac:dyDescent="0.3">
      <c r="B56" s="490"/>
      <c r="C56" s="491"/>
      <c r="D56" s="492"/>
      <c r="H56" s="493"/>
      <c r="I56" s="494"/>
    </row>
    <row r="57" spans="2:9" ht="25.5" customHeight="1" x14ac:dyDescent="0.3">
      <c r="B57" s="490"/>
      <c r="C57" s="491"/>
      <c r="D57" s="492"/>
      <c r="H57" s="493"/>
      <c r="I57" s="494"/>
    </row>
    <row r="58" spans="2:9" ht="25.5" customHeight="1" x14ac:dyDescent="0.3">
      <c r="B58" s="490"/>
      <c r="C58" s="491"/>
      <c r="D58" s="492"/>
      <c r="H58" s="493"/>
      <c r="I58" s="494"/>
    </row>
    <row r="59" spans="2:9" ht="25.5" customHeight="1" x14ac:dyDescent="0.3">
      <c r="B59" s="490"/>
      <c r="C59" s="491"/>
      <c r="D59" s="492"/>
      <c r="H59" s="493"/>
      <c r="I59" s="494"/>
    </row>
    <row r="60" spans="2:9" ht="25.5" customHeight="1" x14ac:dyDescent="0.3">
      <c r="B60" s="490"/>
      <c r="C60" s="491"/>
      <c r="D60" s="492"/>
      <c r="H60" s="493"/>
      <c r="I60" s="494"/>
    </row>
    <row r="61" spans="2:9" ht="25.5" customHeight="1" x14ac:dyDescent="0.3">
      <c r="B61" s="490"/>
      <c r="C61" s="491"/>
      <c r="D61" s="492"/>
      <c r="H61" s="493"/>
      <c r="I61" s="494"/>
    </row>
    <row r="62" spans="2:9" ht="25.5" customHeight="1" x14ac:dyDescent="0.3">
      <c r="B62" s="490"/>
      <c r="C62" s="491"/>
      <c r="D62" s="492"/>
      <c r="H62" s="493"/>
      <c r="I62" s="494"/>
    </row>
    <row r="63" spans="2:9" ht="25.5" customHeight="1" x14ac:dyDescent="0.3">
      <c r="B63" s="490"/>
      <c r="C63" s="491"/>
      <c r="D63" s="492"/>
      <c r="H63" s="493"/>
      <c r="I63" s="494"/>
    </row>
    <row r="64" spans="2:9" ht="25.5" customHeight="1" x14ac:dyDescent="0.3">
      <c r="B64" s="490"/>
      <c r="C64" s="491"/>
      <c r="D64" s="492"/>
      <c r="H64" s="493"/>
      <c r="I64" s="494"/>
    </row>
    <row r="65" spans="2:9" ht="25.5" customHeight="1" x14ac:dyDescent="0.3">
      <c r="B65" s="490"/>
      <c r="C65" s="491"/>
      <c r="D65" s="492"/>
      <c r="H65" s="493"/>
      <c r="I65" s="494"/>
    </row>
    <row r="66" spans="2:9" ht="25.5" customHeight="1" x14ac:dyDescent="0.3">
      <c r="B66" s="490"/>
      <c r="C66" s="491"/>
      <c r="D66" s="492"/>
      <c r="H66" s="493"/>
      <c r="I66" s="494"/>
    </row>
    <row r="67" spans="2:9" ht="25.5" customHeight="1" x14ac:dyDescent="0.3">
      <c r="B67" s="490"/>
      <c r="C67" s="491"/>
      <c r="D67" s="492"/>
      <c r="H67" s="493"/>
      <c r="I67" s="494"/>
    </row>
    <row r="68" spans="2:9" ht="25.5" customHeight="1" x14ac:dyDescent="0.3">
      <c r="B68" s="490"/>
      <c r="C68" s="491"/>
      <c r="D68" s="492"/>
      <c r="H68" s="493"/>
      <c r="I68" s="494"/>
    </row>
    <row r="69" spans="2:9" ht="25.5" customHeight="1" x14ac:dyDescent="0.3">
      <c r="B69" s="490"/>
      <c r="C69" s="491"/>
      <c r="D69" s="492"/>
      <c r="H69" s="493"/>
      <c r="I69" s="494"/>
    </row>
    <row r="70" spans="2:9" ht="25.5" customHeight="1" x14ac:dyDescent="0.3">
      <c r="B70" s="490"/>
      <c r="C70" s="491"/>
      <c r="D70" s="492"/>
      <c r="H70" s="493"/>
      <c r="I70" s="494"/>
    </row>
    <row r="71" spans="2:9" ht="25.5" customHeight="1" x14ac:dyDescent="0.3">
      <c r="B71" s="490"/>
      <c r="C71" s="491"/>
      <c r="D71" s="492"/>
      <c r="H71" s="493"/>
      <c r="I71" s="494"/>
    </row>
    <row r="72" spans="2:9" ht="25.5" customHeight="1" x14ac:dyDescent="0.3">
      <c r="B72" s="490"/>
      <c r="C72" s="491"/>
      <c r="D72" s="492"/>
      <c r="H72" s="493"/>
      <c r="I72" s="494"/>
    </row>
    <row r="73" spans="2:9" ht="25.5" customHeight="1" x14ac:dyDescent="0.3">
      <c r="B73" s="490"/>
      <c r="C73" s="491"/>
      <c r="D73" s="492"/>
      <c r="H73" s="493"/>
      <c r="I73" s="494"/>
    </row>
    <row r="74" spans="2:9" ht="25.5" customHeight="1" x14ac:dyDescent="0.3">
      <c r="B74" s="490"/>
      <c r="C74" s="491"/>
      <c r="D74" s="492"/>
      <c r="H74" s="493"/>
      <c r="I74" s="494"/>
    </row>
    <row r="75" spans="2:9" ht="25.5" customHeight="1" x14ac:dyDescent="0.3">
      <c r="B75" s="490"/>
      <c r="C75" s="491"/>
      <c r="D75" s="492"/>
      <c r="H75" s="493"/>
      <c r="I75" s="494"/>
    </row>
    <row r="76" spans="2:9" ht="25.5" customHeight="1" x14ac:dyDescent="0.3">
      <c r="B76" s="490"/>
      <c r="C76" s="491"/>
      <c r="D76" s="492"/>
      <c r="H76" s="493"/>
      <c r="I76" s="494"/>
    </row>
    <row r="77" spans="2:9" ht="25.5" customHeight="1" x14ac:dyDescent="0.3">
      <c r="B77" s="490"/>
      <c r="C77" s="491"/>
      <c r="D77" s="492"/>
      <c r="H77" s="493"/>
      <c r="I77" s="494"/>
    </row>
    <row r="78" spans="2:9" ht="25.5" customHeight="1" x14ac:dyDescent="0.3">
      <c r="B78" s="490"/>
      <c r="C78" s="491"/>
      <c r="D78" s="492"/>
      <c r="H78" s="493"/>
      <c r="I78" s="494"/>
    </row>
    <row r="79" spans="2:9" ht="25.5" customHeight="1" x14ac:dyDescent="0.3">
      <c r="B79" s="490"/>
      <c r="C79" s="491"/>
      <c r="D79" s="492"/>
      <c r="H79" s="493"/>
      <c r="I79" s="494"/>
    </row>
    <row r="80" spans="2:9" ht="25.5" customHeight="1" x14ac:dyDescent="0.3">
      <c r="B80" s="490"/>
      <c r="C80" s="491"/>
      <c r="D80" s="492"/>
      <c r="H80" s="493"/>
      <c r="I80" s="494"/>
    </row>
    <row r="81" spans="2:9" ht="25.5" customHeight="1" x14ac:dyDescent="0.3">
      <c r="B81" s="490"/>
      <c r="C81" s="491"/>
      <c r="D81" s="492"/>
      <c r="H81" s="493"/>
      <c r="I81" s="494"/>
    </row>
    <row r="82" spans="2:9" ht="25.5" customHeight="1" x14ac:dyDescent="0.3">
      <c r="B82" s="490"/>
      <c r="C82" s="491"/>
      <c r="D82" s="492"/>
      <c r="H82" s="493"/>
      <c r="I82" s="494"/>
    </row>
    <row r="83" spans="2:9" ht="25.5" customHeight="1" x14ac:dyDescent="0.3">
      <c r="B83" s="490"/>
      <c r="C83" s="491"/>
      <c r="D83" s="492"/>
      <c r="H83" s="493"/>
      <c r="I83" s="494"/>
    </row>
    <row r="84" spans="2:9" ht="25.5" customHeight="1" x14ac:dyDescent="0.3">
      <c r="B84" s="490"/>
      <c r="C84" s="491"/>
      <c r="D84" s="492"/>
      <c r="H84" s="493"/>
      <c r="I84" s="494"/>
    </row>
    <row r="85" spans="2:9" ht="25.5" customHeight="1" x14ac:dyDescent="0.3">
      <c r="B85" s="490"/>
      <c r="C85" s="491"/>
      <c r="D85" s="492"/>
      <c r="H85" s="493"/>
      <c r="I85" s="494"/>
    </row>
    <row r="86" spans="2:9" ht="25.5" customHeight="1" x14ac:dyDescent="0.3">
      <c r="B86" s="490"/>
      <c r="C86" s="491"/>
      <c r="D86" s="492"/>
      <c r="H86" s="493"/>
      <c r="I86" s="494"/>
    </row>
    <row r="87" spans="2:9" ht="25.5" customHeight="1" x14ac:dyDescent="0.3">
      <c r="B87" s="490"/>
      <c r="C87" s="491"/>
      <c r="D87" s="492"/>
      <c r="H87" s="493"/>
      <c r="I87" s="494"/>
    </row>
    <row r="88" spans="2:9" ht="25.5" customHeight="1" x14ac:dyDescent="0.3">
      <c r="B88" s="490"/>
      <c r="C88" s="491"/>
      <c r="D88" s="492"/>
      <c r="H88" s="493"/>
      <c r="I88" s="494"/>
    </row>
    <row r="89" spans="2:9" ht="25.5" customHeight="1" x14ac:dyDescent="0.3">
      <c r="B89" s="490"/>
      <c r="C89" s="491"/>
      <c r="D89" s="492"/>
      <c r="H89" s="493"/>
      <c r="I89" s="494"/>
    </row>
    <row r="90" spans="2:9" ht="25.5" customHeight="1" x14ac:dyDescent="0.3">
      <c r="B90" s="490"/>
      <c r="C90" s="491"/>
      <c r="D90" s="492"/>
      <c r="H90" s="493"/>
      <c r="I90" s="494"/>
    </row>
    <row r="91" spans="2:9" ht="25.5" customHeight="1" x14ac:dyDescent="0.3">
      <c r="B91" s="490"/>
      <c r="C91" s="491"/>
      <c r="D91" s="492"/>
      <c r="H91" s="493"/>
      <c r="I91" s="494"/>
    </row>
    <row r="92" spans="2:9" ht="25.5" customHeight="1" x14ac:dyDescent="0.3">
      <c r="B92" s="490"/>
      <c r="C92" s="491"/>
      <c r="D92" s="492"/>
      <c r="H92" s="493"/>
      <c r="I92" s="494"/>
    </row>
    <row r="93" spans="2:9" ht="25.5" customHeight="1" x14ac:dyDescent="0.3">
      <c r="B93" s="490"/>
      <c r="C93" s="491"/>
      <c r="D93" s="492"/>
      <c r="H93" s="493"/>
      <c r="I93" s="494"/>
    </row>
    <row r="94" spans="2:9" ht="25.5" customHeight="1" x14ac:dyDescent="0.3">
      <c r="B94" s="490"/>
      <c r="C94" s="491"/>
      <c r="D94" s="492"/>
      <c r="H94" s="493"/>
      <c r="I94" s="494"/>
    </row>
    <row r="95" spans="2:9" ht="25.5" customHeight="1" x14ac:dyDescent="0.3">
      <c r="B95" s="490"/>
      <c r="C95" s="491"/>
      <c r="D95" s="492"/>
      <c r="H95" s="493"/>
      <c r="I95" s="494"/>
    </row>
    <row r="96" spans="2:9" ht="25.5" customHeight="1" x14ac:dyDescent="0.3">
      <c r="B96" s="490"/>
      <c r="C96" s="491"/>
      <c r="D96" s="492"/>
      <c r="H96" s="493"/>
      <c r="I96" s="494"/>
    </row>
    <row r="97" spans="2:9" ht="25.5" customHeight="1" x14ac:dyDescent="0.3">
      <c r="B97" s="490"/>
      <c r="C97" s="491"/>
      <c r="D97" s="492"/>
      <c r="H97" s="493"/>
      <c r="I97" s="494"/>
    </row>
    <row r="98" spans="2:9" ht="25.5" customHeight="1" x14ac:dyDescent="0.3">
      <c r="B98" s="490"/>
      <c r="C98" s="491"/>
      <c r="D98" s="492"/>
      <c r="H98" s="493"/>
      <c r="I98" s="494"/>
    </row>
    <row r="99" spans="2:9" ht="25.5" customHeight="1" x14ac:dyDescent="0.3">
      <c r="B99" s="490"/>
      <c r="C99" s="491"/>
      <c r="D99" s="492"/>
      <c r="H99" s="493"/>
      <c r="I99" s="494"/>
    </row>
    <row r="100" spans="2:9" ht="25.5" customHeight="1" x14ac:dyDescent="0.3">
      <c r="B100" s="490"/>
      <c r="C100" s="491"/>
      <c r="D100" s="492"/>
      <c r="H100" s="493"/>
      <c r="I100" s="494"/>
    </row>
    <row r="101" spans="2:9" ht="25.5" customHeight="1" x14ac:dyDescent="0.3">
      <c r="B101" s="490"/>
      <c r="C101" s="491"/>
      <c r="D101" s="492"/>
      <c r="H101" s="493"/>
      <c r="I101" s="494"/>
    </row>
    <row r="102" spans="2:9" ht="25.5" customHeight="1" x14ac:dyDescent="0.3">
      <c r="B102" s="490"/>
      <c r="C102" s="491"/>
      <c r="D102" s="492"/>
      <c r="H102" s="493"/>
      <c r="I102" s="494"/>
    </row>
    <row r="103" spans="2:9" ht="25.5" customHeight="1" x14ac:dyDescent="0.3">
      <c r="B103" s="490"/>
      <c r="C103" s="491"/>
      <c r="D103" s="492"/>
      <c r="H103" s="493"/>
      <c r="I103" s="494"/>
    </row>
    <row r="104" spans="2:9" ht="25.5" customHeight="1" x14ac:dyDescent="0.3">
      <c r="B104" s="490"/>
      <c r="C104" s="491"/>
      <c r="D104" s="492"/>
      <c r="H104" s="493"/>
      <c r="I104" s="494"/>
    </row>
    <row r="105" spans="2:9" ht="25.5" customHeight="1" x14ac:dyDescent="0.3">
      <c r="B105" s="490"/>
      <c r="C105" s="491"/>
      <c r="D105" s="492"/>
      <c r="H105" s="493"/>
      <c r="I105" s="494"/>
    </row>
    <row r="106" spans="2:9" ht="25.5" customHeight="1" x14ac:dyDescent="0.3">
      <c r="B106" s="490"/>
      <c r="C106" s="491"/>
      <c r="D106" s="492"/>
      <c r="H106" s="493"/>
      <c r="I106" s="494"/>
    </row>
    <row r="107" spans="2:9" ht="25.5" customHeight="1" x14ac:dyDescent="0.3">
      <c r="B107" s="490"/>
      <c r="C107" s="491"/>
      <c r="D107" s="492"/>
      <c r="H107" s="493"/>
      <c r="I107" s="494"/>
    </row>
    <row r="108" spans="2:9" ht="25.5" customHeight="1" x14ac:dyDescent="0.3">
      <c r="B108" s="490"/>
      <c r="C108" s="491"/>
      <c r="D108" s="492"/>
      <c r="H108" s="493"/>
      <c r="I108" s="494"/>
    </row>
    <row r="109" spans="2:9" ht="25.5" customHeight="1" x14ac:dyDescent="0.3">
      <c r="B109" s="490"/>
      <c r="C109" s="491"/>
      <c r="D109" s="492"/>
      <c r="H109" s="493"/>
      <c r="I109" s="494"/>
    </row>
    <row r="110" spans="2:9" ht="25.5" customHeight="1" x14ac:dyDescent="0.3">
      <c r="B110" s="490"/>
      <c r="C110" s="491"/>
      <c r="D110" s="492"/>
      <c r="H110" s="493"/>
      <c r="I110" s="494"/>
    </row>
    <row r="111" spans="2:9" ht="25.5" customHeight="1" x14ac:dyDescent="0.3">
      <c r="B111" s="490"/>
      <c r="C111" s="491"/>
      <c r="D111" s="492"/>
      <c r="H111" s="493"/>
      <c r="I111" s="494"/>
    </row>
    <row r="112" spans="2:9" ht="25.5" customHeight="1" x14ac:dyDescent="0.3">
      <c r="B112" s="490"/>
      <c r="C112" s="491"/>
      <c r="D112" s="492"/>
      <c r="H112" s="493"/>
      <c r="I112" s="494"/>
    </row>
    <row r="113" spans="2:9" ht="25.5" customHeight="1" x14ac:dyDescent="0.3">
      <c r="B113" s="490"/>
      <c r="C113" s="491"/>
      <c r="D113" s="492"/>
      <c r="H113" s="493"/>
      <c r="I113" s="494"/>
    </row>
    <row r="114" spans="2:9" ht="25.5" customHeight="1" x14ac:dyDescent="0.3">
      <c r="B114" s="490"/>
      <c r="C114" s="491"/>
      <c r="D114" s="492"/>
      <c r="H114" s="493"/>
      <c r="I114" s="494"/>
    </row>
    <row r="115" spans="2:9" ht="25.5" customHeight="1" x14ac:dyDescent="0.3">
      <c r="B115" s="490"/>
      <c r="C115" s="491"/>
      <c r="D115" s="492"/>
      <c r="H115" s="493"/>
      <c r="I115" s="494"/>
    </row>
    <row r="116" spans="2:9" ht="25.5" customHeight="1" x14ac:dyDescent="0.3">
      <c r="B116" s="490"/>
      <c r="C116" s="491"/>
      <c r="D116" s="492"/>
      <c r="H116" s="493"/>
      <c r="I116" s="494"/>
    </row>
    <row r="117" spans="2:9" ht="25.5" customHeight="1" x14ac:dyDescent="0.3">
      <c r="B117" s="490"/>
      <c r="C117" s="491"/>
      <c r="D117" s="492"/>
      <c r="H117" s="493"/>
      <c r="I117" s="494"/>
    </row>
    <row r="118" spans="2:9" ht="25.5" customHeight="1" x14ac:dyDescent="0.3">
      <c r="B118" s="490"/>
      <c r="C118" s="491"/>
      <c r="D118" s="492"/>
      <c r="H118" s="493"/>
      <c r="I118" s="494"/>
    </row>
    <row r="119" spans="2:9" ht="25.5" customHeight="1" x14ac:dyDescent="0.3">
      <c r="B119" s="490"/>
      <c r="C119" s="491"/>
      <c r="D119" s="492"/>
      <c r="H119" s="493"/>
      <c r="I119" s="494"/>
    </row>
    <row r="120" spans="2:9" ht="25.5" customHeight="1" x14ac:dyDescent="0.3">
      <c r="B120" s="490"/>
      <c r="C120" s="491"/>
      <c r="D120" s="492"/>
      <c r="H120" s="493"/>
      <c r="I120" s="494"/>
    </row>
    <row r="121" spans="2:9" ht="25.5" customHeight="1" x14ac:dyDescent="0.3">
      <c r="B121" s="490"/>
      <c r="C121" s="491"/>
      <c r="D121" s="492"/>
      <c r="H121" s="493"/>
      <c r="I121" s="494"/>
    </row>
    <row r="122" spans="2:9" ht="25.5" customHeight="1" x14ac:dyDescent="0.3">
      <c r="B122" s="490"/>
      <c r="C122" s="491"/>
      <c r="D122" s="492"/>
      <c r="H122" s="493"/>
      <c r="I122" s="494"/>
    </row>
    <row r="123" spans="2:9" ht="25.5" customHeight="1" x14ac:dyDescent="0.3">
      <c r="B123" s="490"/>
      <c r="C123" s="491"/>
      <c r="D123" s="492"/>
      <c r="H123" s="493"/>
      <c r="I123" s="494"/>
    </row>
    <row r="124" spans="2:9" ht="25.5" customHeight="1" x14ac:dyDescent="0.3">
      <c r="B124" s="490"/>
      <c r="C124" s="491"/>
      <c r="D124" s="492"/>
      <c r="H124" s="493"/>
      <c r="I124" s="494"/>
    </row>
    <row r="125" spans="2:9" ht="25.5" customHeight="1" x14ac:dyDescent="0.3">
      <c r="B125" s="490"/>
      <c r="C125" s="491"/>
      <c r="D125" s="492"/>
      <c r="H125" s="493"/>
      <c r="I125" s="494"/>
    </row>
    <row r="126" spans="2:9" ht="25.5" customHeight="1" x14ac:dyDescent="0.3">
      <c r="B126" s="490"/>
      <c r="C126" s="491"/>
      <c r="D126" s="492"/>
      <c r="H126" s="493"/>
      <c r="I126" s="494"/>
    </row>
    <row r="127" spans="2:9" ht="25.5" customHeight="1" x14ac:dyDescent="0.3">
      <c r="B127" s="490"/>
      <c r="C127" s="491"/>
      <c r="D127" s="492"/>
      <c r="H127" s="493"/>
      <c r="I127" s="494"/>
    </row>
    <row r="128" spans="2:9" ht="25.5" customHeight="1" x14ac:dyDescent="0.3">
      <c r="B128" s="490"/>
      <c r="C128" s="491"/>
      <c r="D128" s="492"/>
      <c r="H128" s="493"/>
      <c r="I128" s="494"/>
    </row>
    <row r="129" spans="2:9" ht="25.5" customHeight="1" x14ac:dyDescent="0.3">
      <c r="B129" s="490"/>
      <c r="C129" s="491"/>
      <c r="D129" s="492"/>
      <c r="H129" s="493"/>
      <c r="I129" s="494"/>
    </row>
    <row r="130" spans="2:9" ht="25.5" customHeight="1" x14ac:dyDescent="0.3">
      <c r="B130" s="490"/>
      <c r="C130" s="491"/>
      <c r="D130" s="492"/>
      <c r="H130" s="493"/>
      <c r="I130" s="494"/>
    </row>
    <row r="131" spans="2:9" ht="25.5" customHeight="1" x14ac:dyDescent="0.3">
      <c r="B131" s="490"/>
      <c r="C131" s="491"/>
      <c r="D131" s="492"/>
      <c r="H131" s="493"/>
      <c r="I131" s="494"/>
    </row>
    <row r="132" spans="2:9" ht="25.5" customHeight="1" x14ac:dyDescent="0.3">
      <c r="B132" s="490"/>
      <c r="C132" s="491"/>
      <c r="D132" s="492"/>
      <c r="H132" s="493"/>
      <c r="I132" s="494"/>
    </row>
    <row r="133" spans="2:9" ht="25.5" customHeight="1" x14ac:dyDescent="0.3">
      <c r="B133" s="490"/>
      <c r="C133" s="491"/>
      <c r="D133" s="492"/>
      <c r="H133" s="493"/>
      <c r="I133" s="494"/>
    </row>
    <row r="134" spans="2:9" ht="25.5" customHeight="1" x14ac:dyDescent="0.3">
      <c r="B134" s="490"/>
      <c r="C134" s="491"/>
      <c r="D134" s="492"/>
      <c r="H134" s="493"/>
      <c r="I134" s="494"/>
    </row>
    <row r="135" spans="2:9" ht="25.5" customHeight="1" x14ac:dyDescent="0.3">
      <c r="B135" s="490"/>
      <c r="C135" s="491"/>
      <c r="D135" s="492"/>
      <c r="H135" s="493"/>
      <c r="I135" s="494"/>
    </row>
    <row r="136" spans="2:9" ht="25.5" customHeight="1" x14ac:dyDescent="0.3">
      <c r="B136" s="490"/>
      <c r="C136" s="491"/>
      <c r="D136" s="492"/>
      <c r="H136" s="493"/>
      <c r="I136" s="494"/>
    </row>
    <row r="137" spans="2:9" ht="25.5" customHeight="1" x14ac:dyDescent="0.3">
      <c r="B137" s="490"/>
      <c r="C137" s="491"/>
      <c r="D137" s="492"/>
      <c r="H137" s="493"/>
      <c r="I137" s="494"/>
    </row>
    <row r="138" spans="2:9" ht="25.5" customHeight="1" x14ac:dyDescent="0.3">
      <c r="B138" s="490"/>
      <c r="C138" s="491"/>
      <c r="D138" s="492"/>
      <c r="H138" s="493"/>
      <c r="I138" s="494"/>
    </row>
    <row r="139" spans="2:9" ht="25.5" customHeight="1" x14ac:dyDescent="0.3">
      <c r="B139" s="490"/>
      <c r="C139" s="491"/>
      <c r="D139" s="492"/>
      <c r="H139" s="493"/>
      <c r="I139" s="494"/>
    </row>
    <row r="140" spans="2:9" ht="25.5" customHeight="1" x14ac:dyDescent="0.3">
      <c r="B140" s="490"/>
      <c r="C140" s="491"/>
      <c r="D140" s="492"/>
      <c r="H140" s="493"/>
      <c r="I140" s="494"/>
    </row>
    <row r="141" spans="2:9" ht="25.5" customHeight="1" x14ac:dyDescent="0.3">
      <c r="B141" s="490"/>
      <c r="C141" s="491"/>
      <c r="D141" s="492"/>
      <c r="H141" s="493"/>
      <c r="I141" s="494"/>
    </row>
    <row r="142" spans="2:9" ht="25.5" customHeight="1" x14ac:dyDescent="0.3">
      <c r="B142" s="490"/>
      <c r="C142" s="491"/>
      <c r="D142" s="492"/>
      <c r="H142" s="493"/>
      <c r="I142" s="494"/>
    </row>
    <row r="143" spans="2:9" ht="25.5" customHeight="1" x14ac:dyDescent="0.3">
      <c r="B143" s="490"/>
      <c r="C143" s="491"/>
      <c r="D143" s="492"/>
      <c r="H143" s="493"/>
      <c r="I143" s="494"/>
    </row>
    <row r="144" spans="2:9" ht="25.5" customHeight="1" x14ac:dyDescent="0.3">
      <c r="B144" s="490"/>
      <c r="C144" s="491"/>
      <c r="D144" s="492"/>
      <c r="H144" s="493"/>
      <c r="I144" s="494"/>
    </row>
    <row r="145" spans="2:9" ht="25.5" customHeight="1" x14ac:dyDescent="0.3">
      <c r="B145" s="490"/>
      <c r="C145" s="491"/>
      <c r="D145" s="492"/>
      <c r="H145" s="493"/>
      <c r="I145" s="494"/>
    </row>
    <row r="146" spans="2:9" ht="25.5" customHeight="1" x14ac:dyDescent="0.3">
      <c r="B146" s="490"/>
      <c r="C146" s="491"/>
      <c r="D146" s="492"/>
      <c r="H146" s="493"/>
      <c r="I146" s="494"/>
    </row>
    <row r="147" spans="2:9" ht="25.5" customHeight="1" x14ac:dyDescent="0.3">
      <c r="B147" s="490"/>
      <c r="C147" s="491"/>
      <c r="D147" s="492"/>
      <c r="H147" s="493"/>
      <c r="I147" s="494"/>
    </row>
    <row r="148" spans="2:9" ht="25.5" customHeight="1" x14ac:dyDescent="0.3">
      <c r="B148" s="490"/>
      <c r="C148" s="491"/>
      <c r="D148" s="492"/>
      <c r="H148" s="493"/>
      <c r="I148" s="494"/>
    </row>
    <row r="149" spans="2:9" ht="25.5" customHeight="1" x14ac:dyDescent="0.3">
      <c r="B149" s="490"/>
      <c r="C149" s="491"/>
      <c r="D149" s="492"/>
      <c r="H149" s="493"/>
      <c r="I149" s="494"/>
    </row>
    <row r="150" spans="2:9" ht="25.5" customHeight="1" x14ac:dyDescent="0.3">
      <c r="B150" s="490"/>
      <c r="C150" s="491"/>
      <c r="D150" s="492"/>
      <c r="H150" s="493"/>
      <c r="I150" s="494"/>
    </row>
    <row r="151" spans="2:9" ht="25.5" customHeight="1" x14ac:dyDescent="0.3">
      <c r="B151" s="490"/>
      <c r="C151" s="491"/>
      <c r="D151" s="492"/>
      <c r="H151" s="493"/>
      <c r="I151" s="494"/>
    </row>
    <row r="152" spans="2:9" ht="25.5" customHeight="1" x14ac:dyDescent="0.3">
      <c r="B152" s="490"/>
      <c r="C152" s="491"/>
      <c r="D152" s="492"/>
      <c r="H152" s="493"/>
      <c r="I152" s="494"/>
    </row>
    <row r="153" spans="2:9" ht="25.5" customHeight="1" x14ac:dyDescent="0.3">
      <c r="B153" s="490"/>
      <c r="C153" s="491"/>
      <c r="D153" s="492"/>
      <c r="H153" s="493"/>
      <c r="I153" s="494"/>
    </row>
    <row r="154" spans="2:9" ht="25.5" customHeight="1" x14ac:dyDescent="0.3">
      <c r="B154" s="490"/>
      <c r="C154" s="491"/>
      <c r="D154" s="492"/>
      <c r="H154" s="493"/>
      <c r="I154" s="494"/>
    </row>
    <row r="155" spans="2:9" ht="25.5" customHeight="1" x14ac:dyDescent="0.3">
      <c r="B155" s="490"/>
      <c r="C155" s="491"/>
      <c r="D155" s="492"/>
      <c r="H155" s="493"/>
      <c r="I155" s="494"/>
    </row>
    <row r="156" spans="2:9" ht="25.5" customHeight="1" x14ac:dyDescent="0.3">
      <c r="B156" s="490"/>
      <c r="C156" s="491"/>
      <c r="D156" s="492"/>
      <c r="H156" s="493"/>
      <c r="I156" s="494"/>
    </row>
    <row r="157" spans="2:9" ht="25.5" customHeight="1" x14ac:dyDescent="0.3">
      <c r="B157" s="490"/>
      <c r="C157" s="491"/>
      <c r="D157" s="492"/>
      <c r="H157" s="493"/>
      <c r="I157" s="494"/>
    </row>
    <row r="158" spans="2:9" ht="25.5" customHeight="1" x14ac:dyDescent="0.3">
      <c r="B158" s="490"/>
      <c r="C158" s="491"/>
      <c r="D158" s="492"/>
      <c r="H158" s="493"/>
      <c r="I158" s="494"/>
    </row>
    <row r="159" spans="2:9" ht="25.5" customHeight="1" x14ac:dyDescent="0.3">
      <c r="B159" s="490"/>
      <c r="C159" s="491"/>
      <c r="D159" s="492"/>
      <c r="H159" s="493"/>
      <c r="I159" s="494"/>
    </row>
    <row r="160" spans="2:9" ht="25.5" customHeight="1" x14ac:dyDescent="0.3">
      <c r="B160" s="490"/>
      <c r="C160" s="491"/>
      <c r="D160" s="492"/>
      <c r="H160" s="493"/>
      <c r="I160" s="494"/>
    </row>
    <row r="161" spans="2:9" ht="25.5" customHeight="1" x14ac:dyDescent="0.3">
      <c r="B161" s="490"/>
      <c r="C161" s="491"/>
      <c r="D161" s="492"/>
      <c r="H161" s="493"/>
      <c r="I161" s="494"/>
    </row>
    <row r="162" spans="2:9" ht="25.5" customHeight="1" x14ac:dyDescent="0.3">
      <c r="B162" s="490"/>
      <c r="C162" s="491"/>
      <c r="D162" s="492"/>
      <c r="H162" s="493"/>
      <c r="I162" s="494"/>
    </row>
    <row r="163" spans="2:9" ht="25.5" customHeight="1" x14ac:dyDescent="0.3">
      <c r="B163" s="490"/>
      <c r="C163" s="491"/>
      <c r="D163" s="492"/>
      <c r="H163" s="493"/>
      <c r="I163" s="494"/>
    </row>
    <row r="164" spans="2:9" ht="25.5" customHeight="1" x14ac:dyDescent="0.3">
      <c r="B164" s="490"/>
      <c r="C164" s="491"/>
      <c r="D164" s="492"/>
      <c r="H164" s="493"/>
      <c r="I164" s="494"/>
    </row>
    <row r="165" spans="2:9" ht="25.5" customHeight="1" x14ac:dyDescent="0.3">
      <c r="B165" s="490"/>
      <c r="C165" s="491"/>
      <c r="D165" s="492"/>
      <c r="H165" s="493"/>
      <c r="I165" s="494"/>
    </row>
    <row r="166" spans="2:9" ht="25.5" customHeight="1" x14ac:dyDescent="0.3">
      <c r="B166" s="490"/>
      <c r="C166" s="491"/>
      <c r="D166" s="492"/>
      <c r="H166" s="493"/>
      <c r="I166" s="494"/>
    </row>
    <row r="167" spans="2:9" ht="25.5" customHeight="1" x14ac:dyDescent="0.3">
      <c r="B167" s="490"/>
      <c r="C167" s="491"/>
      <c r="D167" s="492"/>
      <c r="H167" s="493"/>
      <c r="I167" s="494"/>
    </row>
    <row r="168" spans="2:9" ht="25.5" customHeight="1" x14ac:dyDescent="0.3">
      <c r="B168" s="490"/>
      <c r="C168" s="491"/>
      <c r="D168" s="492"/>
      <c r="H168" s="493"/>
      <c r="I168" s="494"/>
    </row>
    <row r="169" spans="2:9" ht="25.5" customHeight="1" x14ac:dyDescent="0.3">
      <c r="B169" s="490"/>
      <c r="C169" s="491"/>
      <c r="D169" s="492"/>
      <c r="H169" s="493"/>
      <c r="I169" s="494"/>
    </row>
    <row r="170" spans="2:9" ht="25.5" customHeight="1" x14ac:dyDescent="0.3">
      <c r="B170" s="490"/>
      <c r="C170" s="491"/>
      <c r="D170" s="492"/>
      <c r="H170" s="493"/>
      <c r="I170" s="494"/>
    </row>
    <row r="171" spans="2:9" ht="25.5" customHeight="1" x14ac:dyDescent="0.3">
      <c r="B171" s="490"/>
      <c r="C171" s="491"/>
      <c r="D171" s="492"/>
      <c r="H171" s="493"/>
      <c r="I171" s="494"/>
    </row>
    <row r="172" spans="2:9" ht="25.5" customHeight="1" x14ac:dyDescent="0.3">
      <c r="B172" s="490"/>
      <c r="C172" s="491"/>
      <c r="D172" s="492"/>
      <c r="H172" s="493"/>
      <c r="I172" s="494"/>
    </row>
    <row r="173" spans="2:9" ht="25.5" customHeight="1" x14ac:dyDescent="0.3">
      <c r="B173" s="490"/>
      <c r="C173" s="491"/>
      <c r="D173" s="492"/>
      <c r="H173" s="493"/>
      <c r="I173" s="494"/>
    </row>
    <row r="174" spans="2:9" ht="25.5" customHeight="1" x14ac:dyDescent="0.3">
      <c r="B174" s="490"/>
      <c r="C174" s="491"/>
      <c r="D174" s="492"/>
      <c r="H174" s="493"/>
      <c r="I174" s="494"/>
    </row>
    <row r="175" spans="2:9" ht="25.5" customHeight="1" x14ac:dyDescent="0.3">
      <c r="B175" s="490"/>
      <c r="C175" s="491"/>
      <c r="D175" s="492"/>
      <c r="H175" s="493"/>
      <c r="I175" s="494"/>
    </row>
    <row r="176" spans="2:9" ht="25.5" customHeight="1" x14ac:dyDescent="0.3">
      <c r="B176" s="490"/>
      <c r="C176" s="491"/>
      <c r="D176" s="492"/>
      <c r="H176" s="493"/>
      <c r="I176" s="494"/>
    </row>
    <row r="177" spans="2:9" ht="25.5" customHeight="1" x14ac:dyDescent="0.3">
      <c r="B177" s="490"/>
      <c r="C177" s="491"/>
      <c r="D177" s="492"/>
      <c r="H177" s="493"/>
      <c r="I177" s="494"/>
    </row>
    <row r="178" spans="2:9" ht="25.5" customHeight="1" x14ac:dyDescent="0.3">
      <c r="B178" s="490"/>
      <c r="C178" s="491"/>
      <c r="D178" s="492"/>
      <c r="H178" s="493"/>
      <c r="I178" s="494"/>
    </row>
    <row r="179" spans="2:9" ht="25.5" customHeight="1" x14ac:dyDescent="0.3">
      <c r="B179" s="490"/>
      <c r="C179" s="491"/>
      <c r="D179" s="492"/>
      <c r="H179" s="493"/>
      <c r="I179" s="494"/>
    </row>
    <row r="180" spans="2:9" ht="25.5" customHeight="1" x14ac:dyDescent="0.3">
      <c r="B180" s="490"/>
      <c r="C180" s="491"/>
      <c r="D180" s="492"/>
      <c r="H180" s="493"/>
      <c r="I180" s="494"/>
    </row>
    <row r="181" spans="2:9" ht="25.5" customHeight="1" x14ac:dyDescent="0.3">
      <c r="B181" s="490"/>
      <c r="C181" s="491"/>
      <c r="D181" s="492"/>
      <c r="H181" s="493"/>
      <c r="I181" s="494"/>
    </row>
    <row r="182" spans="2:9" ht="25.5" customHeight="1" x14ac:dyDescent="0.3">
      <c r="B182" s="490"/>
      <c r="C182" s="491"/>
      <c r="D182" s="492"/>
      <c r="H182" s="493"/>
      <c r="I182" s="494"/>
    </row>
    <row r="183" spans="2:9" ht="25.5" customHeight="1" x14ac:dyDescent="0.3">
      <c r="B183" s="490"/>
      <c r="C183" s="491"/>
      <c r="D183" s="492"/>
      <c r="H183" s="493"/>
      <c r="I183" s="494"/>
    </row>
    <row r="184" spans="2:9" ht="25.5" customHeight="1" x14ac:dyDescent="0.3">
      <c r="B184" s="490"/>
      <c r="C184" s="491"/>
      <c r="D184" s="492"/>
      <c r="H184" s="493"/>
      <c r="I184" s="494"/>
    </row>
    <row r="185" spans="2:9" ht="25.5" customHeight="1" x14ac:dyDescent="0.3">
      <c r="B185" s="490"/>
      <c r="C185" s="491"/>
      <c r="D185" s="492"/>
      <c r="H185" s="493"/>
      <c r="I185" s="494"/>
    </row>
    <row r="186" spans="2:9" ht="25.5" customHeight="1" x14ac:dyDescent="0.3">
      <c r="B186" s="490"/>
      <c r="C186" s="491"/>
      <c r="D186" s="492"/>
      <c r="H186" s="493"/>
      <c r="I186" s="494"/>
    </row>
    <row r="187" spans="2:9" ht="25.5" customHeight="1" x14ac:dyDescent="0.3">
      <c r="B187" s="490"/>
      <c r="C187" s="491"/>
      <c r="D187" s="492"/>
      <c r="H187" s="493"/>
      <c r="I187" s="494"/>
    </row>
    <row r="188" spans="2:9" ht="25.5" customHeight="1" x14ac:dyDescent="0.3">
      <c r="B188" s="490"/>
      <c r="C188" s="491"/>
      <c r="D188" s="492"/>
      <c r="H188" s="493"/>
      <c r="I188" s="494"/>
    </row>
    <row r="189" spans="2:9" ht="25.5" customHeight="1" x14ac:dyDescent="0.3">
      <c r="B189" s="490"/>
      <c r="C189" s="491"/>
      <c r="D189" s="492"/>
      <c r="H189" s="493"/>
      <c r="I189" s="494"/>
    </row>
    <row r="190" spans="2:9" ht="25.5" customHeight="1" x14ac:dyDescent="0.3">
      <c r="B190" s="490"/>
      <c r="C190" s="491"/>
      <c r="D190" s="492"/>
      <c r="H190" s="493"/>
      <c r="I190" s="494"/>
    </row>
    <row r="191" spans="2:9" ht="25.5" customHeight="1" x14ac:dyDescent="0.3">
      <c r="B191" s="490"/>
      <c r="C191" s="491"/>
      <c r="D191" s="492"/>
      <c r="H191" s="493"/>
      <c r="I191" s="494"/>
    </row>
    <row r="192" spans="2:9" ht="25.5" customHeight="1" x14ac:dyDescent="0.3">
      <c r="B192" s="490"/>
      <c r="C192" s="491"/>
      <c r="D192" s="492"/>
      <c r="H192" s="493"/>
      <c r="I192" s="494"/>
    </row>
    <row r="193" spans="2:9" ht="25.5" customHeight="1" x14ac:dyDescent="0.3">
      <c r="B193" s="490"/>
      <c r="C193" s="491"/>
      <c r="D193" s="492"/>
      <c r="H193" s="493"/>
      <c r="I193" s="494"/>
    </row>
    <row r="194" spans="2:9" ht="25.5" customHeight="1" x14ac:dyDescent="0.3">
      <c r="B194" s="490"/>
      <c r="C194" s="491"/>
      <c r="D194" s="492"/>
      <c r="H194" s="493"/>
      <c r="I194" s="494"/>
    </row>
    <row r="195" spans="2:9" ht="25.5" customHeight="1" x14ac:dyDescent="0.3">
      <c r="B195" s="490"/>
      <c r="C195" s="491"/>
      <c r="D195" s="492"/>
      <c r="H195" s="493"/>
      <c r="I195" s="494"/>
    </row>
    <row r="196" spans="2:9" ht="25.5" customHeight="1" x14ac:dyDescent="0.3">
      <c r="B196" s="490"/>
      <c r="C196" s="491"/>
      <c r="D196" s="492"/>
      <c r="H196" s="493"/>
      <c r="I196" s="494"/>
    </row>
    <row r="197" spans="2:9" ht="25.5" customHeight="1" x14ac:dyDescent="0.3">
      <c r="B197" s="490"/>
      <c r="C197" s="491"/>
      <c r="D197" s="492"/>
      <c r="H197" s="493"/>
      <c r="I197" s="494"/>
    </row>
    <row r="198" spans="2:9" ht="25.5" customHeight="1" x14ac:dyDescent="0.3">
      <c r="B198" s="490"/>
      <c r="C198" s="491"/>
      <c r="D198" s="492"/>
      <c r="H198" s="493"/>
      <c r="I198" s="494"/>
    </row>
    <row r="199" spans="2:9" ht="25.5" customHeight="1" x14ac:dyDescent="0.3">
      <c r="B199" s="490"/>
      <c r="C199" s="491"/>
      <c r="D199" s="492"/>
      <c r="H199" s="493"/>
      <c r="I199" s="494"/>
    </row>
    <row r="200" spans="2:9" ht="25.5" customHeight="1" x14ac:dyDescent="0.3">
      <c r="B200" s="490"/>
      <c r="C200" s="491"/>
      <c r="D200" s="492"/>
      <c r="H200" s="493"/>
      <c r="I200" s="494"/>
    </row>
    <row r="201" spans="2:9" ht="25.5" customHeight="1" x14ac:dyDescent="0.3">
      <c r="B201" s="490"/>
      <c r="C201" s="491"/>
      <c r="D201" s="492"/>
      <c r="H201" s="493"/>
      <c r="I201" s="494"/>
    </row>
    <row r="202" spans="2:9" ht="25.5" customHeight="1" x14ac:dyDescent="0.3">
      <c r="B202" s="490"/>
      <c r="C202" s="491"/>
      <c r="D202" s="492"/>
      <c r="H202" s="493"/>
      <c r="I202" s="494"/>
    </row>
    <row r="203" spans="2:9" ht="25.5" customHeight="1" x14ac:dyDescent="0.3">
      <c r="B203" s="490"/>
      <c r="C203" s="491"/>
      <c r="D203" s="492"/>
      <c r="H203" s="493"/>
      <c r="I203" s="494"/>
    </row>
    <row r="204" spans="2:9" ht="25.5" customHeight="1" x14ac:dyDescent="0.3">
      <c r="B204" s="490"/>
      <c r="C204" s="491"/>
      <c r="D204" s="492"/>
      <c r="H204" s="493"/>
      <c r="I204" s="494"/>
    </row>
    <row r="205" spans="2:9" ht="25.5" customHeight="1" x14ac:dyDescent="0.3">
      <c r="B205" s="490"/>
      <c r="C205" s="491"/>
      <c r="D205" s="492"/>
      <c r="H205" s="493"/>
      <c r="I205" s="494"/>
    </row>
    <row r="206" spans="2:9" ht="25.5" customHeight="1" x14ac:dyDescent="0.3">
      <c r="B206" s="490"/>
      <c r="C206" s="491"/>
      <c r="D206" s="492"/>
      <c r="H206" s="493"/>
      <c r="I206" s="494"/>
    </row>
    <row r="207" spans="2:9" ht="25.5" customHeight="1" x14ac:dyDescent="0.3">
      <c r="B207" s="490"/>
      <c r="C207" s="491"/>
      <c r="D207" s="492"/>
      <c r="H207" s="493"/>
      <c r="I207" s="494"/>
    </row>
    <row r="208" spans="2:9" ht="25.5" customHeight="1" x14ac:dyDescent="0.3">
      <c r="B208" s="490"/>
      <c r="C208" s="491"/>
      <c r="D208" s="492"/>
      <c r="H208" s="493"/>
      <c r="I208" s="494"/>
    </row>
    <row r="209" spans="2:9" ht="25.5" customHeight="1" x14ac:dyDescent="0.3">
      <c r="B209" s="490"/>
      <c r="C209" s="491"/>
      <c r="D209" s="492"/>
      <c r="H209" s="493"/>
      <c r="I209" s="494"/>
    </row>
    <row r="210" spans="2:9" ht="25.5" customHeight="1" x14ac:dyDescent="0.3">
      <c r="B210" s="490"/>
      <c r="C210" s="491"/>
      <c r="D210" s="492"/>
      <c r="H210" s="493"/>
      <c r="I210" s="494"/>
    </row>
    <row r="211" spans="2:9" ht="25.5" customHeight="1" x14ac:dyDescent="0.3">
      <c r="B211" s="490"/>
      <c r="C211" s="491"/>
      <c r="D211" s="492"/>
      <c r="H211" s="493"/>
      <c r="I211" s="494"/>
    </row>
    <row r="212" spans="2:9" ht="25.5" customHeight="1" x14ac:dyDescent="0.3">
      <c r="B212" s="490"/>
      <c r="C212" s="491"/>
      <c r="D212" s="492"/>
      <c r="H212" s="493"/>
      <c r="I212" s="494"/>
    </row>
    <row r="213" spans="2:9" ht="25.5" customHeight="1" x14ac:dyDescent="0.3">
      <c r="B213" s="490"/>
      <c r="C213" s="491"/>
      <c r="D213" s="492"/>
      <c r="H213" s="493"/>
      <c r="I213" s="494"/>
    </row>
    <row r="214" spans="2:9" ht="25.5" customHeight="1" x14ac:dyDescent="0.3">
      <c r="B214" s="490"/>
      <c r="C214" s="491"/>
      <c r="D214" s="492"/>
      <c r="H214" s="493"/>
      <c r="I214" s="494"/>
    </row>
    <row r="215" spans="2:9" ht="25.5" customHeight="1" x14ac:dyDescent="0.3">
      <c r="B215" s="490"/>
      <c r="C215" s="491"/>
      <c r="D215" s="492"/>
      <c r="H215" s="493"/>
      <c r="I215" s="494"/>
    </row>
    <row r="216" spans="2:9" ht="25.5" customHeight="1" x14ac:dyDescent="0.3">
      <c r="B216" s="490"/>
      <c r="C216" s="491"/>
      <c r="D216" s="492"/>
      <c r="H216" s="493"/>
      <c r="I216" s="494"/>
    </row>
    <row r="217" spans="2:9" ht="25.5" customHeight="1" x14ac:dyDescent="0.3">
      <c r="B217" s="490"/>
      <c r="C217" s="491"/>
      <c r="D217" s="492"/>
      <c r="H217" s="493"/>
      <c r="I217" s="494"/>
    </row>
    <row r="218" spans="2:9" ht="25.5" customHeight="1" x14ac:dyDescent="0.3">
      <c r="B218" s="490"/>
      <c r="C218" s="491"/>
      <c r="D218" s="492"/>
      <c r="H218" s="493"/>
      <c r="I218" s="494"/>
    </row>
    <row r="219" spans="2:9" ht="25.5" customHeight="1" x14ac:dyDescent="0.3">
      <c r="B219" s="490"/>
      <c r="C219" s="491"/>
      <c r="D219" s="492"/>
      <c r="H219" s="493"/>
      <c r="I219" s="494"/>
    </row>
    <row r="220" spans="2:9" ht="25.5" customHeight="1" x14ac:dyDescent="0.3">
      <c r="B220" s="490"/>
      <c r="C220" s="491"/>
      <c r="D220" s="492"/>
      <c r="H220" s="493"/>
      <c r="I220" s="494"/>
    </row>
    <row r="221" spans="2:9" ht="25.5" customHeight="1" x14ac:dyDescent="0.3">
      <c r="B221" s="490"/>
      <c r="C221" s="491"/>
      <c r="D221" s="492"/>
      <c r="H221" s="493"/>
      <c r="I221" s="494"/>
    </row>
    <row r="222" spans="2:9" ht="25.5" customHeight="1" x14ac:dyDescent="0.3">
      <c r="B222" s="490"/>
      <c r="C222" s="491"/>
      <c r="D222" s="492"/>
      <c r="H222" s="493"/>
      <c r="I222" s="494"/>
    </row>
    <row r="223" spans="2:9" ht="25.5" customHeight="1" x14ac:dyDescent="0.3">
      <c r="B223" s="490"/>
      <c r="C223" s="491"/>
      <c r="D223" s="492"/>
      <c r="H223" s="493"/>
      <c r="I223" s="494"/>
    </row>
    <row r="224" spans="2:9" ht="25.5" customHeight="1" x14ac:dyDescent="0.3">
      <c r="B224" s="490"/>
      <c r="C224" s="491"/>
      <c r="D224" s="492"/>
      <c r="H224" s="493"/>
      <c r="I224" s="494"/>
    </row>
    <row r="225" spans="2:9" ht="25.5" customHeight="1" x14ac:dyDescent="0.3">
      <c r="B225" s="490"/>
      <c r="C225" s="491"/>
      <c r="D225" s="492"/>
      <c r="H225" s="493"/>
      <c r="I225" s="494"/>
    </row>
    <row r="226" spans="2:9" ht="25.5" customHeight="1" x14ac:dyDescent="0.3">
      <c r="B226" s="490"/>
      <c r="C226" s="491"/>
      <c r="D226" s="492"/>
      <c r="H226" s="493"/>
      <c r="I226" s="494"/>
    </row>
    <row r="227" spans="2:9" ht="25.5" customHeight="1" x14ac:dyDescent="0.3">
      <c r="B227" s="490"/>
      <c r="C227" s="491"/>
      <c r="D227" s="492"/>
      <c r="H227" s="493"/>
      <c r="I227" s="494"/>
    </row>
    <row r="228" spans="2:9" ht="25.5" customHeight="1" x14ac:dyDescent="0.3">
      <c r="B228" s="490"/>
      <c r="C228" s="491"/>
      <c r="D228" s="492"/>
      <c r="H228" s="493"/>
      <c r="I228" s="494"/>
    </row>
    <row r="229" spans="2:9" ht="25.5" customHeight="1" x14ac:dyDescent="0.3">
      <c r="B229" s="490"/>
      <c r="C229" s="491"/>
      <c r="D229" s="492"/>
      <c r="H229" s="493"/>
      <c r="I229" s="494"/>
    </row>
    <row r="230" spans="2:9" ht="25.5" customHeight="1" x14ac:dyDescent="0.3">
      <c r="B230" s="490"/>
      <c r="C230" s="491"/>
      <c r="D230" s="492"/>
      <c r="H230" s="493"/>
      <c r="I230" s="494"/>
    </row>
    <row r="231" spans="2:9" ht="25.5" customHeight="1" x14ac:dyDescent="0.3">
      <c r="B231" s="490"/>
      <c r="C231" s="491"/>
      <c r="D231" s="492"/>
      <c r="H231" s="493"/>
      <c r="I231" s="494"/>
    </row>
    <row r="232" spans="2:9" ht="25.5" customHeight="1" x14ac:dyDescent="0.3">
      <c r="B232" s="490"/>
      <c r="C232" s="491"/>
      <c r="D232" s="492"/>
      <c r="H232" s="493"/>
      <c r="I232" s="494"/>
    </row>
    <row r="233" spans="2:9" ht="25.5" customHeight="1" x14ac:dyDescent="0.3">
      <c r="B233" s="490"/>
      <c r="C233" s="491"/>
      <c r="D233" s="492"/>
      <c r="H233" s="493"/>
      <c r="I233" s="494"/>
    </row>
    <row r="234" spans="2:9" ht="25.5" customHeight="1" x14ac:dyDescent="0.3">
      <c r="B234" s="490"/>
      <c r="C234" s="491"/>
      <c r="D234" s="492"/>
      <c r="H234" s="493"/>
      <c r="I234" s="494"/>
    </row>
    <row r="235" spans="2:9" ht="25.5" customHeight="1" x14ac:dyDescent="0.3">
      <c r="B235" s="490"/>
      <c r="C235" s="491"/>
      <c r="D235" s="492"/>
      <c r="H235" s="493"/>
      <c r="I235" s="494"/>
    </row>
    <row r="236" spans="2:9" ht="25.5" customHeight="1" x14ac:dyDescent="0.3">
      <c r="B236" s="490"/>
      <c r="C236" s="491"/>
      <c r="D236" s="492"/>
      <c r="H236" s="493"/>
      <c r="I236" s="494"/>
    </row>
    <row r="237" spans="2:9" ht="25.5" customHeight="1" x14ac:dyDescent="0.3">
      <c r="B237" s="490"/>
      <c r="C237" s="491"/>
      <c r="D237" s="492"/>
      <c r="H237" s="493"/>
      <c r="I237" s="494"/>
    </row>
    <row r="238" spans="2:9" ht="25.5" customHeight="1" x14ac:dyDescent="0.3">
      <c r="B238" s="490"/>
      <c r="C238" s="491"/>
      <c r="D238" s="492"/>
      <c r="H238" s="493"/>
      <c r="I238" s="494"/>
    </row>
    <row r="239" spans="2:9" ht="25.5" customHeight="1" x14ac:dyDescent="0.3">
      <c r="B239" s="490"/>
      <c r="C239" s="491"/>
      <c r="D239" s="492"/>
      <c r="H239" s="493"/>
      <c r="I239" s="494"/>
    </row>
    <row r="240" spans="2:9" ht="25.5" customHeight="1" x14ac:dyDescent="0.3">
      <c r="B240" s="490"/>
      <c r="C240" s="491"/>
      <c r="D240" s="492"/>
      <c r="H240" s="493"/>
      <c r="I240" s="494"/>
    </row>
    <row r="241" spans="2:9" ht="25.5" customHeight="1" x14ac:dyDescent="0.3">
      <c r="B241" s="490"/>
      <c r="C241" s="491"/>
      <c r="D241" s="492"/>
      <c r="H241" s="493"/>
      <c r="I241" s="494"/>
    </row>
    <row r="242" spans="2:9" ht="25.5" customHeight="1" x14ac:dyDescent="0.3">
      <c r="B242" s="490"/>
      <c r="C242" s="491"/>
      <c r="D242" s="492"/>
      <c r="H242" s="493"/>
      <c r="I242" s="494"/>
    </row>
    <row r="243" spans="2:9" ht="25.5" customHeight="1" x14ac:dyDescent="0.3">
      <c r="B243" s="490"/>
      <c r="C243" s="491"/>
      <c r="D243" s="492"/>
      <c r="H243" s="493"/>
      <c r="I243" s="494"/>
    </row>
    <row r="244" spans="2:9" ht="25.5" customHeight="1" x14ac:dyDescent="0.3">
      <c r="B244" s="490"/>
      <c r="C244" s="491"/>
      <c r="D244" s="492"/>
      <c r="H244" s="493"/>
      <c r="I244" s="494"/>
    </row>
    <row r="245" spans="2:9" ht="25.5" customHeight="1" x14ac:dyDescent="0.3">
      <c r="B245" s="490"/>
      <c r="C245" s="491"/>
      <c r="D245" s="492"/>
      <c r="H245" s="493"/>
      <c r="I245" s="494"/>
    </row>
    <row r="246" spans="2:9" ht="25.5" customHeight="1" x14ac:dyDescent="0.3">
      <c r="B246" s="490"/>
      <c r="C246" s="491"/>
      <c r="D246" s="492"/>
      <c r="H246" s="493"/>
      <c r="I246" s="494"/>
    </row>
    <row r="247" spans="2:9" ht="25.5" customHeight="1" x14ac:dyDescent="0.3">
      <c r="B247" s="490"/>
      <c r="C247" s="491"/>
      <c r="D247" s="492"/>
      <c r="H247" s="493"/>
      <c r="I247" s="494"/>
    </row>
    <row r="248" spans="2:9" ht="25.5" customHeight="1" x14ac:dyDescent="0.3">
      <c r="B248" s="490"/>
      <c r="C248" s="491"/>
      <c r="D248" s="492"/>
      <c r="H248" s="493"/>
      <c r="I248" s="494"/>
    </row>
    <row r="249" spans="2:9" ht="25.5" customHeight="1" x14ac:dyDescent="0.3">
      <c r="B249" s="490"/>
      <c r="C249" s="491"/>
      <c r="D249" s="492"/>
      <c r="H249" s="493"/>
      <c r="I249" s="494"/>
    </row>
    <row r="250" spans="2:9" ht="25.5" customHeight="1" x14ac:dyDescent="0.3">
      <c r="B250" s="490"/>
      <c r="C250" s="491"/>
      <c r="D250" s="492"/>
      <c r="H250" s="493"/>
      <c r="I250" s="494"/>
    </row>
    <row r="251" spans="2:9" ht="25.5" customHeight="1" x14ac:dyDescent="0.3">
      <c r="B251" s="490"/>
      <c r="C251" s="491"/>
      <c r="D251" s="492"/>
      <c r="H251" s="493"/>
      <c r="I251" s="494"/>
    </row>
    <row r="252" spans="2:9" ht="25.5" customHeight="1" x14ac:dyDescent="0.3">
      <c r="B252" s="490"/>
      <c r="C252" s="491"/>
      <c r="D252" s="492"/>
      <c r="H252" s="493"/>
      <c r="I252" s="494"/>
    </row>
    <row r="253" spans="2:9" ht="25.5" customHeight="1" x14ac:dyDescent="0.3">
      <c r="B253" s="490"/>
      <c r="C253" s="491"/>
      <c r="D253" s="492"/>
      <c r="H253" s="493"/>
      <c r="I253" s="494"/>
    </row>
    <row r="254" spans="2:9" ht="25.5" customHeight="1" x14ac:dyDescent="0.3">
      <c r="B254" s="490"/>
      <c r="C254" s="491"/>
      <c r="D254" s="492"/>
      <c r="H254" s="493"/>
      <c r="I254" s="494"/>
    </row>
    <row r="255" spans="2:9" ht="25.5" customHeight="1" x14ac:dyDescent="0.3">
      <c r="B255" s="490"/>
      <c r="C255" s="491"/>
      <c r="D255" s="492"/>
      <c r="H255" s="493"/>
      <c r="I255" s="494"/>
    </row>
    <row r="256" spans="2:9" ht="25.5" customHeight="1" x14ac:dyDescent="0.3">
      <c r="B256" s="490"/>
      <c r="C256" s="491"/>
      <c r="D256" s="492"/>
      <c r="H256" s="493"/>
      <c r="I256" s="494"/>
    </row>
    <row r="257" spans="2:9" ht="25.5" customHeight="1" x14ac:dyDescent="0.3">
      <c r="B257" s="490"/>
      <c r="C257" s="491"/>
      <c r="D257" s="492"/>
      <c r="H257" s="493"/>
      <c r="I257" s="494"/>
    </row>
    <row r="258" spans="2:9" ht="25.5" customHeight="1" x14ac:dyDescent="0.3">
      <c r="B258" s="490"/>
      <c r="C258" s="491"/>
      <c r="D258" s="492"/>
      <c r="H258" s="493"/>
      <c r="I258" s="494"/>
    </row>
    <row r="259" spans="2:9" ht="25.5" customHeight="1" x14ac:dyDescent="0.3">
      <c r="B259" s="490"/>
      <c r="C259" s="491"/>
      <c r="D259" s="492"/>
      <c r="H259" s="493"/>
      <c r="I259" s="494"/>
    </row>
    <row r="260" spans="2:9" ht="25.5" customHeight="1" x14ac:dyDescent="0.3">
      <c r="B260" s="490"/>
      <c r="C260" s="491"/>
      <c r="D260" s="492"/>
      <c r="H260" s="493"/>
      <c r="I260" s="494"/>
    </row>
    <row r="261" spans="2:9" ht="25.5" customHeight="1" x14ac:dyDescent="0.3">
      <c r="B261" s="490"/>
      <c r="C261" s="491"/>
      <c r="D261" s="492"/>
      <c r="H261" s="493"/>
      <c r="I261" s="494"/>
    </row>
    <row r="262" spans="2:9" ht="25.5" customHeight="1" x14ac:dyDescent="0.3">
      <c r="B262" s="490"/>
      <c r="C262" s="491"/>
      <c r="D262" s="492"/>
      <c r="H262" s="493"/>
      <c r="I262" s="494"/>
    </row>
    <row r="263" spans="2:9" ht="25.5" customHeight="1" x14ac:dyDescent="0.3">
      <c r="B263" s="490"/>
      <c r="C263" s="491"/>
      <c r="D263" s="492"/>
      <c r="H263" s="493"/>
      <c r="I263" s="494"/>
    </row>
    <row r="264" spans="2:9" ht="25.5" customHeight="1" x14ac:dyDescent="0.3">
      <c r="B264" s="490"/>
      <c r="C264" s="491"/>
      <c r="D264" s="492"/>
      <c r="H264" s="493"/>
      <c r="I264" s="494"/>
    </row>
    <row r="265" spans="2:9" ht="25.5" customHeight="1" x14ac:dyDescent="0.3">
      <c r="B265" s="490"/>
      <c r="C265" s="491"/>
      <c r="D265" s="492"/>
      <c r="H265" s="493"/>
      <c r="I265" s="494"/>
    </row>
    <row r="266" spans="2:9" ht="25.5" customHeight="1" x14ac:dyDescent="0.3">
      <c r="B266" s="490"/>
      <c r="C266" s="491"/>
      <c r="D266" s="492"/>
      <c r="H266" s="493"/>
      <c r="I266" s="494"/>
    </row>
    <row r="267" spans="2:9" ht="25.5" customHeight="1" x14ac:dyDescent="0.3">
      <c r="B267" s="490"/>
      <c r="C267" s="491"/>
      <c r="D267" s="492"/>
      <c r="H267" s="493"/>
      <c r="I267" s="494"/>
    </row>
    <row r="268" spans="2:9" ht="25.5" customHeight="1" x14ac:dyDescent="0.3">
      <c r="B268" s="490"/>
      <c r="C268" s="491"/>
      <c r="D268" s="492"/>
      <c r="H268" s="493"/>
      <c r="I268" s="494"/>
    </row>
    <row r="269" spans="2:9" ht="25.5" customHeight="1" x14ac:dyDescent="0.3">
      <c r="B269" s="490"/>
      <c r="C269" s="491"/>
      <c r="D269" s="492"/>
      <c r="H269" s="493"/>
      <c r="I269" s="494"/>
    </row>
    <row r="270" spans="2:9" ht="25.5" customHeight="1" x14ac:dyDescent="0.3">
      <c r="B270" s="490"/>
      <c r="C270" s="491"/>
      <c r="D270" s="492"/>
      <c r="H270" s="493"/>
      <c r="I270" s="494"/>
    </row>
    <row r="271" spans="2:9" ht="25.5" customHeight="1" x14ac:dyDescent="0.3">
      <c r="B271" s="490"/>
      <c r="C271" s="491"/>
      <c r="D271" s="492"/>
      <c r="H271" s="493"/>
      <c r="I271" s="494"/>
    </row>
    <row r="272" spans="2:9" ht="25.5" customHeight="1" x14ac:dyDescent="0.3">
      <c r="B272" s="490"/>
      <c r="C272" s="491"/>
      <c r="D272" s="492"/>
      <c r="H272" s="493"/>
      <c r="I272" s="494"/>
    </row>
    <row r="273" spans="2:9" ht="25.5" customHeight="1" x14ac:dyDescent="0.3">
      <c r="B273" s="490"/>
      <c r="C273" s="491"/>
      <c r="D273" s="492"/>
      <c r="H273" s="493"/>
      <c r="I273" s="494"/>
    </row>
    <row r="274" spans="2:9" ht="25.5" customHeight="1" x14ac:dyDescent="0.3">
      <c r="B274" s="490"/>
      <c r="C274" s="491"/>
      <c r="D274" s="492"/>
      <c r="H274" s="493"/>
      <c r="I274" s="494"/>
    </row>
    <row r="275" spans="2:9" ht="25.5" customHeight="1" x14ac:dyDescent="0.3">
      <c r="B275" s="490"/>
      <c r="C275" s="491"/>
      <c r="D275" s="492"/>
      <c r="H275" s="493"/>
      <c r="I275" s="494"/>
    </row>
    <row r="276" spans="2:9" ht="25.5" customHeight="1" x14ac:dyDescent="0.3">
      <c r="B276" s="490"/>
      <c r="C276" s="491"/>
      <c r="D276" s="492"/>
      <c r="H276" s="493"/>
      <c r="I276" s="494"/>
    </row>
    <row r="277" spans="2:9" ht="25.5" customHeight="1" x14ac:dyDescent="0.3">
      <c r="B277" s="490"/>
      <c r="C277" s="491"/>
      <c r="D277" s="492"/>
      <c r="H277" s="493"/>
      <c r="I277" s="494"/>
    </row>
    <row r="278" spans="2:9" ht="25.5" customHeight="1" x14ac:dyDescent="0.3">
      <c r="B278" s="490"/>
      <c r="C278" s="491"/>
      <c r="D278" s="492"/>
      <c r="H278" s="493"/>
      <c r="I278" s="494"/>
    </row>
    <row r="279" spans="2:9" ht="25.5" customHeight="1" x14ac:dyDescent="0.3">
      <c r="B279" s="490"/>
      <c r="C279" s="491"/>
      <c r="D279" s="492"/>
      <c r="H279" s="493"/>
      <c r="I279" s="494"/>
    </row>
    <row r="280" spans="2:9" ht="25.5" customHeight="1" x14ac:dyDescent="0.3">
      <c r="B280" s="490"/>
      <c r="C280" s="491"/>
      <c r="D280" s="492"/>
      <c r="H280" s="493"/>
      <c r="I280" s="494"/>
    </row>
    <row r="281" spans="2:9" ht="25.5" customHeight="1" x14ac:dyDescent="0.3">
      <c r="B281" s="490"/>
      <c r="C281" s="491"/>
      <c r="D281" s="492"/>
      <c r="H281" s="493"/>
      <c r="I281" s="494"/>
    </row>
    <row r="282" spans="2:9" ht="25.5" customHeight="1" x14ac:dyDescent="0.3">
      <c r="B282" s="490"/>
      <c r="C282" s="491"/>
      <c r="D282" s="492"/>
      <c r="H282" s="493"/>
      <c r="I282" s="494"/>
    </row>
    <row r="283" spans="2:9" ht="25.5" customHeight="1" x14ac:dyDescent="0.3">
      <c r="B283" s="490"/>
      <c r="C283" s="491"/>
      <c r="D283" s="492"/>
      <c r="H283" s="493"/>
      <c r="I283" s="494"/>
    </row>
    <row r="284" spans="2:9" ht="25.5" customHeight="1" x14ac:dyDescent="0.3">
      <c r="B284" s="490"/>
      <c r="C284" s="491"/>
      <c r="D284" s="492"/>
      <c r="H284" s="493"/>
      <c r="I284" s="494"/>
    </row>
    <row r="285" spans="2:9" ht="25.5" customHeight="1" x14ac:dyDescent="0.3">
      <c r="B285" s="490"/>
      <c r="C285" s="491"/>
      <c r="D285" s="492"/>
      <c r="H285" s="493"/>
      <c r="I285" s="494"/>
    </row>
    <row r="286" spans="2:9" ht="25.5" customHeight="1" x14ac:dyDescent="0.3">
      <c r="B286" s="490"/>
      <c r="C286" s="491"/>
      <c r="D286" s="492"/>
      <c r="H286" s="493"/>
      <c r="I286" s="494"/>
    </row>
    <row r="287" spans="2:9" ht="25.5" customHeight="1" x14ac:dyDescent="0.3">
      <c r="B287" s="490"/>
      <c r="C287" s="491"/>
      <c r="D287" s="492"/>
      <c r="H287" s="493"/>
      <c r="I287" s="494"/>
    </row>
    <row r="288" spans="2:9" ht="25.5" customHeight="1" x14ac:dyDescent="0.3">
      <c r="B288" s="490"/>
      <c r="C288" s="491"/>
      <c r="D288" s="492"/>
      <c r="H288" s="493"/>
      <c r="I288" s="494"/>
    </row>
    <row r="289" spans="2:9" ht="25.5" customHeight="1" x14ac:dyDescent="0.3">
      <c r="B289" s="490"/>
      <c r="C289" s="491"/>
      <c r="D289" s="492"/>
      <c r="H289" s="493"/>
      <c r="I289" s="494"/>
    </row>
    <row r="290" spans="2:9" ht="25.5" customHeight="1" x14ac:dyDescent="0.3">
      <c r="B290" s="490"/>
      <c r="C290" s="491"/>
      <c r="D290" s="492"/>
      <c r="H290" s="493"/>
      <c r="I290" s="494"/>
    </row>
    <row r="291" spans="2:9" ht="25.5" customHeight="1" x14ac:dyDescent="0.3">
      <c r="B291" s="490"/>
      <c r="C291" s="491"/>
      <c r="D291" s="492"/>
      <c r="H291" s="493"/>
      <c r="I291" s="494"/>
    </row>
    <row r="292" spans="2:9" ht="25.5" customHeight="1" x14ac:dyDescent="0.3">
      <c r="B292" s="490"/>
      <c r="C292" s="491"/>
      <c r="D292" s="492"/>
      <c r="H292" s="493"/>
      <c r="I292" s="494"/>
    </row>
    <row r="293" spans="2:9" ht="25.5" customHeight="1" x14ac:dyDescent="0.3">
      <c r="B293" s="490"/>
      <c r="C293" s="491"/>
      <c r="D293" s="492"/>
      <c r="H293" s="493"/>
      <c r="I293" s="494"/>
    </row>
    <row r="294" spans="2:9" ht="25.5" customHeight="1" x14ac:dyDescent="0.3">
      <c r="B294" s="490"/>
      <c r="C294" s="491"/>
      <c r="D294" s="492"/>
      <c r="H294" s="493"/>
      <c r="I294" s="494"/>
    </row>
    <row r="295" spans="2:9" ht="25.5" customHeight="1" x14ac:dyDescent="0.3">
      <c r="B295" s="490"/>
      <c r="C295" s="491"/>
      <c r="D295" s="492"/>
      <c r="H295" s="493"/>
      <c r="I295" s="494"/>
    </row>
    <row r="296" spans="2:9" ht="25.5" customHeight="1" x14ac:dyDescent="0.3">
      <c r="B296" s="490"/>
      <c r="C296" s="491"/>
      <c r="D296" s="492"/>
      <c r="H296" s="493"/>
      <c r="I296" s="494"/>
    </row>
    <row r="297" spans="2:9" ht="25.5" customHeight="1" x14ac:dyDescent="0.3">
      <c r="B297" s="490"/>
      <c r="C297" s="491"/>
      <c r="D297" s="492"/>
      <c r="H297" s="493"/>
      <c r="I297" s="494"/>
    </row>
    <row r="298" spans="2:9" ht="25.5" customHeight="1" x14ac:dyDescent="0.3">
      <c r="B298" s="490"/>
      <c r="C298" s="491"/>
      <c r="D298" s="492"/>
      <c r="H298" s="493"/>
      <c r="I298" s="494"/>
    </row>
    <row r="299" spans="2:9" ht="25.5" customHeight="1" x14ac:dyDescent="0.3">
      <c r="B299" s="490"/>
      <c r="C299" s="491"/>
      <c r="D299" s="492"/>
      <c r="H299" s="493"/>
      <c r="I299" s="494"/>
    </row>
    <row r="300" spans="2:9" ht="25.5" customHeight="1" x14ac:dyDescent="0.3">
      <c r="B300" s="490"/>
      <c r="C300" s="491"/>
      <c r="D300" s="492"/>
      <c r="H300" s="493"/>
      <c r="I300" s="494"/>
    </row>
    <row r="301" spans="2:9" ht="25.5" customHeight="1" x14ac:dyDescent="0.3">
      <c r="B301" s="490"/>
      <c r="C301" s="491"/>
      <c r="D301" s="492"/>
      <c r="H301" s="493"/>
      <c r="I301" s="494"/>
    </row>
    <row r="302" spans="2:9" ht="25.5" customHeight="1" x14ac:dyDescent="0.3">
      <c r="B302" s="490"/>
      <c r="C302" s="491"/>
      <c r="D302" s="492"/>
      <c r="H302" s="493"/>
      <c r="I302" s="494"/>
    </row>
    <row r="303" spans="2:9" ht="25.5" customHeight="1" x14ac:dyDescent="0.3">
      <c r="B303" s="490"/>
      <c r="C303" s="491"/>
      <c r="D303" s="492"/>
      <c r="H303" s="493"/>
      <c r="I303" s="494"/>
    </row>
    <row r="304" spans="2:9" ht="25.5" customHeight="1" x14ac:dyDescent="0.3">
      <c r="B304" s="490"/>
      <c r="C304" s="491"/>
      <c r="D304" s="492"/>
      <c r="H304" s="493"/>
      <c r="I304" s="494"/>
    </row>
    <row r="305" spans="2:9" ht="25.5" customHeight="1" x14ac:dyDescent="0.3">
      <c r="B305" s="490"/>
      <c r="C305" s="491"/>
      <c r="D305" s="492"/>
      <c r="H305" s="493"/>
      <c r="I305" s="494"/>
    </row>
    <row r="306" spans="2:9" ht="25.5" customHeight="1" x14ac:dyDescent="0.3">
      <c r="B306" s="490"/>
      <c r="C306" s="491"/>
      <c r="D306" s="492"/>
      <c r="H306" s="493"/>
      <c r="I306" s="494"/>
    </row>
    <row r="307" spans="2:9" ht="25.5" customHeight="1" x14ac:dyDescent="0.3">
      <c r="B307" s="490"/>
      <c r="C307" s="491"/>
      <c r="D307" s="492"/>
      <c r="H307" s="493"/>
      <c r="I307" s="494"/>
    </row>
    <row r="308" spans="2:9" ht="25.5" customHeight="1" x14ac:dyDescent="0.3">
      <c r="B308" s="490"/>
      <c r="C308" s="491"/>
      <c r="D308" s="492"/>
      <c r="H308" s="493"/>
      <c r="I308" s="494"/>
    </row>
    <row r="309" spans="2:9" ht="25.5" customHeight="1" x14ac:dyDescent="0.3">
      <c r="B309" s="490"/>
      <c r="C309" s="491"/>
      <c r="D309" s="492"/>
      <c r="H309" s="493"/>
      <c r="I309" s="494"/>
    </row>
    <row r="310" spans="2:9" ht="25.5" customHeight="1" x14ac:dyDescent="0.3">
      <c r="B310" s="490"/>
      <c r="C310" s="491"/>
      <c r="D310" s="492"/>
      <c r="H310" s="493"/>
      <c r="I310" s="494"/>
    </row>
    <row r="311" spans="2:9" ht="25.5" customHeight="1" x14ac:dyDescent="0.3">
      <c r="B311" s="490"/>
      <c r="C311" s="491"/>
      <c r="D311" s="492"/>
      <c r="H311" s="493"/>
      <c r="I311" s="494"/>
    </row>
    <row r="312" spans="2:9" ht="25.5" customHeight="1" x14ac:dyDescent="0.3">
      <c r="B312" s="490"/>
      <c r="C312" s="491"/>
      <c r="D312" s="492"/>
      <c r="H312" s="493"/>
      <c r="I312" s="494"/>
    </row>
    <row r="313" spans="2:9" ht="25.5" customHeight="1" x14ac:dyDescent="0.3">
      <c r="B313" s="490"/>
      <c r="C313" s="491"/>
      <c r="D313" s="492"/>
      <c r="H313" s="493"/>
      <c r="I313" s="494"/>
    </row>
    <row r="314" spans="2:9" ht="25.5" customHeight="1" x14ac:dyDescent="0.3">
      <c r="B314" s="490"/>
      <c r="C314" s="491"/>
      <c r="D314" s="492"/>
      <c r="H314" s="493"/>
      <c r="I314" s="494"/>
    </row>
    <row r="315" spans="2:9" ht="25.5" customHeight="1" x14ac:dyDescent="0.3">
      <c r="B315" s="490"/>
      <c r="C315" s="491"/>
      <c r="D315" s="492"/>
      <c r="H315" s="493"/>
      <c r="I315" s="494"/>
    </row>
    <row r="316" spans="2:9" ht="25.5" customHeight="1" x14ac:dyDescent="0.3">
      <c r="B316" s="490"/>
      <c r="C316" s="491"/>
      <c r="D316" s="492"/>
      <c r="H316" s="493"/>
      <c r="I316" s="494"/>
    </row>
    <row r="317" spans="2:9" ht="25.5" customHeight="1" x14ac:dyDescent="0.3">
      <c r="B317" s="490"/>
      <c r="C317" s="491"/>
      <c r="D317" s="492"/>
      <c r="H317" s="493"/>
      <c r="I317" s="494"/>
    </row>
    <row r="318" spans="2:9" ht="25.5" customHeight="1" x14ac:dyDescent="0.3">
      <c r="B318" s="490"/>
      <c r="C318" s="491"/>
      <c r="D318" s="492"/>
      <c r="H318" s="493"/>
      <c r="I318" s="494"/>
    </row>
    <row r="319" spans="2:9" ht="25.5" customHeight="1" x14ac:dyDescent="0.3">
      <c r="B319" s="490"/>
      <c r="C319" s="491"/>
      <c r="D319" s="492"/>
      <c r="H319" s="493"/>
      <c r="I319" s="494"/>
    </row>
    <row r="320" spans="2:9" ht="25.5" customHeight="1" x14ac:dyDescent="0.3">
      <c r="B320" s="490"/>
      <c r="C320" s="491"/>
      <c r="D320" s="492"/>
      <c r="H320" s="493"/>
      <c r="I320" s="494"/>
    </row>
    <row r="321" spans="2:9" ht="25.5" customHeight="1" x14ac:dyDescent="0.3">
      <c r="B321" s="490"/>
      <c r="C321" s="491"/>
      <c r="D321" s="492"/>
      <c r="H321" s="493"/>
      <c r="I321" s="494"/>
    </row>
    <row r="322" spans="2:9" ht="25.5" customHeight="1" x14ac:dyDescent="0.3">
      <c r="B322" s="490"/>
      <c r="C322" s="491"/>
      <c r="D322" s="492"/>
      <c r="H322" s="493"/>
      <c r="I322" s="494"/>
    </row>
    <row r="323" spans="2:9" ht="25.5" customHeight="1" x14ac:dyDescent="0.3">
      <c r="B323" s="490"/>
      <c r="C323" s="491"/>
      <c r="D323" s="492"/>
      <c r="H323" s="493"/>
      <c r="I323" s="494"/>
    </row>
    <row r="324" spans="2:9" ht="25.5" customHeight="1" x14ac:dyDescent="0.3">
      <c r="B324" s="490"/>
      <c r="C324" s="491"/>
      <c r="D324" s="492"/>
      <c r="H324" s="493"/>
      <c r="I324" s="494"/>
    </row>
    <row r="325" spans="2:9" ht="25.5" customHeight="1" x14ac:dyDescent="0.3">
      <c r="B325" s="490"/>
      <c r="C325" s="491"/>
      <c r="D325" s="492"/>
      <c r="H325" s="493"/>
      <c r="I325" s="494"/>
    </row>
    <row r="326" spans="2:9" ht="25.5" customHeight="1" x14ac:dyDescent="0.3">
      <c r="B326" s="490"/>
      <c r="C326" s="491"/>
      <c r="D326" s="492"/>
      <c r="H326" s="493"/>
      <c r="I326" s="494"/>
    </row>
    <row r="327" spans="2:9" ht="25.5" customHeight="1" x14ac:dyDescent="0.3">
      <c r="B327" s="490"/>
      <c r="C327" s="491"/>
      <c r="D327" s="492"/>
      <c r="H327" s="493"/>
      <c r="I327" s="494"/>
    </row>
    <row r="328" spans="2:9" ht="25.5" customHeight="1" x14ac:dyDescent="0.3">
      <c r="B328" s="490"/>
      <c r="C328" s="491"/>
      <c r="D328" s="492"/>
      <c r="H328" s="493"/>
      <c r="I328" s="494"/>
    </row>
    <row r="329" spans="2:9" ht="25.5" customHeight="1" x14ac:dyDescent="0.3">
      <c r="B329" s="490"/>
      <c r="C329" s="491"/>
      <c r="D329" s="492"/>
      <c r="H329" s="493"/>
      <c r="I329" s="494"/>
    </row>
    <row r="330" spans="2:9" ht="25.5" customHeight="1" x14ac:dyDescent="0.3">
      <c r="B330" s="490"/>
      <c r="C330" s="491"/>
      <c r="D330" s="492"/>
      <c r="H330" s="493"/>
      <c r="I330" s="494"/>
    </row>
    <row r="331" spans="2:9" ht="25.5" customHeight="1" x14ac:dyDescent="0.3">
      <c r="B331" s="490"/>
      <c r="C331" s="491"/>
      <c r="D331" s="492"/>
      <c r="H331" s="493"/>
      <c r="I331" s="494"/>
    </row>
    <row r="332" spans="2:9" ht="25.5" customHeight="1" x14ac:dyDescent="0.3">
      <c r="B332" s="490"/>
      <c r="C332" s="491"/>
      <c r="D332" s="492"/>
      <c r="H332" s="493"/>
      <c r="I332" s="494"/>
    </row>
    <row r="333" spans="2:9" ht="25.5" customHeight="1" x14ac:dyDescent="0.3">
      <c r="B333" s="490"/>
      <c r="C333" s="491"/>
      <c r="D333" s="492"/>
      <c r="H333" s="493"/>
      <c r="I333" s="494"/>
    </row>
    <row r="334" spans="2:9" ht="25.5" customHeight="1" x14ac:dyDescent="0.3">
      <c r="B334" s="490"/>
      <c r="C334" s="491"/>
      <c r="D334" s="492"/>
      <c r="H334" s="493"/>
      <c r="I334" s="494"/>
    </row>
    <row r="335" spans="2:9" ht="25.5" customHeight="1" x14ac:dyDescent="0.3">
      <c r="B335" s="490"/>
      <c r="C335" s="491"/>
      <c r="D335" s="492"/>
      <c r="H335" s="493"/>
      <c r="I335" s="494"/>
    </row>
    <row r="336" spans="2:9" ht="25.5" customHeight="1" x14ac:dyDescent="0.3">
      <c r="B336" s="490"/>
      <c r="C336" s="491"/>
      <c r="D336" s="492"/>
      <c r="H336" s="493"/>
      <c r="I336" s="494"/>
    </row>
    <row r="337" spans="2:9" ht="25.5" customHeight="1" x14ac:dyDescent="0.3">
      <c r="B337" s="490"/>
      <c r="C337" s="491"/>
      <c r="D337" s="492"/>
      <c r="H337" s="493"/>
      <c r="I337" s="494"/>
    </row>
    <row r="338" spans="2:9" ht="25.5" customHeight="1" x14ac:dyDescent="0.3">
      <c r="B338" s="490"/>
      <c r="C338" s="491"/>
      <c r="D338" s="492"/>
      <c r="H338" s="493"/>
      <c r="I338" s="494"/>
    </row>
    <row r="339" spans="2:9" ht="25.5" customHeight="1" x14ac:dyDescent="0.3">
      <c r="B339" s="490"/>
      <c r="C339" s="491"/>
      <c r="D339" s="492"/>
      <c r="H339" s="493"/>
      <c r="I339" s="494"/>
    </row>
    <row r="340" spans="2:9" ht="25.5" customHeight="1" x14ac:dyDescent="0.3">
      <c r="B340" s="490"/>
      <c r="C340" s="491"/>
      <c r="D340" s="492"/>
      <c r="H340" s="493"/>
      <c r="I340" s="494"/>
    </row>
    <row r="341" spans="2:9" ht="25.5" customHeight="1" x14ac:dyDescent="0.3">
      <c r="B341" s="490"/>
      <c r="C341" s="491"/>
      <c r="D341" s="492"/>
      <c r="H341" s="493"/>
      <c r="I341" s="494"/>
    </row>
    <row r="342" spans="2:9" ht="25.5" customHeight="1" x14ac:dyDescent="0.3">
      <c r="B342" s="490"/>
      <c r="C342" s="491"/>
      <c r="D342" s="492"/>
      <c r="H342" s="493"/>
      <c r="I342" s="494"/>
    </row>
    <row r="343" spans="2:9" ht="25.5" customHeight="1" x14ac:dyDescent="0.3">
      <c r="B343" s="490"/>
      <c r="C343" s="491"/>
      <c r="D343" s="492"/>
      <c r="H343" s="493"/>
      <c r="I343" s="494"/>
    </row>
    <row r="344" spans="2:9" ht="25.5" customHeight="1" x14ac:dyDescent="0.3">
      <c r="B344" s="490"/>
      <c r="C344" s="491"/>
      <c r="D344" s="492"/>
      <c r="H344" s="493"/>
      <c r="I344" s="494"/>
    </row>
    <row r="345" spans="2:9" ht="25.5" customHeight="1" x14ac:dyDescent="0.3">
      <c r="B345" s="490"/>
      <c r="C345" s="491"/>
      <c r="D345" s="492"/>
      <c r="H345" s="493"/>
      <c r="I345" s="494"/>
    </row>
    <row r="346" spans="2:9" ht="25.5" customHeight="1" x14ac:dyDescent="0.3">
      <c r="B346" s="490"/>
      <c r="C346" s="491"/>
      <c r="D346" s="492"/>
      <c r="H346" s="493"/>
      <c r="I346" s="494"/>
    </row>
    <row r="347" spans="2:9" ht="25.5" customHeight="1" x14ac:dyDescent="0.3">
      <c r="B347" s="490"/>
      <c r="C347" s="491"/>
      <c r="D347" s="492"/>
      <c r="H347" s="493"/>
      <c r="I347" s="494"/>
    </row>
    <row r="348" spans="2:9" ht="25.5" customHeight="1" x14ac:dyDescent="0.3">
      <c r="B348" s="490"/>
      <c r="C348" s="491"/>
      <c r="D348" s="492"/>
      <c r="H348" s="493"/>
      <c r="I348" s="494"/>
    </row>
    <row r="349" spans="2:9" ht="25.5" customHeight="1" x14ac:dyDescent="0.3">
      <c r="B349" s="490"/>
      <c r="C349" s="491"/>
      <c r="D349" s="492"/>
      <c r="H349" s="493"/>
      <c r="I349" s="494"/>
    </row>
    <row r="350" spans="2:9" ht="25.5" customHeight="1" x14ac:dyDescent="0.3">
      <c r="B350" s="490"/>
      <c r="C350" s="491"/>
      <c r="D350" s="492"/>
      <c r="H350" s="493"/>
      <c r="I350" s="494"/>
    </row>
    <row r="351" spans="2:9" ht="25.5" customHeight="1" x14ac:dyDescent="0.3">
      <c r="B351" s="490"/>
      <c r="C351" s="491"/>
      <c r="D351" s="492"/>
      <c r="H351" s="493"/>
      <c r="I351" s="494"/>
    </row>
    <row r="352" spans="2:9" ht="25.5" customHeight="1" x14ac:dyDescent="0.3">
      <c r="B352" s="490"/>
      <c r="C352" s="491"/>
      <c r="D352" s="492"/>
      <c r="H352" s="493"/>
      <c r="I352" s="494"/>
    </row>
    <row r="353" spans="2:9" ht="25.5" customHeight="1" x14ac:dyDescent="0.3">
      <c r="B353" s="490"/>
      <c r="C353" s="491"/>
      <c r="D353" s="492"/>
      <c r="H353" s="493"/>
      <c r="I353" s="494"/>
    </row>
    <row r="354" spans="2:9" ht="25.5" customHeight="1" x14ac:dyDescent="0.3">
      <c r="B354" s="490"/>
      <c r="C354" s="491"/>
      <c r="D354" s="492"/>
      <c r="H354" s="493"/>
      <c r="I354" s="494"/>
    </row>
    <row r="355" spans="2:9" ht="25.5" customHeight="1" x14ac:dyDescent="0.3">
      <c r="B355" s="490"/>
      <c r="C355" s="491"/>
      <c r="D355" s="492"/>
      <c r="H355" s="493"/>
      <c r="I355" s="494"/>
    </row>
    <row r="356" spans="2:9" ht="25.5" customHeight="1" x14ac:dyDescent="0.3">
      <c r="B356" s="490"/>
      <c r="C356" s="491"/>
      <c r="D356" s="492"/>
      <c r="H356" s="493"/>
      <c r="I356" s="494"/>
    </row>
    <row r="357" spans="2:9" ht="25.5" customHeight="1" x14ac:dyDescent="0.3">
      <c r="B357" s="490"/>
      <c r="C357" s="491"/>
      <c r="D357" s="492"/>
      <c r="H357" s="493"/>
      <c r="I357" s="494"/>
    </row>
    <row r="358" spans="2:9" ht="25.5" customHeight="1" x14ac:dyDescent="0.3">
      <c r="B358" s="490"/>
      <c r="C358" s="491"/>
      <c r="D358" s="492"/>
      <c r="H358" s="493"/>
      <c r="I358" s="494"/>
    </row>
    <row r="359" spans="2:9" ht="25.5" customHeight="1" x14ac:dyDescent="0.3">
      <c r="B359" s="490"/>
      <c r="C359" s="491"/>
      <c r="D359" s="492"/>
      <c r="H359" s="493"/>
      <c r="I359" s="494"/>
    </row>
    <row r="360" spans="2:9" ht="25.5" customHeight="1" x14ac:dyDescent="0.3">
      <c r="B360" s="490"/>
      <c r="C360" s="491"/>
      <c r="D360" s="492"/>
      <c r="H360" s="493"/>
      <c r="I360" s="494"/>
    </row>
    <row r="361" spans="2:9" ht="25.5" customHeight="1" x14ac:dyDescent="0.3">
      <c r="B361" s="490"/>
      <c r="C361" s="491"/>
      <c r="D361" s="492"/>
      <c r="H361" s="493"/>
      <c r="I361" s="494"/>
    </row>
    <row r="362" spans="2:9" ht="25.5" customHeight="1" x14ac:dyDescent="0.3">
      <c r="B362" s="490"/>
      <c r="C362" s="491"/>
      <c r="D362" s="492"/>
      <c r="H362" s="493"/>
      <c r="I362" s="494"/>
    </row>
    <row r="363" spans="2:9" ht="25.5" customHeight="1" x14ac:dyDescent="0.3">
      <c r="B363" s="490"/>
      <c r="C363" s="491"/>
      <c r="D363" s="492"/>
      <c r="H363" s="493"/>
      <c r="I363" s="494"/>
    </row>
    <row r="364" spans="2:9" ht="25.5" customHeight="1" x14ac:dyDescent="0.3">
      <c r="B364" s="490"/>
      <c r="C364" s="491"/>
      <c r="D364" s="492"/>
      <c r="H364" s="493"/>
      <c r="I364" s="494"/>
    </row>
    <row r="365" spans="2:9" ht="25.5" customHeight="1" x14ac:dyDescent="0.3">
      <c r="B365" s="490"/>
      <c r="C365" s="491"/>
      <c r="D365" s="492"/>
      <c r="H365" s="493"/>
      <c r="I365" s="494"/>
    </row>
    <row r="366" spans="2:9" ht="25.5" customHeight="1" x14ac:dyDescent="0.3">
      <c r="B366" s="490"/>
      <c r="C366" s="491"/>
      <c r="D366" s="492"/>
      <c r="H366" s="493"/>
      <c r="I366" s="494"/>
    </row>
    <row r="367" spans="2:9" ht="25.5" customHeight="1" x14ac:dyDescent="0.3">
      <c r="B367" s="490"/>
      <c r="C367" s="491"/>
      <c r="D367" s="492"/>
      <c r="H367" s="493"/>
      <c r="I367" s="494"/>
    </row>
    <row r="368" spans="2:9" ht="25.5" customHeight="1" x14ac:dyDescent="0.3">
      <c r="B368" s="490"/>
      <c r="C368" s="491"/>
      <c r="D368" s="492"/>
      <c r="H368" s="493"/>
      <c r="I368" s="494"/>
    </row>
    <row r="369" spans="2:9" ht="25.5" customHeight="1" x14ac:dyDescent="0.3">
      <c r="B369" s="490"/>
      <c r="C369" s="491"/>
      <c r="D369" s="492"/>
      <c r="H369" s="493"/>
      <c r="I369" s="494"/>
    </row>
    <row r="370" spans="2:9" ht="25.5" customHeight="1" x14ac:dyDescent="0.3">
      <c r="B370" s="490"/>
      <c r="C370" s="491"/>
      <c r="D370" s="492"/>
      <c r="H370" s="493"/>
      <c r="I370" s="494"/>
    </row>
    <row r="371" spans="2:9" ht="25.5" customHeight="1" x14ac:dyDescent="0.3">
      <c r="B371" s="490"/>
      <c r="C371" s="491"/>
      <c r="D371" s="492"/>
      <c r="H371" s="493"/>
      <c r="I371" s="494"/>
    </row>
    <row r="372" spans="2:9" ht="25.5" customHeight="1" x14ac:dyDescent="0.3">
      <c r="B372" s="490"/>
      <c r="C372" s="491"/>
      <c r="D372" s="492"/>
      <c r="H372" s="493"/>
      <c r="I372" s="494"/>
    </row>
    <row r="373" spans="2:9" ht="25.5" customHeight="1" x14ac:dyDescent="0.3">
      <c r="B373" s="490"/>
      <c r="C373" s="491"/>
      <c r="D373" s="492"/>
      <c r="H373" s="493"/>
      <c r="I373" s="494"/>
    </row>
    <row r="374" spans="2:9" ht="25.5" customHeight="1" x14ac:dyDescent="0.3">
      <c r="B374" s="490"/>
      <c r="C374" s="491"/>
      <c r="D374" s="492"/>
      <c r="H374" s="493"/>
      <c r="I374" s="494"/>
    </row>
    <row r="375" spans="2:9" ht="25.5" customHeight="1" x14ac:dyDescent="0.3">
      <c r="B375" s="490"/>
      <c r="C375" s="491"/>
      <c r="D375" s="492"/>
      <c r="H375" s="493"/>
      <c r="I375" s="494"/>
    </row>
    <row r="376" spans="2:9" ht="25.5" customHeight="1" x14ac:dyDescent="0.3">
      <c r="B376" s="490"/>
      <c r="C376" s="491"/>
      <c r="D376" s="492"/>
      <c r="H376" s="493"/>
      <c r="I376" s="494"/>
    </row>
    <row r="377" spans="2:9" ht="25.5" customHeight="1" x14ac:dyDescent="0.3">
      <c r="B377" s="490"/>
      <c r="C377" s="491"/>
      <c r="D377" s="492"/>
      <c r="H377" s="493"/>
      <c r="I377" s="494"/>
    </row>
    <row r="378" spans="2:9" ht="25.5" customHeight="1" x14ac:dyDescent="0.3">
      <c r="B378" s="490"/>
      <c r="C378" s="491"/>
      <c r="D378" s="492"/>
      <c r="H378" s="493"/>
      <c r="I378" s="494"/>
    </row>
    <row r="379" spans="2:9" ht="25.5" customHeight="1" x14ac:dyDescent="0.3">
      <c r="B379" s="490"/>
      <c r="C379" s="491"/>
      <c r="D379" s="492"/>
      <c r="H379" s="493"/>
      <c r="I379" s="494"/>
    </row>
    <row r="380" spans="2:9" ht="25.5" customHeight="1" x14ac:dyDescent="0.3">
      <c r="B380" s="490"/>
      <c r="C380" s="491"/>
      <c r="D380" s="492"/>
      <c r="H380" s="493"/>
      <c r="I380" s="494"/>
    </row>
    <row r="381" spans="2:9" ht="25.5" customHeight="1" x14ac:dyDescent="0.3">
      <c r="B381" s="490"/>
      <c r="C381" s="491"/>
      <c r="D381" s="492"/>
      <c r="H381" s="493"/>
      <c r="I381" s="494"/>
    </row>
    <row r="382" spans="2:9" ht="25.5" customHeight="1" x14ac:dyDescent="0.3">
      <c r="B382" s="490"/>
      <c r="C382" s="491"/>
      <c r="D382" s="492"/>
      <c r="H382" s="493"/>
      <c r="I382" s="494"/>
    </row>
    <row r="383" spans="2:9" ht="25.5" customHeight="1" x14ac:dyDescent="0.3">
      <c r="B383" s="490"/>
      <c r="C383" s="491"/>
      <c r="D383" s="492"/>
      <c r="H383" s="493"/>
      <c r="I383" s="494"/>
    </row>
    <row r="384" spans="2:9" ht="25.5" customHeight="1" x14ac:dyDescent="0.3">
      <c r="B384" s="490"/>
      <c r="C384" s="491"/>
      <c r="D384" s="492"/>
      <c r="H384" s="493"/>
      <c r="I384" s="494"/>
    </row>
    <row r="385" spans="2:9" ht="25.5" customHeight="1" x14ac:dyDescent="0.3">
      <c r="B385" s="490"/>
      <c r="C385" s="491"/>
      <c r="D385" s="492"/>
      <c r="H385" s="493"/>
      <c r="I385" s="494"/>
    </row>
    <row r="386" spans="2:9" ht="25.5" customHeight="1" x14ac:dyDescent="0.3">
      <c r="B386" s="490"/>
      <c r="C386" s="491"/>
      <c r="D386" s="492"/>
      <c r="H386" s="493"/>
      <c r="I386" s="494"/>
    </row>
    <row r="387" spans="2:9" ht="25.5" customHeight="1" x14ac:dyDescent="0.3">
      <c r="B387" s="490"/>
      <c r="C387" s="491"/>
      <c r="D387" s="492"/>
      <c r="H387" s="493"/>
      <c r="I387" s="494"/>
    </row>
    <row r="388" spans="2:9" ht="25.5" customHeight="1" x14ac:dyDescent="0.3">
      <c r="B388" s="490"/>
      <c r="C388" s="491"/>
      <c r="D388" s="492"/>
      <c r="H388" s="493"/>
      <c r="I388" s="494"/>
    </row>
    <row r="389" spans="2:9" ht="25.5" customHeight="1" x14ac:dyDescent="0.3">
      <c r="B389" s="490"/>
      <c r="C389" s="491"/>
      <c r="D389" s="492"/>
      <c r="H389" s="493"/>
      <c r="I389" s="494"/>
    </row>
    <row r="390" spans="2:9" ht="25.5" customHeight="1" x14ac:dyDescent="0.3">
      <c r="B390" s="490"/>
      <c r="C390" s="491"/>
      <c r="D390" s="492"/>
      <c r="H390" s="493"/>
      <c r="I390" s="494"/>
    </row>
    <row r="391" spans="2:9" ht="25.5" customHeight="1" x14ac:dyDescent="0.3">
      <c r="B391" s="490"/>
      <c r="C391" s="491"/>
      <c r="D391" s="492"/>
      <c r="H391" s="493"/>
      <c r="I391" s="494"/>
    </row>
    <row r="392" spans="2:9" ht="25.5" customHeight="1" x14ac:dyDescent="0.3">
      <c r="B392" s="490"/>
      <c r="C392" s="491"/>
      <c r="D392" s="492"/>
      <c r="H392" s="493"/>
      <c r="I392" s="494"/>
    </row>
    <row r="393" spans="2:9" ht="25.5" customHeight="1" x14ac:dyDescent="0.3">
      <c r="B393" s="490"/>
      <c r="C393" s="491"/>
      <c r="D393" s="492"/>
      <c r="H393" s="493"/>
      <c r="I393" s="494"/>
    </row>
    <row r="394" spans="2:9" ht="25.5" customHeight="1" x14ac:dyDescent="0.3">
      <c r="B394" s="490"/>
      <c r="C394" s="491"/>
      <c r="D394" s="492"/>
      <c r="H394" s="493"/>
      <c r="I394" s="494"/>
    </row>
    <row r="395" spans="2:9" ht="25.5" customHeight="1" x14ac:dyDescent="0.3">
      <c r="B395" s="490"/>
      <c r="C395" s="491"/>
      <c r="D395" s="492"/>
      <c r="H395" s="493"/>
      <c r="I395" s="494"/>
    </row>
    <row r="396" spans="2:9" ht="25.5" customHeight="1" x14ac:dyDescent="0.3">
      <c r="B396" s="490"/>
      <c r="C396" s="491"/>
      <c r="D396" s="492"/>
      <c r="H396" s="493"/>
      <c r="I396" s="494"/>
    </row>
    <row r="397" spans="2:9" ht="25.5" customHeight="1" x14ac:dyDescent="0.3">
      <c r="B397" s="490"/>
      <c r="C397" s="491"/>
      <c r="D397" s="492"/>
      <c r="H397" s="493"/>
      <c r="I397" s="494"/>
    </row>
    <row r="398" spans="2:9" ht="25.5" customHeight="1" x14ac:dyDescent="0.3">
      <c r="B398" s="490"/>
      <c r="C398" s="491"/>
      <c r="D398" s="492"/>
      <c r="H398" s="493"/>
      <c r="I398" s="494"/>
    </row>
    <row r="399" spans="2:9" ht="25.5" customHeight="1" x14ac:dyDescent="0.3">
      <c r="B399" s="490"/>
      <c r="C399" s="491"/>
      <c r="D399" s="492"/>
      <c r="H399" s="493"/>
      <c r="I399" s="494"/>
    </row>
    <row r="400" spans="2:9" ht="25.5" customHeight="1" x14ac:dyDescent="0.3">
      <c r="B400" s="490"/>
      <c r="C400" s="491"/>
      <c r="D400" s="492"/>
      <c r="H400" s="493"/>
      <c r="I400" s="494"/>
    </row>
    <row r="401" spans="2:9" ht="25.5" customHeight="1" x14ac:dyDescent="0.3">
      <c r="B401" s="490"/>
      <c r="C401" s="491"/>
      <c r="D401" s="492"/>
      <c r="H401" s="493"/>
      <c r="I401" s="494"/>
    </row>
    <row r="402" spans="2:9" ht="25.5" customHeight="1" x14ac:dyDescent="0.3">
      <c r="B402" s="490"/>
      <c r="C402" s="491"/>
      <c r="D402" s="492"/>
      <c r="H402" s="493"/>
      <c r="I402" s="494"/>
    </row>
    <row r="403" spans="2:9" ht="25.5" customHeight="1" x14ac:dyDescent="0.3">
      <c r="B403" s="490"/>
      <c r="C403" s="491"/>
      <c r="D403" s="492"/>
      <c r="H403" s="493"/>
      <c r="I403" s="494"/>
    </row>
    <row r="404" spans="2:9" ht="25.5" customHeight="1" x14ac:dyDescent="0.3">
      <c r="B404" s="490"/>
      <c r="C404" s="491"/>
      <c r="D404" s="492"/>
      <c r="H404" s="493"/>
      <c r="I404" s="494"/>
    </row>
    <row r="405" spans="2:9" ht="25.5" customHeight="1" x14ac:dyDescent="0.3">
      <c r="B405" s="490"/>
      <c r="C405" s="491"/>
      <c r="D405" s="492"/>
      <c r="H405" s="493"/>
      <c r="I405" s="494"/>
    </row>
    <row r="406" spans="2:9" ht="25.5" customHeight="1" x14ac:dyDescent="0.3">
      <c r="B406" s="490"/>
      <c r="C406" s="491"/>
      <c r="D406" s="492"/>
      <c r="H406" s="493"/>
      <c r="I406" s="494"/>
    </row>
    <row r="407" spans="2:9" ht="25.5" customHeight="1" x14ac:dyDescent="0.3">
      <c r="B407" s="490"/>
      <c r="C407" s="491"/>
      <c r="D407" s="492"/>
      <c r="H407" s="493"/>
      <c r="I407" s="494"/>
    </row>
    <row r="408" spans="2:9" ht="25.5" customHeight="1" x14ac:dyDescent="0.3">
      <c r="B408" s="490"/>
      <c r="C408" s="491"/>
      <c r="D408" s="492"/>
      <c r="H408" s="493"/>
      <c r="I408" s="494"/>
    </row>
    <row r="409" spans="2:9" ht="25.5" customHeight="1" x14ac:dyDescent="0.3">
      <c r="B409" s="490"/>
      <c r="C409" s="491"/>
      <c r="D409" s="492"/>
      <c r="H409" s="493"/>
      <c r="I409" s="494"/>
    </row>
    <row r="410" spans="2:9" ht="25.5" customHeight="1" x14ac:dyDescent="0.3">
      <c r="B410" s="490"/>
      <c r="C410" s="491"/>
      <c r="D410" s="492"/>
      <c r="H410" s="493"/>
      <c r="I410" s="494"/>
    </row>
    <row r="411" spans="2:9" ht="25.5" customHeight="1" x14ac:dyDescent="0.3">
      <c r="B411" s="490"/>
      <c r="C411" s="491"/>
      <c r="D411" s="492"/>
      <c r="H411" s="493"/>
      <c r="I411" s="494"/>
    </row>
    <row r="412" spans="2:9" ht="25.5" customHeight="1" x14ac:dyDescent="0.3">
      <c r="B412" s="490"/>
      <c r="C412" s="491"/>
      <c r="D412" s="492"/>
      <c r="H412" s="493"/>
      <c r="I412" s="494"/>
    </row>
    <row r="413" spans="2:9" ht="25.5" customHeight="1" x14ac:dyDescent="0.3">
      <c r="B413" s="490"/>
      <c r="C413" s="491"/>
      <c r="D413" s="492"/>
      <c r="H413" s="493"/>
      <c r="I413" s="494"/>
    </row>
    <row r="414" spans="2:9" ht="25.5" customHeight="1" x14ac:dyDescent="0.3">
      <c r="B414" s="490"/>
      <c r="C414" s="491"/>
      <c r="D414" s="492"/>
      <c r="H414" s="493"/>
      <c r="I414" s="494"/>
    </row>
    <row r="415" spans="2:9" ht="25.5" customHeight="1" x14ac:dyDescent="0.3">
      <c r="B415" s="490"/>
      <c r="C415" s="491"/>
      <c r="D415" s="492"/>
      <c r="H415" s="493"/>
      <c r="I415" s="494"/>
    </row>
    <row r="416" spans="2:9" ht="25.5" customHeight="1" x14ac:dyDescent="0.3">
      <c r="B416" s="490"/>
      <c r="C416" s="491"/>
      <c r="D416" s="492"/>
      <c r="H416" s="493"/>
      <c r="I416" s="494"/>
    </row>
    <row r="417" spans="2:9" ht="25.5" customHeight="1" x14ac:dyDescent="0.3">
      <c r="B417" s="490"/>
      <c r="C417" s="491"/>
      <c r="D417" s="492"/>
      <c r="H417" s="493"/>
      <c r="I417" s="494"/>
    </row>
    <row r="418" spans="2:9" ht="25.5" customHeight="1" x14ac:dyDescent="0.3">
      <c r="B418" s="490"/>
      <c r="C418" s="491"/>
      <c r="D418" s="492"/>
      <c r="H418" s="493"/>
      <c r="I418" s="494"/>
    </row>
    <row r="419" spans="2:9" ht="25.5" customHeight="1" x14ac:dyDescent="0.3">
      <c r="B419" s="490"/>
      <c r="C419" s="491"/>
      <c r="D419" s="492"/>
      <c r="H419" s="493"/>
      <c r="I419" s="494"/>
    </row>
    <row r="420" spans="2:9" ht="25.5" customHeight="1" x14ac:dyDescent="0.3">
      <c r="B420" s="490"/>
      <c r="C420" s="491"/>
      <c r="D420" s="492"/>
      <c r="H420" s="493"/>
      <c r="I420" s="494"/>
    </row>
    <row r="421" spans="2:9" ht="25.5" customHeight="1" x14ac:dyDescent="0.3">
      <c r="B421" s="490"/>
      <c r="C421" s="491"/>
      <c r="D421" s="492"/>
      <c r="H421" s="493"/>
      <c r="I421" s="494"/>
    </row>
    <row r="422" spans="2:9" ht="25.5" customHeight="1" x14ac:dyDescent="0.3">
      <c r="B422" s="490"/>
      <c r="C422" s="491"/>
      <c r="D422" s="492"/>
      <c r="H422" s="493"/>
      <c r="I422" s="494"/>
    </row>
    <row r="423" spans="2:9" ht="25.5" customHeight="1" x14ac:dyDescent="0.3">
      <c r="B423" s="490"/>
      <c r="C423" s="491"/>
      <c r="D423" s="492"/>
      <c r="H423" s="493"/>
      <c r="I423" s="494"/>
    </row>
    <row r="424" spans="2:9" ht="25.5" customHeight="1" x14ac:dyDescent="0.3">
      <c r="B424" s="490"/>
      <c r="C424" s="491"/>
      <c r="D424" s="492"/>
      <c r="H424" s="493"/>
      <c r="I424" s="494"/>
    </row>
    <row r="425" spans="2:9" ht="25.5" customHeight="1" x14ac:dyDescent="0.3">
      <c r="B425" s="490"/>
      <c r="C425" s="491"/>
      <c r="D425" s="492"/>
      <c r="H425" s="493"/>
      <c r="I425" s="494"/>
    </row>
    <row r="426" spans="2:9" ht="25.5" customHeight="1" x14ac:dyDescent="0.3">
      <c r="B426" s="490"/>
      <c r="C426" s="491"/>
      <c r="D426" s="492"/>
      <c r="H426" s="493"/>
      <c r="I426" s="494"/>
    </row>
    <row r="427" spans="2:9" ht="25.5" customHeight="1" x14ac:dyDescent="0.3">
      <c r="B427" s="490"/>
      <c r="C427" s="491"/>
      <c r="D427" s="492"/>
      <c r="H427" s="493"/>
      <c r="I427" s="494"/>
    </row>
    <row r="428" spans="2:9" ht="25.5" customHeight="1" x14ac:dyDescent="0.3">
      <c r="B428" s="490"/>
      <c r="C428" s="491"/>
      <c r="D428" s="492"/>
      <c r="H428" s="493"/>
      <c r="I428" s="494"/>
    </row>
    <row r="429" spans="2:9" ht="25.5" customHeight="1" x14ac:dyDescent="0.3">
      <c r="B429" s="490"/>
      <c r="C429" s="491"/>
      <c r="D429" s="492"/>
      <c r="H429" s="493"/>
      <c r="I429" s="494"/>
    </row>
    <row r="430" spans="2:9" ht="25.5" customHeight="1" x14ac:dyDescent="0.3">
      <c r="B430" s="490"/>
      <c r="C430" s="491"/>
      <c r="D430" s="492"/>
      <c r="H430" s="493"/>
      <c r="I430" s="494"/>
    </row>
    <row r="431" spans="2:9" ht="25.5" customHeight="1" x14ac:dyDescent="0.3">
      <c r="B431" s="490"/>
      <c r="C431" s="491"/>
      <c r="D431" s="492"/>
      <c r="H431" s="493"/>
      <c r="I431" s="494"/>
    </row>
    <row r="432" spans="2:9" ht="25.5" customHeight="1" x14ac:dyDescent="0.3">
      <c r="B432" s="490"/>
      <c r="C432" s="491"/>
      <c r="D432" s="492"/>
      <c r="H432" s="493"/>
      <c r="I432" s="494"/>
    </row>
    <row r="433" spans="2:9" ht="25.5" customHeight="1" x14ac:dyDescent="0.3">
      <c r="B433" s="490"/>
      <c r="C433" s="491"/>
      <c r="D433" s="492"/>
      <c r="H433" s="493"/>
      <c r="I433" s="494"/>
    </row>
    <row r="434" spans="2:9" ht="25.5" customHeight="1" x14ac:dyDescent="0.3">
      <c r="B434" s="490"/>
      <c r="C434" s="491"/>
      <c r="D434" s="492"/>
      <c r="H434" s="493"/>
      <c r="I434" s="494"/>
    </row>
    <row r="435" spans="2:9" ht="25.5" customHeight="1" x14ac:dyDescent="0.3">
      <c r="B435" s="490"/>
      <c r="C435" s="491"/>
      <c r="D435" s="492"/>
      <c r="H435" s="493"/>
      <c r="I435" s="494"/>
    </row>
    <row r="436" spans="2:9" ht="25.5" customHeight="1" x14ac:dyDescent="0.3">
      <c r="B436" s="490"/>
      <c r="C436" s="491"/>
      <c r="D436" s="492"/>
      <c r="H436" s="493"/>
      <c r="I436" s="494"/>
    </row>
    <row r="437" spans="2:9" ht="25.5" customHeight="1" x14ac:dyDescent="0.3">
      <c r="B437" s="490"/>
      <c r="C437" s="491"/>
      <c r="D437" s="492"/>
      <c r="H437" s="493"/>
      <c r="I437" s="494"/>
    </row>
    <row r="438" spans="2:9" ht="25.5" customHeight="1" x14ac:dyDescent="0.3">
      <c r="B438" s="490"/>
      <c r="C438" s="491"/>
      <c r="D438" s="492"/>
      <c r="H438" s="493"/>
      <c r="I438" s="494"/>
    </row>
    <row r="439" spans="2:9" ht="25.5" customHeight="1" x14ac:dyDescent="0.3">
      <c r="B439" s="490"/>
      <c r="C439" s="491"/>
      <c r="D439" s="492"/>
      <c r="H439" s="493"/>
      <c r="I439" s="494"/>
    </row>
    <row r="440" spans="2:9" ht="25.5" customHeight="1" x14ac:dyDescent="0.3">
      <c r="B440" s="490"/>
      <c r="C440" s="491"/>
      <c r="D440" s="492"/>
      <c r="H440" s="493"/>
      <c r="I440" s="494"/>
    </row>
    <row r="441" spans="2:9" ht="25.5" customHeight="1" x14ac:dyDescent="0.3">
      <c r="B441" s="490"/>
      <c r="C441" s="491"/>
      <c r="D441" s="492"/>
      <c r="H441" s="493"/>
      <c r="I441" s="494"/>
    </row>
    <row r="442" spans="2:9" ht="25.5" customHeight="1" x14ac:dyDescent="0.3">
      <c r="B442" s="490"/>
      <c r="C442" s="491"/>
      <c r="D442" s="492"/>
      <c r="H442" s="493"/>
      <c r="I442" s="494"/>
    </row>
    <row r="443" spans="2:9" ht="25.5" customHeight="1" x14ac:dyDescent="0.3">
      <c r="B443" s="490"/>
      <c r="C443" s="491"/>
      <c r="D443" s="492"/>
      <c r="H443" s="493"/>
      <c r="I443" s="494"/>
    </row>
    <row r="444" spans="2:9" ht="25.5" customHeight="1" x14ac:dyDescent="0.3">
      <c r="B444" s="490"/>
      <c r="C444" s="491"/>
      <c r="D444" s="492"/>
      <c r="H444" s="493"/>
      <c r="I444" s="494"/>
    </row>
    <row r="445" spans="2:9" ht="25.5" customHeight="1" x14ac:dyDescent="0.3">
      <c r="B445" s="490"/>
      <c r="C445" s="491"/>
      <c r="D445" s="492"/>
      <c r="H445" s="493"/>
      <c r="I445" s="494"/>
    </row>
    <row r="446" spans="2:9" ht="25.5" customHeight="1" x14ac:dyDescent="0.3">
      <c r="B446" s="490"/>
      <c r="C446" s="491"/>
      <c r="D446" s="492"/>
      <c r="H446" s="493"/>
      <c r="I446" s="494"/>
    </row>
    <row r="447" spans="2:9" ht="25.5" customHeight="1" x14ac:dyDescent="0.3">
      <c r="B447" s="490"/>
      <c r="C447" s="491"/>
      <c r="D447" s="492"/>
      <c r="H447" s="493"/>
      <c r="I447" s="494"/>
    </row>
    <row r="448" spans="2:9" ht="25.5" customHeight="1" x14ac:dyDescent="0.3">
      <c r="B448" s="490"/>
      <c r="C448" s="491"/>
      <c r="D448" s="492"/>
      <c r="H448" s="493"/>
      <c r="I448" s="494"/>
    </row>
    <row r="449" spans="2:9" ht="25.5" customHeight="1" x14ac:dyDescent="0.3">
      <c r="B449" s="490"/>
      <c r="C449" s="491"/>
      <c r="D449" s="492"/>
      <c r="H449" s="493"/>
      <c r="I449" s="494"/>
    </row>
    <row r="450" spans="2:9" ht="25.5" customHeight="1" x14ac:dyDescent="0.3">
      <c r="B450" s="490"/>
      <c r="C450" s="491"/>
      <c r="D450" s="492"/>
      <c r="H450" s="493"/>
      <c r="I450" s="494"/>
    </row>
    <row r="451" spans="2:9" ht="25.5" customHeight="1" x14ac:dyDescent="0.3">
      <c r="B451" s="490"/>
      <c r="C451" s="491"/>
      <c r="D451" s="492"/>
      <c r="H451" s="493"/>
      <c r="I451" s="494"/>
    </row>
    <row r="452" spans="2:9" ht="25.5" customHeight="1" x14ac:dyDescent="0.3">
      <c r="B452" s="490"/>
      <c r="C452" s="491"/>
      <c r="D452" s="492"/>
      <c r="H452" s="493"/>
      <c r="I452" s="494"/>
    </row>
    <row r="453" spans="2:9" ht="25.5" customHeight="1" x14ac:dyDescent="0.3">
      <c r="B453" s="490"/>
      <c r="C453" s="491"/>
      <c r="D453" s="492"/>
      <c r="H453" s="493"/>
      <c r="I453" s="494"/>
    </row>
    <row r="454" spans="2:9" ht="25.5" customHeight="1" x14ac:dyDescent="0.3">
      <c r="B454" s="490"/>
      <c r="C454" s="491"/>
      <c r="D454" s="492"/>
      <c r="H454" s="493"/>
      <c r="I454" s="494"/>
    </row>
    <row r="455" spans="2:9" ht="25.5" customHeight="1" x14ac:dyDescent="0.3">
      <c r="B455" s="490"/>
      <c r="C455" s="491"/>
      <c r="D455" s="492"/>
      <c r="H455" s="493"/>
      <c r="I455" s="494"/>
    </row>
    <row r="456" spans="2:9" ht="25.5" customHeight="1" x14ac:dyDescent="0.3">
      <c r="B456" s="490"/>
      <c r="C456" s="491"/>
      <c r="D456" s="492"/>
      <c r="H456" s="493"/>
      <c r="I456" s="494"/>
    </row>
    <row r="457" spans="2:9" ht="25.5" customHeight="1" x14ac:dyDescent="0.3">
      <c r="B457" s="490"/>
      <c r="C457" s="491"/>
      <c r="D457" s="492"/>
      <c r="H457" s="493"/>
      <c r="I457" s="494"/>
    </row>
    <row r="458" spans="2:9" ht="25.5" customHeight="1" x14ac:dyDescent="0.3">
      <c r="B458" s="490"/>
      <c r="C458" s="491"/>
      <c r="D458" s="492"/>
      <c r="H458" s="493"/>
      <c r="I458" s="494"/>
    </row>
    <row r="459" spans="2:9" ht="25.5" customHeight="1" x14ac:dyDescent="0.3">
      <c r="B459" s="490"/>
      <c r="C459" s="491"/>
      <c r="D459" s="492"/>
      <c r="H459" s="493"/>
      <c r="I459" s="494"/>
    </row>
    <row r="460" spans="2:9" ht="25.5" customHeight="1" x14ac:dyDescent="0.3">
      <c r="B460" s="490"/>
      <c r="C460" s="491"/>
      <c r="D460" s="492"/>
      <c r="H460" s="493"/>
      <c r="I460" s="494"/>
    </row>
    <row r="461" spans="2:9" ht="25.5" customHeight="1" x14ac:dyDescent="0.3">
      <c r="B461" s="490"/>
      <c r="C461" s="491"/>
      <c r="D461" s="492"/>
      <c r="H461" s="493"/>
      <c r="I461" s="494"/>
    </row>
    <row r="462" spans="2:9" ht="25.5" customHeight="1" x14ac:dyDescent="0.3">
      <c r="B462" s="490"/>
      <c r="C462" s="491"/>
      <c r="D462" s="492"/>
      <c r="H462" s="493"/>
      <c r="I462" s="494"/>
    </row>
    <row r="463" spans="2:9" ht="25.5" customHeight="1" x14ac:dyDescent="0.3">
      <c r="B463" s="490"/>
      <c r="C463" s="491"/>
      <c r="D463" s="492"/>
      <c r="H463" s="493"/>
      <c r="I463" s="494"/>
    </row>
    <row r="464" spans="2:9" ht="25.5" customHeight="1" x14ac:dyDescent="0.3">
      <c r="B464" s="490"/>
      <c r="C464" s="491"/>
      <c r="D464" s="492"/>
      <c r="H464" s="493"/>
      <c r="I464" s="494"/>
    </row>
    <row r="465" spans="2:9" ht="25.5" customHeight="1" x14ac:dyDescent="0.3">
      <c r="B465" s="490"/>
      <c r="C465" s="491"/>
      <c r="D465" s="492"/>
      <c r="H465" s="493"/>
      <c r="I465" s="494"/>
    </row>
    <row r="466" spans="2:9" ht="25.5" customHeight="1" x14ac:dyDescent="0.3">
      <c r="B466" s="490"/>
      <c r="C466" s="491"/>
      <c r="D466" s="492"/>
      <c r="H466" s="493"/>
      <c r="I466" s="494"/>
    </row>
    <row r="467" spans="2:9" ht="25.5" customHeight="1" x14ac:dyDescent="0.3">
      <c r="B467" s="490"/>
      <c r="C467" s="491"/>
      <c r="D467" s="492"/>
      <c r="H467" s="493"/>
      <c r="I467" s="494"/>
    </row>
    <row r="468" spans="2:9" ht="25.5" customHeight="1" x14ac:dyDescent="0.3">
      <c r="B468" s="490"/>
      <c r="C468" s="491"/>
      <c r="D468" s="492"/>
      <c r="H468" s="493"/>
      <c r="I468" s="494"/>
    </row>
    <row r="469" spans="2:9" ht="25.5" customHeight="1" x14ac:dyDescent="0.3">
      <c r="B469" s="490"/>
      <c r="C469" s="491"/>
      <c r="D469" s="492"/>
      <c r="H469" s="493"/>
      <c r="I469" s="494"/>
    </row>
    <row r="470" spans="2:9" ht="25.5" customHeight="1" x14ac:dyDescent="0.3">
      <c r="B470" s="490"/>
      <c r="C470" s="491"/>
      <c r="D470" s="492"/>
      <c r="H470" s="493"/>
      <c r="I470" s="494"/>
    </row>
    <row r="471" spans="2:9" ht="25.5" customHeight="1" x14ac:dyDescent="0.3">
      <c r="B471" s="490"/>
      <c r="C471" s="491"/>
      <c r="D471" s="492"/>
      <c r="H471" s="493"/>
      <c r="I471" s="494"/>
    </row>
    <row r="472" spans="2:9" ht="25.5" customHeight="1" x14ac:dyDescent="0.3">
      <c r="B472" s="490"/>
      <c r="C472" s="491"/>
      <c r="D472" s="492"/>
      <c r="H472" s="493"/>
      <c r="I472" s="494"/>
    </row>
    <row r="473" spans="2:9" ht="25.5" customHeight="1" x14ac:dyDescent="0.3">
      <c r="B473" s="490"/>
      <c r="C473" s="491"/>
      <c r="D473" s="492"/>
      <c r="H473" s="493"/>
      <c r="I473" s="494"/>
    </row>
    <row r="474" spans="2:9" ht="25.5" customHeight="1" x14ac:dyDescent="0.3">
      <c r="B474" s="490"/>
      <c r="C474" s="491"/>
      <c r="D474" s="492"/>
      <c r="H474" s="493"/>
      <c r="I474" s="494"/>
    </row>
    <row r="475" spans="2:9" ht="25.5" customHeight="1" x14ac:dyDescent="0.3">
      <c r="B475" s="490"/>
      <c r="C475" s="491"/>
      <c r="D475" s="492"/>
      <c r="H475" s="493"/>
      <c r="I475" s="494"/>
    </row>
    <row r="476" spans="2:9" ht="25.5" customHeight="1" x14ac:dyDescent="0.3">
      <c r="B476" s="490"/>
      <c r="C476" s="491"/>
      <c r="D476" s="492"/>
      <c r="H476" s="493"/>
      <c r="I476" s="494"/>
    </row>
    <row r="477" spans="2:9" ht="25.5" customHeight="1" x14ac:dyDescent="0.3">
      <c r="B477" s="490"/>
      <c r="C477" s="491"/>
      <c r="D477" s="492"/>
      <c r="H477" s="493"/>
      <c r="I477" s="494"/>
    </row>
    <row r="478" spans="2:9" ht="25.5" customHeight="1" x14ac:dyDescent="0.3">
      <c r="B478" s="490"/>
      <c r="C478" s="491"/>
      <c r="D478" s="492"/>
      <c r="H478" s="493"/>
      <c r="I478" s="494"/>
    </row>
    <row r="479" spans="2:9" ht="25.5" customHeight="1" x14ac:dyDescent="0.3">
      <c r="B479" s="490"/>
      <c r="C479" s="491"/>
      <c r="D479" s="492"/>
      <c r="H479" s="493"/>
      <c r="I479" s="494"/>
    </row>
    <row r="480" spans="2:9" ht="25.5" customHeight="1" x14ac:dyDescent="0.3">
      <c r="B480" s="490"/>
      <c r="C480" s="491"/>
      <c r="D480" s="492"/>
      <c r="H480" s="493"/>
      <c r="I480" s="494"/>
    </row>
    <row r="481" spans="2:9" ht="25.5" customHeight="1" x14ac:dyDescent="0.3">
      <c r="B481" s="490"/>
      <c r="C481" s="491"/>
      <c r="D481" s="492"/>
      <c r="H481" s="493"/>
      <c r="I481" s="494"/>
    </row>
    <row r="482" spans="2:9" ht="25.5" customHeight="1" x14ac:dyDescent="0.3">
      <c r="B482" s="490"/>
      <c r="C482" s="491"/>
      <c r="D482" s="492"/>
      <c r="H482" s="493"/>
      <c r="I482" s="494"/>
    </row>
    <row r="483" spans="2:9" ht="25.5" customHeight="1" x14ac:dyDescent="0.3">
      <c r="B483" s="490"/>
      <c r="C483" s="491"/>
      <c r="D483" s="492"/>
      <c r="H483" s="493"/>
      <c r="I483" s="494"/>
    </row>
    <row r="484" spans="2:9" ht="25.5" customHeight="1" x14ac:dyDescent="0.3">
      <c r="B484" s="490"/>
      <c r="C484" s="491"/>
      <c r="D484" s="492"/>
      <c r="H484" s="493"/>
      <c r="I484" s="494"/>
    </row>
    <row r="485" spans="2:9" ht="25.5" customHeight="1" x14ac:dyDescent="0.3">
      <c r="B485" s="490"/>
      <c r="C485" s="491"/>
      <c r="D485" s="492"/>
      <c r="H485" s="493"/>
      <c r="I485" s="494"/>
    </row>
    <row r="486" spans="2:9" ht="25.5" customHeight="1" x14ac:dyDescent="0.3">
      <c r="B486" s="490"/>
      <c r="C486" s="491"/>
      <c r="D486" s="492"/>
      <c r="H486" s="493"/>
      <c r="I486" s="494"/>
    </row>
    <row r="487" spans="2:9" ht="25.5" customHeight="1" x14ac:dyDescent="0.3">
      <c r="B487" s="490"/>
      <c r="C487" s="491"/>
      <c r="D487" s="492"/>
      <c r="H487" s="493"/>
      <c r="I487" s="494"/>
    </row>
    <row r="488" spans="2:9" ht="25.5" customHeight="1" x14ac:dyDescent="0.3">
      <c r="B488" s="490"/>
      <c r="C488" s="491"/>
      <c r="D488" s="492"/>
      <c r="H488" s="493"/>
      <c r="I488" s="494"/>
    </row>
    <row r="489" spans="2:9" ht="25.5" customHeight="1" x14ac:dyDescent="0.3">
      <c r="B489" s="490"/>
      <c r="C489" s="491"/>
      <c r="D489" s="492"/>
      <c r="H489" s="493"/>
      <c r="I489" s="494"/>
    </row>
    <row r="490" spans="2:9" ht="25.5" customHeight="1" x14ac:dyDescent="0.3">
      <c r="B490" s="490"/>
      <c r="C490" s="491"/>
      <c r="D490" s="492"/>
      <c r="H490" s="493"/>
      <c r="I490" s="494"/>
    </row>
    <row r="491" spans="2:9" ht="25.5" customHeight="1" x14ac:dyDescent="0.3">
      <c r="B491" s="490"/>
      <c r="C491" s="491"/>
      <c r="D491" s="492"/>
      <c r="H491" s="493"/>
      <c r="I491" s="494"/>
    </row>
    <row r="492" spans="2:9" ht="25.5" customHeight="1" x14ac:dyDescent="0.3">
      <c r="B492" s="490"/>
      <c r="C492" s="491"/>
      <c r="D492" s="492"/>
      <c r="H492" s="493"/>
      <c r="I492" s="494"/>
    </row>
    <row r="493" spans="2:9" ht="25.5" customHeight="1" x14ac:dyDescent="0.3">
      <c r="B493" s="490"/>
      <c r="C493" s="491"/>
      <c r="D493" s="492"/>
      <c r="H493" s="493"/>
      <c r="I493" s="494"/>
    </row>
    <row r="494" spans="2:9" ht="25.5" customHeight="1" x14ac:dyDescent="0.3">
      <c r="B494" s="490"/>
      <c r="C494" s="491"/>
      <c r="D494" s="492"/>
      <c r="H494" s="493"/>
      <c r="I494" s="494"/>
    </row>
    <row r="495" spans="2:9" ht="25.5" customHeight="1" x14ac:dyDescent="0.3">
      <c r="B495" s="490"/>
      <c r="C495" s="491"/>
      <c r="D495" s="492"/>
      <c r="H495" s="493"/>
      <c r="I495" s="494"/>
    </row>
    <row r="496" spans="2:9" ht="25.5" customHeight="1" x14ac:dyDescent="0.3">
      <c r="B496" s="490"/>
      <c r="C496" s="491"/>
      <c r="D496" s="492"/>
      <c r="H496" s="493"/>
      <c r="I496" s="494"/>
    </row>
    <row r="497" spans="2:9" ht="25.5" customHeight="1" x14ac:dyDescent="0.3">
      <c r="B497" s="490"/>
      <c r="C497" s="491"/>
      <c r="D497" s="492"/>
      <c r="H497" s="493"/>
      <c r="I497" s="494"/>
    </row>
    <row r="498" spans="2:9" ht="25.5" customHeight="1" x14ac:dyDescent="0.3">
      <c r="B498" s="490"/>
      <c r="C498" s="491"/>
      <c r="D498" s="492"/>
      <c r="H498" s="493"/>
      <c r="I498" s="494"/>
    </row>
    <row r="499" spans="2:9" ht="25.5" customHeight="1" x14ac:dyDescent="0.3">
      <c r="B499" s="490"/>
      <c r="C499" s="491"/>
      <c r="D499" s="492"/>
      <c r="H499" s="493"/>
      <c r="I499" s="494"/>
    </row>
    <row r="500" spans="2:9" ht="25.5" customHeight="1" x14ac:dyDescent="0.3">
      <c r="B500" s="490"/>
      <c r="C500" s="491"/>
      <c r="D500" s="492"/>
      <c r="H500" s="493"/>
      <c r="I500" s="494"/>
    </row>
    <row r="501" spans="2:9" ht="25.5" customHeight="1" x14ac:dyDescent="0.3">
      <c r="B501" s="490"/>
      <c r="C501" s="491"/>
      <c r="D501" s="492"/>
      <c r="H501" s="493"/>
      <c r="I501" s="494"/>
    </row>
    <row r="502" spans="2:9" ht="25.5" customHeight="1" x14ac:dyDescent="0.3">
      <c r="B502" s="490"/>
      <c r="C502" s="491"/>
      <c r="D502" s="492"/>
      <c r="H502" s="493"/>
      <c r="I502" s="494"/>
    </row>
    <row r="503" spans="2:9" ht="25.5" customHeight="1" x14ac:dyDescent="0.3">
      <c r="B503" s="490"/>
      <c r="C503" s="491"/>
      <c r="D503" s="492"/>
      <c r="H503" s="493"/>
      <c r="I503" s="494"/>
    </row>
    <row r="504" spans="2:9" ht="25.5" customHeight="1" x14ac:dyDescent="0.3">
      <c r="B504" s="490"/>
      <c r="C504" s="491"/>
      <c r="D504" s="492"/>
      <c r="H504" s="493"/>
      <c r="I504" s="494"/>
    </row>
    <row r="505" spans="2:9" ht="25.5" customHeight="1" x14ac:dyDescent="0.3">
      <c r="B505" s="490"/>
      <c r="C505" s="491"/>
      <c r="D505" s="492"/>
      <c r="H505" s="493"/>
      <c r="I505" s="494"/>
    </row>
    <row r="506" spans="2:9" ht="25.5" customHeight="1" x14ac:dyDescent="0.3">
      <c r="B506" s="490"/>
      <c r="C506" s="491"/>
      <c r="D506" s="492"/>
      <c r="H506" s="493"/>
      <c r="I506" s="494"/>
    </row>
    <row r="507" spans="2:9" ht="25.5" customHeight="1" x14ac:dyDescent="0.3">
      <c r="B507" s="490"/>
      <c r="C507" s="491"/>
      <c r="D507" s="492"/>
      <c r="H507" s="493"/>
      <c r="I507" s="494"/>
    </row>
    <row r="508" spans="2:9" ht="25.5" customHeight="1" x14ac:dyDescent="0.3">
      <c r="B508" s="490"/>
      <c r="C508" s="491"/>
      <c r="D508" s="492"/>
      <c r="H508" s="493"/>
      <c r="I508" s="494"/>
    </row>
    <row r="509" spans="2:9" ht="25.5" customHeight="1" x14ac:dyDescent="0.3">
      <c r="B509" s="490"/>
      <c r="C509" s="491"/>
      <c r="D509" s="492"/>
      <c r="H509" s="493"/>
      <c r="I509" s="494"/>
    </row>
    <row r="510" spans="2:9" ht="25.5" customHeight="1" x14ac:dyDescent="0.3">
      <c r="B510" s="490"/>
      <c r="C510" s="491"/>
      <c r="D510" s="492"/>
      <c r="H510" s="493"/>
      <c r="I510" s="494"/>
    </row>
    <row r="511" spans="2:9" ht="25.5" customHeight="1" x14ac:dyDescent="0.3">
      <c r="B511" s="490"/>
      <c r="C511" s="491"/>
      <c r="D511" s="492"/>
      <c r="H511" s="493"/>
      <c r="I511" s="494"/>
    </row>
    <row r="512" spans="2:9" ht="25.5" customHeight="1" x14ac:dyDescent="0.3">
      <c r="B512" s="490"/>
      <c r="C512" s="491"/>
      <c r="D512" s="492"/>
      <c r="H512" s="493"/>
      <c r="I512" s="494"/>
    </row>
    <row r="513" spans="2:9" ht="25.5" customHeight="1" x14ac:dyDescent="0.3">
      <c r="B513" s="490"/>
      <c r="C513" s="491"/>
      <c r="D513" s="492"/>
      <c r="H513" s="493"/>
      <c r="I513" s="494"/>
    </row>
    <row r="514" spans="2:9" ht="25.5" customHeight="1" x14ac:dyDescent="0.3">
      <c r="B514" s="490"/>
      <c r="C514" s="491"/>
      <c r="D514" s="492"/>
      <c r="H514" s="493"/>
      <c r="I514" s="494"/>
    </row>
    <row r="515" spans="2:9" ht="25.5" customHeight="1" x14ac:dyDescent="0.3">
      <c r="B515" s="490"/>
      <c r="C515" s="491"/>
      <c r="D515" s="492"/>
      <c r="H515" s="493"/>
      <c r="I515" s="494"/>
    </row>
    <row r="516" spans="2:9" ht="25.5" customHeight="1" x14ac:dyDescent="0.3">
      <c r="B516" s="490"/>
      <c r="C516" s="491"/>
      <c r="D516" s="492"/>
      <c r="H516" s="493"/>
      <c r="I516" s="494"/>
    </row>
    <row r="517" spans="2:9" ht="25.5" customHeight="1" x14ac:dyDescent="0.3">
      <c r="B517" s="490"/>
      <c r="C517" s="491"/>
      <c r="D517" s="492"/>
      <c r="H517" s="493"/>
      <c r="I517" s="494"/>
    </row>
    <row r="518" spans="2:9" ht="25.5" customHeight="1" x14ac:dyDescent="0.3">
      <c r="B518" s="490"/>
      <c r="C518" s="491"/>
      <c r="D518" s="492"/>
      <c r="H518" s="493"/>
      <c r="I518" s="494"/>
    </row>
    <row r="519" spans="2:9" ht="25.5" customHeight="1" x14ac:dyDescent="0.3">
      <c r="B519" s="490"/>
      <c r="C519" s="491"/>
      <c r="D519" s="492"/>
      <c r="H519" s="493"/>
      <c r="I519" s="494"/>
    </row>
    <row r="520" spans="2:9" ht="25.5" customHeight="1" x14ac:dyDescent="0.3">
      <c r="B520" s="490"/>
      <c r="C520" s="491"/>
      <c r="D520" s="492"/>
      <c r="H520" s="493"/>
      <c r="I520" s="494"/>
    </row>
    <row r="521" spans="2:9" ht="25.5" customHeight="1" x14ac:dyDescent="0.3">
      <c r="B521" s="490"/>
      <c r="C521" s="491"/>
      <c r="D521" s="492"/>
      <c r="H521" s="493"/>
      <c r="I521" s="494"/>
    </row>
    <row r="522" spans="2:9" ht="25.5" customHeight="1" x14ac:dyDescent="0.3">
      <c r="B522" s="490"/>
      <c r="C522" s="491"/>
      <c r="D522" s="492"/>
      <c r="H522" s="493"/>
      <c r="I522" s="494"/>
    </row>
    <row r="523" spans="2:9" ht="25.5" customHeight="1" x14ac:dyDescent="0.3">
      <c r="B523" s="490"/>
      <c r="C523" s="491"/>
      <c r="D523" s="492"/>
      <c r="H523" s="493"/>
      <c r="I523" s="494"/>
    </row>
    <row r="524" spans="2:9" ht="25.5" customHeight="1" x14ac:dyDescent="0.3">
      <c r="B524" s="490"/>
      <c r="C524" s="491"/>
      <c r="D524" s="492"/>
      <c r="H524" s="493"/>
      <c r="I524" s="494"/>
    </row>
    <row r="525" spans="2:9" ht="25.5" customHeight="1" x14ac:dyDescent="0.3">
      <c r="B525" s="490"/>
      <c r="C525" s="491"/>
      <c r="D525" s="492"/>
      <c r="H525" s="493"/>
      <c r="I525" s="494"/>
    </row>
    <row r="526" spans="2:9" ht="25.5" customHeight="1" x14ac:dyDescent="0.3">
      <c r="B526" s="490"/>
      <c r="C526" s="491"/>
      <c r="D526" s="492"/>
      <c r="H526" s="493"/>
      <c r="I526" s="494"/>
    </row>
    <row r="527" spans="2:9" ht="25.5" customHeight="1" x14ac:dyDescent="0.3">
      <c r="B527" s="490"/>
      <c r="C527" s="491"/>
      <c r="D527" s="492"/>
      <c r="H527" s="493"/>
      <c r="I527" s="494"/>
    </row>
    <row r="528" spans="2:9" ht="25.5" customHeight="1" x14ac:dyDescent="0.3">
      <c r="B528" s="490"/>
      <c r="C528" s="491"/>
      <c r="D528" s="492"/>
      <c r="H528" s="493"/>
      <c r="I528" s="494"/>
    </row>
    <row r="529" spans="2:9" ht="25.5" customHeight="1" x14ac:dyDescent="0.3">
      <c r="B529" s="490"/>
      <c r="C529" s="491"/>
      <c r="D529" s="492"/>
      <c r="H529" s="493"/>
      <c r="I529" s="494"/>
    </row>
    <row r="530" spans="2:9" ht="25.5" customHeight="1" x14ac:dyDescent="0.3">
      <c r="B530" s="490"/>
      <c r="C530" s="491"/>
      <c r="D530" s="492"/>
      <c r="H530" s="493"/>
      <c r="I530" s="494"/>
    </row>
    <row r="531" spans="2:9" ht="25.5" customHeight="1" x14ac:dyDescent="0.3">
      <c r="B531" s="490"/>
      <c r="C531" s="491"/>
      <c r="D531" s="492"/>
      <c r="H531" s="493"/>
      <c r="I531" s="494"/>
    </row>
    <row r="532" spans="2:9" ht="25.5" customHeight="1" x14ac:dyDescent="0.3">
      <c r="B532" s="490"/>
      <c r="C532" s="491"/>
      <c r="D532" s="492"/>
      <c r="H532" s="493"/>
      <c r="I532" s="494"/>
    </row>
    <row r="533" spans="2:9" ht="25.5" customHeight="1" x14ac:dyDescent="0.3">
      <c r="B533" s="490"/>
      <c r="C533" s="491"/>
      <c r="D533" s="492"/>
      <c r="H533" s="493"/>
      <c r="I533" s="494"/>
    </row>
    <row r="534" spans="2:9" ht="25.5" customHeight="1" x14ac:dyDescent="0.3">
      <c r="B534" s="490"/>
      <c r="C534" s="491"/>
      <c r="D534" s="492"/>
      <c r="H534" s="493"/>
      <c r="I534" s="494"/>
    </row>
    <row r="535" spans="2:9" ht="25.5" customHeight="1" x14ac:dyDescent="0.3">
      <c r="B535" s="490"/>
      <c r="C535" s="491"/>
      <c r="D535" s="492"/>
      <c r="H535" s="493"/>
      <c r="I535" s="494"/>
    </row>
    <row r="536" spans="2:9" ht="25.5" customHeight="1" x14ac:dyDescent="0.3">
      <c r="B536" s="490"/>
      <c r="C536" s="491"/>
      <c r="D536" s="492"/>
      <c r="H536" s="493"/>
      <c r="I536" s="494"/>
    </row>
    <row r="537" spans="2:9" ht="25.5" customHeight="1" x14ac:dyDescent="0.3">
      <c r="B537" s="490"/>
      <c r="C537" s="491"/>
      <c r="D537" s="492"/>
      <c r="H537" s="493"/>
      <c r="I537" s="494"/>
    </row>
    <row r="538" spans="2:9" ht="25.5" customHeight="1" x14ac:dyDescent="0.3">
      <c r="B538" s="490"/>
      <c r="C538" s="491"/>
      <c r="D538" s="492"/>
      <c r="H538" s="493"/>
      <c r="I538" s="494"/>
    </row>
    <row r="539" spans="2:9" ht="25.5" customHeight="1" x14ac:dyDescent="0.3">
      <c r="B539" s="490"/>
      <c r="C539" s="491"/>
      <c r="D539" s="492"/>
      <c r="H539" s="493"/>
      <c r="I539" s="494"/>
    </row>
    <row r="540" spans="2:9" ht="25.5" customHeight="1" x14ac:dyDescent="0.3">
      <c r="B540" s="490"/>
      <c r="C540" s="491"/>
      <c r="D540" s="492"/>
      <c r="H540" s="493"/>
      <c r="I540" s="494"/>
    </row>
    <row r="541" spans="2:9" ht="25.5" customHeight="1" x14ac:dyDescent="0.3">
      <c r="B541" s="490"/>
      <c r="C541" s="491"/>
      <c r="D541" s="492"/>
      <c r="H541" s="493"/>
      <c r="I541" s="494"/>
    </row>
    <row r="542" spans="2:9" ht="25.5" customHeight="1" x14ac:dyDescent="0.3">
      <c r="B542" s="490"/>
      <c r="C542" s="491"/>
      <c r="D542" s="492"/>
      <c r="H542" s="493"/>
      <c r="I542" s="494"/>
    </row>
    <row r="543" spans="2:9" ht="25.5" customHeight="1" x14ac:dyDescent="0.3">
      <c r="B543" s="490"/>
      <c r="C543" s="491"/>
      <c r="D543" s="492"/>
      <c r="H543" s="493"/>
      <c r="I543" s="494"/>
    </row>
    <row r="544" spans="2:9" ht="25.5" customHeight="1" x14ac:dyDescent="0.3">
      <c r="B544" s="490"/>
      <c r="C544" s="491"/>
      <c r="D544" s="492"/>
      <c r="H544" s="493"/>
      <c r="I544" s="494"/>
    </row>
    <row r="545" spans="2:9" ht="25.5" customHeight="1" x14ac:dyDescent="0.3">
      <c r="B545" s="490"/>
      <c r="C545" s="491"/>
      <c r="D545" s="492"/>
      <c r="H545" s="493"/>
      <c r="I545" s="494"/>
    </row>
    <row r="546" spans="2:9" ht="25.5" customHeight="1" x14ac:dyDescent="0.3">
      <c r="B546" s="490"/>
      <c r="C546" s="491"/>
      <c r="D546" s="492"/>
      <c r="H546" s="493"/>
      <c r="I546" s="494"/>
    </row>
    <row r="547" spans="2:9" ht="25.5" customHeight="1" x14ac:dyDescent="0.3">
      <c r="B547" s="490"/>
      <c r="C547" s="491"/>
      <c r="D547" s="492"/>
      <c r="H547" s="493"/>
      <c r="I547" s="494"/>
    </row>
    <row r="548" spans="2:9" ht="25.5" customHeight="1" x14ac:dyDescent="0.3">
      <c r="B548" s="490"/>
      <c r="C548" s="491"/>
      <c r="D548" s="492"/>
      <c r="H548" s="493"/>
      <c r="I548" s="494"/>
    </row>
    <row r="549" spans="2:9" ht="25.5" customHeight="1" x14ac:dyDescent="0.3">
      <c r="B549" s="490"/>
      <c r="C549" s="491"/>
      <c r="D549" s="492"/>
      <c r="H549" s="493"/>
      <c r="I549" s="494"/>
    </row>
    <row r="550" spans="2:9" ht="25.5" customHeight="1" x14ac:dyDescent="0.3">
      <c r="B550" s="490"/>
      <c r="C550" s="491"/>
      <c r="D550" s="492"/>
      <c r="H550" s="493"/>
      <c r="I550" s="494"/>
    </row>
    <row r="551" spans="2:9" ht="25.5" customHeight="1" x14ac:dyDescent="0.3">
      <c r="B551" s="490"/>
      <c r="C551" s="491"/>
      <c r="D551" s="492"/>
      <c r="H551" s="493"/>
      <c r="I551" s="494"/>
    </row>
    <row r="552" spans="2:9" ht="25.5" customHeight="1" x14ac:dyDescent="0.3">
      <c r="B552" s="490"/>
      <c r="C552" s="491"/>
      <c r="D552" s="492"/>
      <c r="H552" s="493"/>
      <c r="I552" s="494"/>
    </row>
    <row r="553" spans="2:9" ht="25.5" customHeight="1" x14ac:dyDescent="0.3">
      <c r="B553" s="490"/>
      <c r="C553" s="491"/>
      <c r="D553" s="492"/>
      <c r="H553" s="493"/>
      <c r="I553" s="494"/>
    </row>
    <row r="554" spans="2:9" ht="25.5" customHeight="1" x14ac:dyDescent="0.3">
      <c r="B554" s="490"/>
      <c r="C554" s="491"/>
      <c r="D554" s="492"/>
      <c r="H554" s="493"/>
      <c r="I554" s="494"/>
    </row>
    <row r="555" spans="2:9" ht="25.5" customHeight="1" x14ac:dyDescent="0.3">
      <c r="B555" s="490"/>
      <c r="C555" s="491"/>
      <c r="D555" s="492"/>
      <c r="H555" s="493"/>
      <c r="I555" s="494"/>
    </row>
    <row r="556" spans="2:9" ht="25.5" customHeight="1" x14ac:dyDescent="0.3">
      <c r="B556" s="490"/>
      <c r="C556" s="491"/>
      <c r="D556" s="492"/>
      <c r="H556" s="493"/>
      <c r="I556" s="494"/>
    </row>
    <row r="557" spans="2:9" ht="25.5" customHeight="1" x14ac:dyDescent="0.3">
      <c r="B557" s="490"/>
      <c r="C557" s="491"/>
      <c r="D557" s="492"/>
      <c r="H557" s="493"/>
      <c r="I557" s="494"/>
    </row>
    <row r="558" spans="2:9" ht="25.5" customHeight="1" x14ac:dyDescent="0.3">
      <c r="B558" s="490"/>
      <c r="C558" s="491"/>
      <c r="D558" s="492"/>
      <c r="H558" s="493"/>
      <c r="I558" s="494"/>
    </row>
    <row r="559" spans="2:9" ht="25.5" customHeight="1" x14ac:dyDescent="0.3">
      <c r="B559" s="490"/>
      <c r="C559" s="491"/>
      <c r="D559" s="492"/>
      <c r="H559" s="493"/>
      <c r="I559" s="494"/>
    </row>
    <row r="560" spans="2:9" ht="25.5" customHeight="1" x14ac:dyDescent="0.3">
      <c r="B560" s="490"/>
      <c r="C560" s="491"/>
      <c r="D560" s="492"/>
      <c r="H560" s="493"/>
      <c r="I560" s="494"/>
    </row>
    <row r="561" spans="2:9" ht="25.5" customHeight="1" x14ac:dyDescent="0.3">
      <c r="B561" s="490"/>
      <c r="C561" s="491"/>
      <c r="D561" s="492"/>
      <c r="H561" s="493"/>
      <c r="I561" s="494"/>
    </row>
    <row r="562" spans="2:9" ht="25.5" customHeight="1" x14ac:dyDescent="0.3">
      <c r="B562" s="490"/>
      <c r="C562" s="491"/>
      <c r="D562" s="492"/>
      <c r="H562" s="493"/>
      <c r="I562" s="494"/>
    </row>
    <row r="563" spans="2:9" ht="25.5" customHeight="1" x14ac:dyDescent="0.3">
      <c r="B563" s="490"/>
      <c r="C563" s="491"/>
      <c r="D563" s="492"/>
      <c r="H563" s="493"/>
      <c r="I563" s="494"/>
    </row>
    <row r="564" spans="2:9" ht="25.5" customHeight="1" x14ac:dyDescent="0.3">
      <c r="B564" s="490"/>
      <c r="C564" s="491"/>
      <c r="D564" s="492"/>
      <c r="H564" s="493"/>
      <c r="I564" s="494"/>
    </row>
    <row r="565" spans="2:9" ht="25.5" customHeight="1" x14ac:dyDescent="0.3">
      <c r="B565" s="490"/>
      <c r="C565" s="491"/>
      <c r="D565" s="492"/>
      <c r="H565" s="493"/>
      <c r="I565" s="494"/>
    </row>
    <row r="566" spans="2:9" ht="25.5" customHeight="1" x14ac:dyDescent="0.3">
      <c r="B566" s="490"/>
      <c r="C566" s="491"/>
      <c r="D566" s="492"/>
      <c r="H566" s="493"/>
      <c r="I566" s="494"/>
    </row>
    <row r="567" spans="2:9" ht="25.5" customHeight="1" x14ac:dyDescent="0.3">
      <c r="B567" s="490"/>
      <c r="C567" s="491"/>
      <c r="D567" s="492"/>
      <c r="H567" s="493"/>
      <c r="I567" s="494"/>
    </row>
    <row r="568" spans="2:9" ht="25.5" customHeight="1" x14ac:dyDescent="0.3">
      <c r="B568" s="490"/>
      <c r="C568" s="491"/>
      <c r="D568" s="492"/>
      <c r="H568" s="493"/>
      <c r="I568" s="494"/>
    </row>
    <row r="569" spans="2:9" ht="25.5" customHeight="1" x14ac:dyDescent="0.3">
      <c r="B569" s="490"/>
      <c r="C569" s="491"/>
      <c r="D569" s="492"/>
      <c r="H569" s="493"/>
      <c r="I569" s="494"/>
    </row>
    <row r="570" spans="2:9" ht="25.5" customHeight="1" x14ac:dyDescent="0.3">
      <c r="B570" s="490"/>
      <c r="C570" s="491"/>
      <c r="D570" s="492"/>
      <c r="H570" s="493"/>
      <c r="I570" s="494"/>
    </row>
    <row r="571" spans="2:9" ht="25.5" customHeight="1" x14ac:dyDescent="0.3">
      <c r="B571" s="490"/>
      <c r="C571" s="491"/>
      <c r="D571" s="492"/>
      <c r="H571" s="493"/>
      <c r="I571" s="494"/>
    </row>
    <row r="572" spans="2:9" ht="25.5" customHeight="1" x14ac:dyDescent="0.3">
      <c r="B572" s="490"/>
      <c r="C572" s="491"/>
      <c r="D572" s="492"/>
      <c r="H572" s="493"/>
      <c r="I572" s="494"/>
    </row>
    <row r="573" spans="2:9" ht="25.5" customHeight="1" x14ac:dyDescent="0.3">
      <c r="B573" s="490"/>
      <c r="C573" s="491"/>
      <c r="D573" s="492"/>
      <c r="H573" s="493"/>
      <c r="I573" s="494"/>
    </row>
    <row r="574" spans="2:9" ht="25.5" customHeight="1" x14ac:dyDescent="0.3">
      <c r="B574" s="490"/>
      <c r="C574" s="491"/>
      <c r="D574" s="492"/>
      <c r="H574" s="493"/>
      <c r="I574" s="494"/>
    </row>
    <row r="575" spans="2:9" ht="25.5" customHeight="1" x14ac:dyDescent="0.3">
      <c r="B575" s="490"/>
      <c r="C575" s="491"/>
      <c r="D575" s="492"/>
      <c r="H575" s="493"/>
      <c r="I575" s="494"/>
    </row>
    <row r="576" spans="2:9" ht="25.5" customHeight="1" x14ac:dyDescent="0.3">
      <c r="B576" s="490"/>
      <c r="C576" s="491"/>
      <c r="D576" s="492"/>
      <c r="H576" s="493"/>
      <c r="I576" s="494"/>
    </row>
    <row r="577" spans="2:9" ht="25.5" customHeight="1" x14ac:dyDescent="0.3">
      <c r="B577" s="490"/>
      <c r="C577" s="491"/>
      <c r="D577" s="492"/>
      <c r="H577" s="493"/>
      <c r="I577" s="494"/>
    </row>
    <row r="578" spans="2:9" ht="25.5" customHeight="1" x14ac:dyDescent="0.3">
      <c r="B578" s="490"/>
      <c r="C578" s="491"/>
      <c r="D578" s="492"/>
      <c r="H578" s="493"/>
      <c r="I578" s="494"/>
    </row>
    <row r="579" spans="2:9" ht="25.5" customHeight="1" x14ac:dyDescent="0.3">
      <c r="B579" s="490"/>
      <c r="C579" s="491"/>
      <c r="D579" s="492"/>
      <c r="H579" s="493"/>
      <c r="I579" s="494"/>
    </row>
    <row r="580" spans="2:9" ht="25.5" customHeight="1" x14ac:dyDescent="0.3">
      <c r="B580" s="490"/>
      <c r="C580" s="491"/>
      <c r="D580" s="492"/>
      <c r="H580" s="493"/>
      <c r="I580" s="494"/>
    </row>
    <row r="581" spans="2:9" ht="25.5" customHeight="1" x14ac:dyDescent="0.3">
      <c r="B581" s="490"/>
      <c r="C581" s="491"/>
      <c r="D581" s="492"/>
      <c r="H581" s="493"/>
      <c r="I581" s="494"/>
    </row>
    <row r="582" spans="2:9" ht="25.5" customHeight="1" x14ac:dyDescent="0.3">
      <c r="B582" s="490"/>
      <c r="C582" s="491"/>
      <c r="D582" s="492"/>
      <c r="H582" s="493"/>
      <c r="I582" s="494"/>
    </row>
    <row r="583" spans="2:9" ht="25.5" customHeight="1" x14ac:dyDescent="0.3">
      <c r="B583" s="490"/>
      <c r="C583" s="491"/>
      <c r="D583" s="492"/>
      <c r="H583" s="493"/>
      <c r="I583" s="494"/>
    </row>
    <row r="584" spans="2:9" ht="25.5" customHeight="1" x14ac:dyDescent="0.3">
      <c r="B584" s="490"/>
      <c r="C584" s="491"/>
      <c r="D584" s="492"/>
      <c r="H584" s="493"/>
      <c r="I584" s="494"/>
    </row>
    <row r="585" spans="2:9" ht="25.5" customHeight="1" x14ac:dyDescent="0.3">
      <c r="B585" s="490"/>
      <c r="C585" s="491"/>
      <c r="D585" s="492"/>
      <c r="H585" s="493"/>
      <c r="I585" s="494"/>
    </row>
    <row r="586" spans="2:9" ht="25.5" customHeight="1" x14ac:dyDescent="0.3">
      <c r="B586" s="490"/>
      <c r="C586" s="491"/>
      <c r="D586" s="492"/>
      <c r="H586" s="493"/>
      <c r="I586" s="494"/>
    </row>
    <row r="587" spans="2:9" ht="25.5" customHeight="1" x14ac:dyDescent="0.3">
      <c r="B587" s="490"/>
      <c r="C587" s="491"/>
      <c r="D587" s="492"/>
      <c r="H587" s="493"/>
      <c r="I587" s="494"/>
    </row>
    <row r="588" spans="2:9" ht="25.5" customHeight="1" x14ac:dyDescent="0.3">
      <c r="B588" s="490"/>
      <c r="C588" s="491"/>
      <c r="D588" s="492"/>
      <c r="H588" s="493"/>
      <c r="I588" s="494"/>
    </row>
    <row r="589" spans="2:9" ht="25.5" customHeight="1" x14ac:dyDescent="0.3">
      <c r="B589" s="490"/>
      <c r="C589" s="491"/>
      <c r="D589" s="492"/>
      <c r="H589" s="493"/>
      <c r="I589" s="494"/>
    </row>
    <row r="590" spans="2:9" ht="25.5" customHeight="1" x14ac:dyDescent="0.3">
      <c r="B590" s="490"/>
      <c r="C590" s="491"/>
      <c r="D590" s="492"/>
      <c r="H590" s="493"/>
      <c r="I590" s="494"/>
    </row>
    <row r="591" spans="2:9" ht="25.5" customHeight="1" x14ac:dyDescent="0.3">
      <c r="B591" s="490"/>
      <c r="C591" s="491"/>
      <c r="D591" s="492"/>
      <c r="H591" s="493"/>
      <c r="I591" s="494"/>
    </row>
    <row r="592" spans="2:9" ht="25.5" customHeight="1" x14ac:dyDescent="0.3">
      <c r="B592" s="490"/>
      <c r="C592" s="491"/>
      <c r="D592" s="492"/>
      <c r="H592" s="493"/>
      <c r="I592" s="494"/>
    </row>
    <row r="593" spans="2:9" ht="25.5" customHeight="1" x14ac:dyDescent="0.3">
      <c r="B593" s="490"/>
      <c r="C593" s="491"/>
      <c r="D593" s="492"/>
      <c r="H593" s="493"/>
      <c r="I593" s="494"/>
    </row>
    <row r="594" spans="2:9" ht="25.5" customHeight="1" x14ac:dyDescent="0.3">
      <c r="B594" s="490"/>
      <c r="C594" s="491"/>
      <c r="D594" s="492"/>
      <c r="H594" s="493"/>
      <c r="I594" s="494"/>
    </row>
    <row r="595" spans="2:9" ht="25.5" customHeight="1" x14ac:dyDescent="0.3">
      <c r="B595" s="490"/>
      <c r="C595" s="491"/>
      <c r="D595" s="492"/>
      <c r="H595" s="493"/>
      <c r="I595" s="494"/>
    </row>
    <row r="596" spans="2:9" ht="25.5" customHeight="1" x14ac:dyDescent="0.3">
      <c r="B596" s="490"/>
      <c r="C596" s="491"/>
      <c r="D596" s="492"/>
      <c r="H596" s="493"/>
      <c r="I596" s="494"/>
    </row>
    <row r="597" spans="2:9" ht="25.5" customHeight="1" x14ac:dyDescent="0.3">
      <c r="B597" s="490"/>
      <c r="C597" s="491"/>
      <c r="D597" s="492"/>
      <c r="H597" s="493"/>
      <c r="I597" s="494"/>
    </row>
    <row r="598" spans="2:9" ht="25.5" customHeight="1" x14ac:dyDescent="0.3">
      <c r="B598" s="490"/>
      <c r="C598" s="491"/>
      <c r="D598" s="492"/>
      <c r="H598" s="493"/>
      <c r="I598" s="494"/>
    </row>
    <row r="599" spans="2:9" ht="25.5" customHeight="1" x14ac:dyDescent="0.3">
      <c r="B599" s="490"/>
      <c r="C599" s="491"/>
      <c r="D599" s="492"/>
      <c r="H599" s="493"/>
      <c r="I599" s="494"/>
    </row>
    <row r="600" spans="2:9" ht="25.5" customHeight="1" x14ac:dyDescent="0.3">
      <c r="B600" s="490"/>
      <c r="C600" s="491"/>
      <c r="D600" s="492"/>
      <c r="H600" s="493"/>
      <c r="I600" s="494"/>
    </row>
    <row r="601" spans="2:9" ht="25.5" customHeight="1" x14ac:dyDescent="0.3">
      <c r="B601" s="490"/>
      <c r="C601" s="491"/>
      <c r="D601" s="492"/>
      <c r="H601" s="493"/>
      <c r="I601" s="494"/>
    </row>
    <row r="602" spans="2:9" ht="25.5" customHeight="1" x14ac:dyDescent="0.3">
      <c r="B602" s="490"/>
      <c r="C602" s="491"/>
      <c r="D602" s="492"/>
      <c r="H602" s="493"/>
      <c r="I602" s="494"/>
    </row>
    <row r="603" spans="2:9" ht="25.5" customHeight="1" x14ac:dyDescent="0.3">
      <c r="B603" s="490"/>
      <c r="C603" s="491"/>
      <c r="D603" s="492"/>
      <c r="H603" s="493"/>
      <c r="I603" s="494"/>
    </row>
    <row r="604" spans="2:9" ht="25.5" customHeight="1" x14ac:dyDescent="0.3">
      <c r="B604" s="490"/>
      <c r="C604" s="491"/>
      <c r="D604" s="492"/>
      <c r="H604" s="493"/>
      <c r="I604" s="494"/>
    </row>
    <row r="605" spans="2:9" ht="25.5" customHeight="1" x14ac:dyDescent="0.3">
      <c r="B605" s="490"/>
      <c r="C605" s="491"/>
      <c r="D605" s="492"/>
      <c r="H605" s="493"/>
      <c r="I605" s="494"/>
    </row>
    <row r="606" spans="2:9" ht="25.5" customHeight="1" x14ac:dyDescent="0.3">
      <c r="B606" s="490"/>
      <c r="C606" s="491"/>
      <c r="D606" s="492"/>
      <c r="H606" s="493"/>
      <c r="I606" s="494"/>
    </row>
    <row r="607" spans="2:9" ht="25.5" customHeight="1" x14ac:dyDescent="0.3">
      <c r="B607" s="490"/>
      <c r="C607" s="491"/>
      <c r="D607" s="492"/>
      <c r="H607" s="493"/>
      <c r="I607" s="494"/>
    </row>
    <row r="608" spans="2:9" ht="25.5" customHeight="1" x14ac:dyDescent="0.3">
      <c r="B608" s="490"/>
      <c r="C608" s="491"/>
      <c r="D608" s="492"/>
      <c r="H608" s="493"/>
      <c r="I608" s="494"/>
    </row>
    <row r="609" spans="2:9" ht="25.5" customHeight="1" x14ac:dyDescent="0.3">
      <c r="B609" s="490"/>
      <c r="C609" s="491"/>
      <c r="D609" s="492"/>
      <c r="H609" s="493"/>
      <c r="I609" s="494"/>
    </row>
    <row r="610" spans="2:9" ht="25.5" customHeight="1" x14ac:dyDescent="0.3">
      <c r="B610" s="490"/>
      <c r="C610" s="491"/>
      <c r="D610" s="492"/>
      <c r="H610" s="493"/>
      <c r="I610" s="494"/>
    </row>
    <row r="611" spans="2:9" ht="25.5" customHeight="1" x14ac:dyDescent="0.3">
      <c r="B611" s="490"/>
      <c r="C611" s="491"/>
      <c r="D611" s="492"/>
      <c r="H611" s="493"/>
      <c r="I611" s="494"/>
    </row>
    <row r="612" spans="2:9" ht="25.5" customHeight="1" x14ac:dyDescent="0.3">
      <c r="B612" s="490"/>
      <c r="C612" s="491"/>
      <c r="D612" s="492"/>
      <c r="H612" s="493"/>
      <c r="I612" s="494"/>
    </row>
    <row r="613" spans="2:9" ht="25.5" customHeight="1" x14ac:dyDescent="0.3">
      <c r="B613" s="490"/>
      <c r="C613" s="491"/>
      <c r="D613" s="492"/>
      <c r="H613" s="493"/>
      <c r="I613" s="494"/>
    </row>
    <row r="614" spans="2:9" ht="25.5" customHeight="1" x14ac:dyDescent="0.3">
      <c r="B614" s="490"/>
      <c r="C614" s="491"/>
      <c r="D614" s="492"/>
      <c r="H614" s="493"/>
      <c r="I614" s="494"/>
    </row>
    <row r="615" spans="2:9" ht="25.5" customHeight="1" x14ac:dyDescent="0.3">
      <c r="B615" s="490"/>
      <c r="C615" s="491"/>
      <c r="D615" s="492"/>
      <c r="H615" s="493"/>
      <c r="I615" s="494"/>
    </row>
    <row r="616" spans="2:9" ht="25.5" customHeight="1" x14ac:dyDescent="0.3">
      <c r="B616" s="490"/>
      <c r="C616" s="491"/>
      <c r="D616" s="492"/>
      <c r="H616" s="493"/>
      <c r="I616" s="494"/>
    </row>
    <row r="617" spans="2:9" ht="25.5" customHeight="1" x14ac:dyDescent="0.3">
      <c r="B617" s="490"/>
      <c r="C617" s="491"/>
      <c r="D617" s="492"/>
      <c r="H617" s="493"/>
      <c r="I617" s="494"/>
    </row>
    <row r="618" spans="2:9" ht="25.5" customHeight="1" x14ac:dyDescent="0.3">
      <c r="B618" s="490"/>
      <c r="C618" s="491"/>
      <c r="D618" s="492"/>
      <c r="H618" s="493"/>
      <c r="I618" s="494"/>
    </row>
    <row r="619" spans="2:9" ht="25.5" customHeight="1" x14ac:dyDescent="0.3">
      <c r="B619" s="490"/>
      <c r="C619" s="491"/>
      <c r="D619" s="492"/>
      <c r="H619" s="493"/>
      <c r="I619" s="494"/>
    </row>
    <row r="620" spans="2:9" ht="25.5" customHeight="1" x14ac:dyDescent="0.3">
      <c r="B620" s="490"/>
      <c r="C620" s="491"/>
      <c r="D620" s="492"/>
      <c r="H620" s="493"/>
      <c r="I620" s="494"/>
    </row>
    <row r="621" spans="2:9" ht="25.5" customHeight="1" x14ac:dyDescent="0.3">
      <c r="B621" s="490"/>
      <c r="C621" s="491"/>
      <c r="D621" s="492"/>
      <c r="H621" s="493"/>
      <c r="I621" s="494"/>
    </row>
    <row r="622" spans="2:9" ht="25.5" customHeight="1" x14ac:dyDescent="0.3">
      <c r="B622" s="490"/>
      <c r="C622" s="491"/>
      <c r="D622" s="492"/>
      <c r="H622" s="493"/>
      <c r="I622" s="494"/>
    </row>
    <row r="623" spans="2:9" ht="25.5" customHeight="1" x14ac:dyDescent="0.3">
      <c r="B623" s="490"/>
      <c r="C623" s="491"/>
      <c r="D623" s="492"/>
      <c r="H623" s="493"/>
      <c r="I623" s="494"/>
    </row>
    <row r="624" spans="2:9" ht="25.5" customHeight="1" x14ac:dyDescent="0.3">
      <c r="B624" s="490"/>
      <c r="C624" s="491"/>
      <c r="D624" s="492"/>
      <c r="H624" s="493"/>
      <c r="I624" s="494"/>
    </row>
    <row r="625" spans="2:9" ht="25.5" customHeight="1" x14ac:dyDescent="0.3">
      <c r="B625" s="490"/>
      <c r="C625" s="491"/>
      <c r="D625" s="492"/>
      <c r="H625" s="493"/>
      <c r="I625" s="494"/>
    </row>
    <row r="626" spans="2:9" ht="25.5" customHeight="1" x14ac:dyDescent="0.3">
      <c r="B626" s="490"/>
      <c r="C626" s="491"/>
      <c r="D626" s="492"/>
      <c r="H626" s="493"/>
      <c r="I626" s="494"/>
    </row>
    <row r="627" spans="2:9" ht="25.5" customHeight="1" x14ac:dyDescent="0.3">
      <c r="B627" s="490"/>
      <c r="C627" s="491"/>
      <c r="D627" s="492"/>
      <c r="H627" s="493"/>
      <c r="I627" s="494"/>
    </row>
    <row r="628" spans="2:9" ht="25.5" customHeight="1" x14ac:dyDescent="0.3">
      <c r="B628" s="490"/>
      <c r="C628" s="491"/>
      <c r="D628" s="492"/>
      <c r="H628" s="493"/>
      <c r="I628" s="494"/>
    </row>
    <row r="629" spans="2:9" ht="25.5" customHeight="1" x14ac:dyDescent="0.3">
      <c r="B629" s="490"/>
      <c r="C629" s="491"/>
      <c r="D629" s="492"/>
      <c r="H629" s="493"/>
      <c r="I629" s="494"/>
    </row>
    <row r="630" spans="2:9" ht="25.5" customHeight="1" x14ac:dyDescent="0.3">
      <c r="B630" s="490"/>
      <c r="C630" s="491"/>
      <c r="D630" s="492"/>
      <c r="H630" s="493"/>
      <c r="I630" s="494"/>
    </row>
    <row r="631" spans="2:9" ht="25.5" customHeight="1" x14ac:dyDescent="0.3">
      <c r="B631" s="490"/>
      <c r="C631" s="491"/>
      <c r="D631" s="492"/>
      <c r="H631" s="493"/>
      <c r="I631" s="494"/>
    </row>
    <row r="632" spans="2:9" ht="25.5" customHeight="1" x14ac:dyDescent="0.3">
      <c r="B632" s="490"/>
      <c r="C632" s="491"/>
      <c r="D632" s="492"/>
      <c r="H632" s="493"/>
      <c r="I632" s="494"/>
    </row>
    <row r="633" spans="2:9" ht="25.5" customHeight="1" x14ac:dyDescent="0.3">
      <c r="B633" s="490"/>
      <c r="C633" s="491"/>
      <c r="D633" s="492"/>
      <c r="H633" s="493"/>
      <c r="I633" s="494"/>
    </row>
    <row r="634" spans="2:9" ht="25.5" customHeight="1" x14ac:dyDescent="0.3">
      <c r="B634" s="490"/>
      <c r="C634" s="491"/>
      <c r="D634" s="492"/>
      <c r="H634" s="493"/>
      <c r="I634" s="494"/>
    </row>
    <row r="635" spans="2:9" ht="25.5" customHeight="1" x14ac:dyDescent="0.3">
      <c r="B635" s="490"/>
      <c r="C635" s="491"/>
      <c r="D635" s="492"/>
      <c r="H635" s="493"/>
      <c r="I635" s="494"/>
    </row>
    <row r="636" spans="2:9" ht="25.5" customHeight="1" x14ac:dyDescent="0.3">
      <c r="B636" s="490"/>
      <c r="C636" s="491"/>
      <c r="D636" s="492"/>
      <c r="H636" s="493"/>
      <c r="I636" s="494"/>
    </row>
    <row r="637" spans="2:9" ht="25.5" customHeight="1" x14ac:dyDescent="0.3">
      <c r="B637" s="490"/>
      <c r="C637" s="491"/>
      <c r="D637" s="492"/>
      <c r="H637" s="493"/>
      <c r="I637" s="494"/>
    </row>
    <row r="638" spans="2:9" ht="25.5" customHeight="1" x14ac:dyDescent="0.3">
      <c r="B638" s="490"/>
      <c r="C638" s="491"/>
      <c r="D638" s="492"/>
      <c r="H638" s="493"/>
      <c r="I638" s="494"/>
    </row>
    <row r="639" spans="2:9" ht="25.5" customHeight="1" x14ac:dyDescent="0.3">
      <c r="B639" s="490"/>
      <c r="C639" s="491"/>
      <c r="D639" s="492"/>
      <c r="H639" s="493"/>
      <c r="I639" s="494"/>
    </row>
    <row r="640" spans="2:9" ht="25.5" customHeight="1" x14ac:dyDescent="0.3">
      <c r="B640" s="490"/>
      <c r="C640" s="491"/>
      <c r="D640" s="492"/>
      <c r="H640" s="493"/>
      <c r="I640" s="494"/>
    </row>
    <row r="641" spans="2:9" ht="25.5" customHeight="1" x14ac:dyDescent="0.3">
      <c r="B641" s="490"/>
      <c r="C641" s="491"/>
      <c r="D641" s="492"/>
      <c r="H641" s="493"/>
      <c r="I641" s="494"/>
    </row>
    <row r="642" spans="2:9" ht="25.5" customHeight="1" x14ac:dyDescent="0.3">
      <c r="B642" s="490"/>
      <c r="C642" s="491"/>
      <c r="D642" s="492"/>
      <c r="H642" s="493"/>
      <c r="I642" s="494"/>
    </row>
    <row r="643" spans="2:9" ht="25.5" customHeight="1" x14ac:dyDescent="0.3">
      <c r="B643" s="490"/>
      <c r="C643" s="491"/>
      <c r="D643" s="492"/>
      <c r="H643" s="493"/>
      <c r="I643" s="494"/>
    </row>
    <row r="644" spans="2:9" ht="25.5" customHeight="1" x14ac:dyDescent="0.3">
      <c r="B644" s="490"/>
      <c r="C644" s="491"/>
      <c r="D644" s="492"/>
      <c r="H644" s="493"/>
      <c r="I644" s="494"/>
    </row>
    <row r="645" spans="2:9" ht="25.5" customHeight="1" x14ac:dyDescent="0.3">
      <c r="B645" s="490"/>
      <c r="C645" s="491"/>
      <c r="D645" s="492"/>
      <c r="H645" s="493"/>
      <c r="I645" s="494"/>
    </row>
    <row r="646" spans="2:9" ht="25.5" customHeight="1" x14ac:dyDescent="0.3">
      <c r="B646" s="490"/>
      <c r="C646" s="491"/>
      <c r="D646" s="492"/>
      <c r="H646" s="493"/>
      <c r="I646" s="494"/>
    </row>
    <row r="647" spans="2:9" ht="25.5" customHeight="1" x14ac:dyDescent="0.3">
      <c r="B647" s="490"/>
      <c r="C647" s="491"/>
      <c r="D647" s="492"/>
      <c r="H647" s="493"/>
      <c r="I647" s="494"/>
    </row>
    <row r="648" spans="2:9" ht="25.5" customHeight="1" x14ac:dyDescent="0.3">
      <c r="B648" s="490"/>
      <c r="C648" s="491"/>
      <c r="D648" s="492"/>
      <c r="H648" s="493"/>
      <c r="I648" s="494"/>
    </row>
    <row r="649" spans="2:9" ht="25.5" customHeight="1" x14ac:dyDescent="0.3">
      <c r="B649" s="490"/>
      <c r="C649" s="491"/>
      <c r="D649" s="492"/>
      <c r="H649" s="493"/>
      <c r="I649" s="494"/>
    </row>
    <row r="650" spans="2:9" ht="25.5" customHeight="1" x14ac:dyDescent="0.3">
      <c r="B650" s="490"/>
      <c r="C650" s="491"/>
      <c r="D650" s="492"/>
      <c r="H650" s="493"/>
      <c r="I650" s="494"/>
    </row>
    <row r="651" spans="2:9" ht="25.5" customHeight="1" x14ac:dyDescent="0.3">
      <c r="B651" s="490"/>
      <c r="C651" s="491"/>
      <c r="D651" s="492"/>
      <c r="H651" s="493"/>
      <c r="I651" s="494"/>
    </row>
    <row r="652" spans="2:9" ht="25.5" customHeight="1" x14ac:dyDescent="0.3">
      <c r="B652" s="490"/>
      <c r="C652" s="491"/>
      <c r="D652" s="492"/>
      <c r="H652" s="493"/>
      <c r="I652" s="494"/>
    </row>
    <row r="653" spans="2:9" ht="25.5" customHeight="1" x14ac:dyDescent="0.3">
      <c r="B653" s="490"/>
      <c r="C653" s="491"/>
      <c r="D653" s="492"/>
      <c r="H653" s="493"/>
      <c r="I653" s="494"/>
    </row>
    <row r="654" spans="2:9" ht="25.5" customHeight="1" x14ac:dyDescent="0.3">
      <c r="B654" s="490"/>
      <c r="C654" s="491"/>
      <c r="D654" s="492"/>
      <c r="H654" s="493"/>
      <c r="I654" s="494"/>
    </row>
    <row r="655" spans="2:9" ht="25.5" customHeight="1" x14ac:dyDescent="0.3">
      <c r="B655" s="490"/>
      <c r="C655" s="491"/>
      <c r="D655" s="492"/>
      <c r="H655" s="493"/>
      <c r="I655" s="494"/>
    </row>
    <row r="656" spans="2:9" ht="25.5" customHeight="1" x14ac:dyDescent="0.3">
      <c r="B656" s="490"/>
      <c r="C656" s="491"/>
      <c r="D656" s="492"/>
      <c r="H656" s="493"/>
      <c r="I656" s="494"/>
    </row>
    <row r="657" spans="2:9" ht="25.5" customHeight="1" x14ac:dyDescent="0.3">
      <c r="B657" s="490"/>
      <c r="C657" s="491"/>
      <c r="D657" s="492"/>
      <c r="H657" s="493"/>
      <c r="I657" s="494"/>
    </row>
    <row r="658" spans="2:9" ht="25.5" customHeight="1" x14ac:dyDescent="0.3">
      <c r="B658" s="490"/>
      <c r="C658" s="491"/>
      <c r="D658" s="492"/>
      <c r="H658" s="493"/>
      <c r="I658" s="494"/>
    </row>
    <row r="659" spans="2:9" ht="25.5" customHeight="1" x14ac:dyDescent="0.3">
      <c r="B659" s="490"/>
      <c r="C659" s="491"/>
      <c r="D659" s="492"/>
      <c r="H659" s="493"/>
      <c r="I659" s="494"/>
    </row>
    <row r="660" spans="2:9" ht="25.5" customHeight="1" x14ac:dyDescent="0.3">
      <c r="B660" s="490"/>
      <c r="C660" s="491"/>
      <c r="D660" s="492"/>
      <c r="H660" s="493"/>
      <c r="I660" s="494"/>
    </row>
    <row r="661" spans="2:9" ht="25.5" customHeight="1" x14ac:dyDescent="0.3">
      <c r="B661" s="490"/>
      <c r="C661" s="491"/>
      <c r="D661" s="492"/>
      <c r="H661" s="493"/>
      <c r="I661" s="494"/>
    </row>
    <row r="662" spans="2:9" ht="25.5" customHeight="1" x14ac:dyDescent="0.3">
      <c r="B662" s="490"/>
      <c r="C662" s="491"/>
      <c r="D662" s="492"/>
      <c r="H662" s="493"/>
      <c r="I662" s="494"/>
    </row>
    <row r="663" spans="2:9" ht="25.5" customHeight="1" x14ac:dyDescent="0.3">
      <c r="B663" s="490"/>
      <c r="C663" s="491"/>
      <c r="D663" s="492"/>
      <c r="H663" s="493"/>
      <c r="I663" s="494"/>
    </row>
    <row r="664" spans="2:9" ht="25.5" customHeight="1" x14ac:dyDescent="0.3">
      <c r="B664" s="490"/>
      <c r="C664" s="491"/>
      <c r="D664" s="492"/>
      <c r="H664" s="493"/>
      <c r="I664" s="494"/>
    </row>
    <row r="665" spans="2:9" ht="25.5" customHeight="1" x14ac:dyDescent="0.3">
      <c r="B665" s="490"/>
      <c r="C665" s="491"/>
      <c r="D665" s="492"/>
      <c r="H665" s="493"/>
      <c r="I665" s="494"/>
    </row>
    <row r="666" spans="2:9" ht="25.5" customHeight="1" x14ac:dyDescent="0.3">
      <c r="B666" s="490"/>
      <c r="C666" s="491"/>
      <c r="D666" s="492"/>
      <c r="H666" s="493"/>
      <c r="I666" s="494"/>
    </row>
    <row r="667" spans="2:9" ht="25.5" customHeight="1" x14ac:dyDescent="0.3">
      <c r="B667" s="490"/>
      <c r="C667" s="491"/>
      <c r="D667" s="492"/>
      <c r="H667" s="493"/>
      <c r="I667" s="494"/>
    </row>
    <row r="668" spans="2:9" ht="25.5" customHeight="1" x14ac:dyDescent="0.3">
      <c r="B668" s="490"/>
      <c r="C668" s="491"/>
      <c r="D668" s="492"/>
      <c r="H668" s="493"/>
      <c r="I668" s="494"/>
    </row>
    <row r="669" spans="2:9" ht="25.5" customHeight="1" x14ac:dyDescent="0.3">
      <c r="B669" s="490"/>
      <c r="C669" s="491"/>
      <c r="D669" s="492"/>
      <c r="H669" s="493"/>
      <c r="I669" s="494"/>
    </row>
    <row r="670" spans="2:9" ht="25.5" customHeight="1" x14ac:dyDescent="0.3">
      <c r="B670" s="490"/>
      <c r="C670" s="491"/>
      <c r="D670" s="492"/>
      <c r="H670" s="493"/>
      <c r="I670" s="494"/>
    </row>
    <row r="671" spans="2:9" ht="25.5" customHeight="1" x14ac:dyDescent="0.3">
      <c r="B671" s="490"/>
      <c r="C671" s="491"/>
      <c r="D671" s="492"/>
      <c r="H671" s="493"/>
      <c r="I671" s="494"/>
    </row>
    <row r="672" spans="2:9" ht="25.5" customHeight="1" x14ac:dyDescent="0.3">
      <c r="B672" s="490"/>
      <c r="C672" s="491"/>
      <c r="D672" s="492"/>
      <c r="H672" s="493"/>
      <c r="I672" s="494"/>
    </row>
    <row r="673" spans="2:9" ht="25.5" customHeight="1" x14ac:dyDescent="0.3">
      <c r="B673" s="490"/>
      <c r="C673" s="491"/>
      <c r="D673" s="492"/>
      <c r="H673" s="493"/>
      <c r="I673" s="494"/>
    </row>
    <row r="674" spans="2:9" ht="25.5" customHeight="1" x14ac:dyDescent="0.3">
      <c r="B674" s="490"/>
      <c r="C674" s="491"/>
      <c r="D674" s="492"/>
      <c r="H674" s="493"/>
      <c r="I674" s="494"/>
    </row>
    <row r="675" spans="2:9" ht="25.5" customHeight="1" x14ac:dyDescent="0.3">
      <c r="B675" s="490"/>
      <c r="C675" s="491"/>
      <c r="D675" s="492"/>
      <c r="H675" s="493"/>
      <c r="I675" s="494"/>
    </row>
    <row r="676" spans="2:9" ht="25.5" customHeight="1" x14ac:dyDescent="0.3">
      <c r="B676" s="490"/>
      <c r="C676" s="491"/>
      <c r="D676" s="492"/>
      <c r="H676" s="493"/>
      <c r="I676" s="494"/>
    </row>
    <row r="677" spans="2:9" ht="25.5" customHeight="1" x14ac:dyDescent="0.3">
      <c r="B677" s="490"/>
      <c r="C677" s="491"/>
      <c r="D677" s="492"/>
      <c r="H677" s="493"/>
      <c r="I677" s="494"/>
    </row>
    <row r="678" spans="2:9" ht="25.5" customHeight="1" x14ac:dyDescent="0.3">
      <c r="B678" s="490"/>
      <c r="C678" s="491"/>
      <c r="D678" s="492"/>
      <c r="H678" s="493"/>
      <c r="I678" s="494"/>
    </row>
    <row r="679" spans="2:9" ht="25.5" customHeight="1" x14ac:dyDescent="0.3">
      <c r="B679" s="490"/>
      <c r="C679" s="491"/>
      <c r="D679" s="492"/>
      <c r="H679" s="493"/>
      <c r="I679" s="494"/>
    </row>
    <row r="680" spans="2:9" ht="25.5" customHeight="1" x14ac:dyDescent="0.3">
      <c r="B680" s="490"/>
      <c r="C680" s="491"/>
      <c r="D680" s="492"/>
      <c r="H680" s="493"/>
      <c r="I680" s="494"/>
    </row>
    <row r="681" spans="2:9" ht="25.5" customHeight="1" x14ac:dyDescent="0.3">
      <c r="B681" s="490"/>
      <c r="C681" s="491"/>
      <c r="D681" s="492"/>
      <c r="H681" s="493"/>
      <c r="I681" s="494"/>
    </row>
    <row r="682" spans="2:9" ht="25.5" customHeight="1" x14ac:dyDescent="0.3">
      <c r="B682" s="490"/>
      <c r="C682" s="491"/>
      <c r="D682" s="492"/>
      <c r="H682" s="493"/>
      <c r="I682" s="494"/>
    </row>
    <row r="683" spans="2:9" ht="25.5" customHeight="1" x14ac:dyDescent="0.3">
      <c r="B683" s="490"/>
      <c r="C683" s="491"/>
      <c r="D683" s="492"/>
      <c r="H683" s="493"/>
      <c r="I683" s="494"/>
    </row>
    <row r="684" spans="2:9" ht="25.5" customHeight="1" x14ac:dyDescent="0.3">
      <c r="B684" s="490"/>
      <c r="C684" s="491"/>
      <c r="D684" s="492"/>
      <c r="H684" s="493"/>
      <c r="I684" s="494"/>
    </row>
    <row r="685" spans="2:9" ht="25.5" customHeight="1" x14ac:dyDescent="0.3">
      <c r="B685" s="490"/>
      <c r="C685" s="491"/>
      <c r="D685" s="492"/>
      <c r="H685" s="493"/>
      <c r="I685" s="494"/>
    </row>
    <row r="686" spans="2:9" ht="25.5" customHeight="1" x14ac:dyDescent="0.3">
      <c r="B686" s="490"/>
      <c r="C686" s="491"/>
      <c r="D686" s="492"/>
      <c r="H686" s="493"/>
      <c r="I686" s="494"/>
    </row>
    <row r="687" spans="2:9" ht="25.5" customHeight="1" x14ac:dyDescent="0.3">
      <c r="B687" s="490"/>
      <c r="C687" s="491"/>
      <c r="D687" s="492"/>
      <c r="H687" s="493"/>
      <c r="I687" s="494"/>
    </row>
    <row r="688" spans="2:9" ht="25.5" customHeight="1" x14ac:dyDescent="0.3">
      <c r="B688" s="490"/>
      <c r="C688" s="491"/>
      <c r="D688" s="492"/>
      <c r="H688" s="493"/>
      <c r="I688" s="494"/>
    </row>
    <row r="689" spans="2:9" ht="25.5" customHeight="1" x14ac:dyDescent="0.3">
      <c r="B689" s="490"/>
      <c r="C689" s="491"/>
      <c r="D689" s="492"/>
      <c r="H689" s="493"/>
      <c r="I689" s="494"/>
    </row>
    <row r="690" spans="2:9" ht="25.5" customHeight="1" x14ac:dyDescent="0.3">
      <c r="B690" s="490"/>
      <c r="C690" s="491"/>
      <c r="D690" s="492"/>
      <c r="H690" s="493"/>
      <c r="I690" s="494"/>
    </row>
    <row r="691" spans="2:9" ht="25.5" customHeight="1" x14ac:dyDescent="0.3">
      <c r="B691" s="490"/>
      <c r="C691" s="491"/>
      <c r="D691" s="492"/>
      <c r="H691" s="493"/>
      <c r="I691" s="494"/>
    </row>
    <row r="692" spans="2:9" ht="25.5" customHeight="1" x14ac:dyDescent="0.3">
      <c r="B692" s="490"/>
      <c r="C692" s="491"/>
      <c r="D692" s="492"/>
      <c r="H692" s="493"/>
      <c r="I692" s="494"/>
    </row>
    <row r="693" spans="2:9" ht="25.5" customHeight="1" x14ac:dyDescent="0.3">
      <c r="B693" s="490"/>
      <c r="C693" s="491"/>
      <c r="D693" s="492"/>
      <c r="H693" s="493"/>
      <c r="I693" s="494"/>
    </row>
    <row r="694" spans="2:9" ht="25.5" customHeight="1" x14ac:dyDescent="0.3">
      <c r="B694" s="490"/>
      <c r="C694" s="491"/>
      <c r="D694" s="492"/>
      <c r="H694" s="493"/>
      <c r="I694" s="494"/>
    </row>
    <row r="695" spans="2:9" ht="25.5" customHeight="1" x14ac:dyDescent="0.3">
      <c r="B695" s="490"/>
      <c r="C695" s="491"/>
      <c r="D695" s="492"/>
      <c r="H695" s="493"/>
      <c r="I695" s="494"/>
    </row>
    <row r="696" spans="2:9" ht="25.5" customHeight="1" x14ac:dyDescent="0.3">
      <c r="B696" s="490"/>
      <c r="C696" s="491"/>
      <c r="D696" s="492"/>
      <c r="H696" s="493"/>
      <c r="I696" s="494"/>
    </row>
    <row r="697" spans="2:9" ht="25.5" customHeight="1" x14ac:dyDescent="0.3">
      <c r="B697" s="490"/>
      <c r="C697" s="491"/>
      <c r="D697" s="492"/>
      <c r="H697" s="493"/>
      <c r="I697" s="494"/>
    </row>
    <row r="698" spans="2:9" ht="25.5" customHeight="1" x14ac:dyDescent="0.3">
      <c r="B698" s="490"/>
      <c r="C698" s="491"/>
      <c r="D698" s="492"/>
      <c r="H698" s="493"/>
      <c r="I698" s="494"/>
    </row>
    <row r="699" spans="2:9" ht="25.5" customHeight="1" x14ac:dyDescent="0.3">
      <c r="B699" s="490"/>
      <c r="C699" s="491"/>
      <c r="D699" s="492"/>
      <c r="H699" s="493"/>
      <c r="I699" s="494"/>
    </row>
    <row r="700" spans="2:9" ht="25.5" customHeight="1" x14ac:dyDescent="0.3">
      <c r="B700" s="490"/>
      <c r="C700" s="491"/>
      <c r="D700" s="492"/>
      <c r="H700" s="493"/>
      <c r="I700" s="494"/>
    </row>
    <row r="701" spans="2:9" ht="25.5" customHeight="1" x14ac:dyDescent="0.3">
      <c r="B701" s="490"/>
      <c r="C701" s="491"/>
      <c r="D701" s="492"/>
      <c r="H701" s="493"/>
      <c r="I701" s="494"/>
    </row>
    <row r="702" spans="2:9" ht="25.5" customHeight="1" x14ac:dyDescent="0.3">
      <c r="B702" s="490"/>
      <c r="C702" s="491"/>
      <c r="D702" s="492"/>
      <c r="H702" s="493"/>
      <c r="I702" s="494"/>
    </row>
    <row r="703" spans="2:9" ht="25.5" customHeight="1" x14ac:dyDescent="0.3">
      <c r="B703" s="490"/>
      <c r="C703" s="491"/>
      <c r="D703" s="492"/>
      <c r="H703" s="493"/>
      <c r="I703" s="494"/>
    </row>
    <row r="704" spans="2:9" ht="25.5" customHeight="1" x14ac:dyDescent="0.3">
      <c r="B704" s="490"/>
      <c r="C704" s="491"/>
      <c r="D704" s="492"/>
      <c r="H704" s="493"/>
      <c r="I704" s="494"/>
    </row>
    <row r="705" spans="2:9" ht="25.5" customHeight="1" x14ac:dyDescent="0.3">
      <c r="B705" s="490"/>
      <c r="C705" s="491"/>
      <c r="D705" s="492"/>
      <c r="H705" s="493"/>
      <c r="I705" s="494"/>
    </row>
    <row r="706" spans="2:9" ht="25.5" customHeight="1" x14ac:dyDescent="0.3">
      <c r="B706" s="490"/>
      <c r="C706" s="491"/>
      <c r="D706" s="492"/>
      <c r="H706" s="493"/>
      <c r="I706" s="494"/>
    </row>
    <row r="707" spans="2:9" ht="25.5" customHeight="1" x14ac:dyDescent="0.3">
      <c r="B707" s="490"/>
      <c r="C707" s="491"/>
      <c r="D707" s="492"/>
      <c r="H707" s="493"/>
      <c r="I707" s="494"/>
    </row>
    <row r="708" spans="2:9" ht="25.5" customHeight="1" x14ac:dyDescent="0.3">
      <c r="B708" s="490"/>
      <c r="C708" s="491"/>
      <c r="D708" s="492"/>
      <c r="H708" s="493"/>
      <c r="I708" s="494"/>
    </row>
    <row r="709" spans="2:9" ht="25.5" customHeight="1" x14ac:dyDescent="0.3">
      <c r="B709" s="490"/>
      <c r="C709" s="491"/>
      <c r="D709" s="492"/>
      <c r="H709" s="493"/>
      <c r="I709" s="494"/>
    </row>
    <row r="710" spans="2:9" ht="25.5" customHeight="1" x14ac:dyDescent="0.3">
      <c r="B710" s="490"/>
      <c r="C710" s="491"/>
      <c r="D710" s="492"/>
      <c r="H710" s="493"/>
      <c r="I710" s="494"/>
    </row>
    <row r="711" spans="2:9" ht="25.5" customHeight="1" x14ac:dyDescent="0.3">
      <c r="B711" s="490"/>
      <c r="C711" s="491"/>
      <c r="D711" s="492"/>
      <c r="H711" s="493"/>
      <c r="I711" s="494"/>
    </row>
    <row r="712" spans="2:9" ht="25.5" customHeight="1" x14ac:dyDescent="0.3">
      <c r="B712" s="490"/>
      <c r="C712" s="491"/>
      <c r="D712" s="492"/>
      <c r="H712" s="493"/>
      <c r="I712" s="494"/>
    </row>
    <row r="713" spans="2:9" ht="25.5" customHeight="1" x14ac:dyDescent="0.3">
      <c r="B713" s="490"/>
      <c r="C713" s="491"/>
      <c r="D713" s="492"/>
      <c r="H713" s="493"/>
      <c r="I713" s="494"/>
    </row>
    <row r="714" spans="2:9" ht="25.5" customHeight="1" x14ac:dyDescent="0.3">
      <c r="B714" s="490"/>
      <c r="C714" s="491"/>
      <c r="D714" s="492"/>
      <c r="H714" s="493"/>
      <c r="I714" s="494"/>
    </row>
    <row r="715" spans="2:9" ht="25.5" customHeight="1" x14ac:dyDescent="0.3">
      <c r="B715" s="490"/>
      <c r="C715" s="491"/>
      <c r="D715" s="492"/>
      <c r="H715" s="493"/>
      <c r="I715" s="494"/>
    </row>
    <row r="716" spans="2:9" ht="25.5" customHeight="1" x14ac:dyDescent="0.3">
      <c r="B716" s="490"/>
      <c r="C716" s="491"/>
      <c r="D716" s="492"/>
      <c r="H716" s="493"/>
      <c r="I716" s="494"/>
    </row>
    <row r="717" spans="2:9" ht="25.5" customHeight="1" x14ac:dyDescent="0.3">
      <c r="B717" s="490"/>
      <c r="C717" s="491"/>
      <c r="D717" s="492"/>
      <c r="H717" s="493"/>
      <c r="I717" s="494"/>
    </row>
    <row r="718" spans="2:9" ht="25.5" customHeight="1" x14ac:dyDescent="0.3">
      <c r="B718" s="490"/>
      <c r="C718" s="491"/>
      <c r="D718" s="492"/>
      <c r="H718" s="493"/>
      <c r="I718" s="494"/>
    </row>
    <row r="719" spans="2:9" ht="25.5" customHeight="1" x14ac:dyDescent="0.3">
      <c r="B719" s="490"/>
      <c r="C719" s="491"/>
      <c r="D719" s="492"/>
      <c r="H719" s="493"/>
      <c r="I719" s="494"/>
    </row>
    <row r="720" spans="2:9" ht="25.5" customHeight="1" x14ac:dyDescent="0.3">
      <c r="B720" s="490"/>
      <c r="C720" s="491"/>
      <c r="D720" s="492"/>
      <c r="H720" s="493"/>
      <c r="I720" s="494"/>
    </row>
    <row r="721" spans="2:9" ht="25.5" customHeight="1" x14ac:dyDescent="0.3">
      <c r="B721" s="490"/>
      <c r="C721" s="491"/>
      <c r="D721" s="492"/>
      <c r="H721" s="493"/>
      <c r="I721" s="494"/>
    </row>
    <row r="722" spans="2:9" ht="25.5" customHeight="1" x14ac:dyDescent="0.3">
      <c r="B722" s="490"/>
      <c r="C722" s="491"/>
      <c r="D722" s="492"/>
      <c r="H722" s="493"/>
      <c r="I722" s="494"/>
    </row>
    <row r="723" spans="2:9" ht="25.5" customHeight="1" x14ac:dyDescent="0.3">
      <c r="B723" s="490"/>
      <c r="C723" s="491"/>
      <c r="D723" s="492"/>
      <c r="H723" s="493"/>
      <c r="I723" s="494"/>
    </row>
    <row r="724" spans="2:9" ht="25.5" customHeight="1" x14ac:dyDescent="0.3">
      <c r="B724" s="490"/>
      <c r="C724" s="491"/>
      <c r="D724" s="492"/>
      <c r="H724" s="493"/>
      <c r="I724" s="494"/>
    </row>
    <row r="725" spans="2:9" ht="25.5" customHeight="1" x14ac:dyDescent="0.3">
      <c r="B725" s="490"/>
      <c r="C725" s="491"/>
      <c r="D725" s="492"/>
      <c r="H725" s="493"/>
      <c r="I725" s="494"/>
    </row>
    <row r="726" spans="2:9" ht="25.5" customHeight="1" x14ac:dyDescent="0.3">
      <c r="B726" s="490"/>
      <c r="C726" s="491"/>
      <c r="D726" s="492"/>
      <c r="H726" s="493"/>
      <c r="I726" s="494"/>
    </row>
    <row r="727" spans="2:9" ht="25.5" customHeight="1" x14ac:dyDescent="0.3">
      <c r="B727" s="490"/>
      <c r="C727" s="491"/>
      <c r="D727" s="492"/>
      <c r="H727" s="493"/>
      <c r="I727" s="494"/>
    </row>
    <row r="728" spans="2:9" ht="25.5" customHeight="1" x14ac:dyDescent="0.3">
      <c r="B728" s="490"/>
      <c r="C728" s="491"/>
      <c r="D728" s="492"/>
      <c r="H728" s="493"/>
      <c r="I728" s="494"/>
    </row>
    <row r="729" spans="2:9" ht="25.5" customHeight="1" x14ac:dyDescent="0.3">
      <c r="B729" s="490"/>
      <c r="C729" s="491"/>
      <c r="D729" s="492"/>
      <c r="H729" s="493"/>
      <c r="I729" s="494"/>
    </row>
    <row r="730" spans="2:9" ht="25.5" customHeight="1" x14ac:dyDescent="0.3">
      <c r="B730" s="490"/>
      <c r="C730" s="491"/>
      <c r="D730" s="492"/>
      <c r="H730" s="493"/>
      <c r="I730" s="494"/>
    </row>
    <row r="731" spans="2:9" ht="25.5" customHeight="1" x14ac:dyDescent="0.3">
      <c r="B731" s="490"/>
      <c r="C731" s="491"/>
      <c r="D731" s="492"/>
      <c r="H731" s="493"/>
      <c r="I731" s="494"/>
    </row>
    <row r="732" spans="2:9" ht="25.5" customHeight="1" x14ac:dyDescent="0.3">
      <c r="B732" s="490"/>
      <c r="C732" s="491"/>
      <c r="D732" s="492"/>
      <c r="H732" s="493"/>
      <c r="I732" s="494"/>
    </row>
    <row r="733" spans="2:9" ht="25.5" customHeight="1" x14ac:dyDescent="0.3">
      <c r="B733" s="490"/>
      <c r="C733" s="491"/>
      <c r="D733" s="492"/>
      <c r="H733" s="493"/>
      <c r="I733" s="494"/>
    </row>
    <row r="734" spans="2:9" ht="25.5" customHeight="1" x14ac:dyDescent="0.3">
      <c r="B734" s="490"/>
      <c r="C734" s="491"/>
      <c r="D734" s="492"/>
      <c r="H734" s="493"/>
      <c r="I734" s="494"/>
    </row>
    <row r="735" spans="2:9" ht="25.5" customHeight="1" x14ac:dyDescent="0.3">
      <c r="B735" s="490"/>
      <c r="C735" s="491"/>
      <c r="D735" s="492"/>
      <c r="H735" s="493"/>
      <c r="I735" s="494"/>
    </row>
    <row r="736" spans="2:9" ht="25.5" customHeight="1" x14ac:dyDescent="0.3">
      <c r="B736" s="490"/>
      <c r="C736" s="491"/>
      <c r="D736" s="492"/>
      <c r="H736" s="493"/>
      <c r="I736" s="494"/>
    </row>
    <row r="737" spans="2:9" ht="25.5" customHeight="1" x14ac:dyDescent="0.3">
      <c r="B737" s="490"/>
      <c r="C737" s="491"/>
      <c r="D737" s="492"/>
      <c r="H737" s="493"/>
      <c r="I737" s="494"/>
    </row>
    <row r="738" spans="2:9" ht="25.5" customHeight="1" x14ac:dyDescent="0.3">
      <c r="B738" s="490"/>
      <c r="C738" s="491"/>
      <c r="D738" s="492"/>
      <c r="H738" s="493"/>
      <c r="I738" s="494"/>
    </row>
    <row r="739" spans="2:9" ht="25.5" customHeight="1" x14ac:dyDescent="0.3">
      <c r="B739" s="490"/>
      <c r="C739" s="491"/>
      <c r="D739" s="492"/>
      <c r="H739" s="493"/>
      <c r="I739" s="494"/>
    </row>
    <row r="740" spans="2:9" ht="25.5" customHeight="1" x14ac:dyDescent="0.3">
      <c r="B740" s="490"/>
      <c r="C740" s="491"/>
      <c r="D740" s="492"/>
      <c r="H740" s="493"/>
      <c r="I740" s="494"/>
    </row>
    <row r="741" spans="2:9" ht="25.5" customHeight="1" x14ac:dyDescent="0.3">
      <c r="B741" s="490"/>
      <c r="C741" s="491"/>
      <c r="D741" s="492"/>
      <c r="H741" s="493"/>
      <c r="I741" s="494"/>
    </row>
    <row r="742" spans="2:9" ht="25.5" customHeight="1" x14ac:dyDescent="0.3">
      <c r="B742" s="490"/>
      <c r="C742" s="491"/>
      <c r="D742" s="492"/>
      <c r="H742" s="493"/>
      <c r="I742" s="494"/>
    </row>
    <row r="743" spans="2:9" ht="25.5" customHeight="1" x14ac:dyDescent="0.3">
      <c r="B743" s="490"/>
      <c r="C743" s="491"/>
      <c r="D743" s="492"/>
      <c r="H743" s="493"/>
      <c r="I743" s="494"/>
    </row>
    <row r="744" spans="2:9" ht="25.5" customHeight="1" x14ac:dyDescent="0.3">
      <c r="B744" s="490"/>
      <c r="C744" s="491"/>
      <c r="D744" s="492"/>
      <c r="H744" s="493"/>
      <c r="I744" s="494"/>
    </row>
    <row r="745" spans="2:9" ht="25.5" customHeight="1" x14ac:dyDescent="0.3">
      <c r="B745" s="490"/>
      <c r="C745" s="491"/>
      <c r="D745" s="492"/>
      <c r="H745" s="493"/>
      <c r="I745" s="494"/>
    </row>
    <row r="746" spans="2:9" ht="25.5" customHeight="1" x14ac:dyDescent="0.3">
      <c r="B746" s="490"/>
      <c r="C746" s="491"/>
      <c r="D746" s="492"/>
      <c r="H746" s="493"/>
      <c r="I746" s="494"/>
    </row>
    <row r="747" spans="2:9" ht="25.5" customHeight="1" x14ac:dyDescent="0.3">
      <c r="B747" s="490"/>
      <c r="C747" s="491"/>
      <c r="D747" s="492"/>
      <c r="H747" s="493"/>
      <c r="I747" s="494"/>
    </row>
    <row r="748" spans="2:9" ht="25.5" customHeight="1" x14ac:dyDescent="0.3">
      <c r="B748" s="490"/>
      <c r="C748" s="491"/>
      <c r="D748" s="492"/>
      <c r="H748" s="493"/>
      <c r="I748" s="494"/>
    </row>
    <row r="749" spans="2:9" ht="25.5" customHeight="1" x14ac:dyDescent="0.3">
      <c r="B749" s="490"/>
      <c r="C749" s="491"/>
      <c r="D749" s="492"/>
      <c r="H749" s="493"/>
      <c r="I749" s="494"/>
    </row>
    <row r="750" spans="2:9" ht="25.5" customHeight="1" x14ac:dyDescent="0.3">
      <c r="B750" s="490"/>
      <c r="C750" s="491"/>
      <c r="D750" s="492"/>
      <c r="H750" s="493"/>
      <c r="I750" s="494"/>
    </row>
    <row r="751" spans="2:9" ht="25.5" customHeight="1" x14ac:dyDescent="0.3">
      <c r="B751" s="490"/>
      <c r="C751" s="491"/>
      <c r="D751" s="492"/>
      <c r="H751" s="493"/>
      <c r="I751" s="494"/>
    </row>
    <row r="752" spans="2:9" ht="25.5" customHeight="1" x14ac:dyDescent="0.3">
      <c r="B752" s="490"/>
      <c r="C752" s="491"/>
      <c r="D752" s="492"/>
      <c r="H752" s="493"/>
      <c r="I752" s="494"/>
    </row>
    <row r="753" spans="2:9" ht="25.5" customHeight="1" x14ac:dyDescent="0.3">
      <c r="B753" s="490"/>
      <c r="C753" s="491"/>
      <c r="D753" s="492"/>
      <c r="H753" s="493"/>
      <c r="I753" s="494"/>
    </row>
    <row r="754" spans="2:9" ht="25.5" customHeight="1" x14ac:dyDescent="0.3">
      <c r="B754" s="490"/>
      <c r="C754" s="491"/>
      <c r="D754" s="492"/>
      <c r="H754" s="493"/>
      <c r="I754" s="494"/>
    </row>
    <row r="755" spans="2:9" ht="25.5" customHeight="1" x14ac:dyDescent="0.3">
      <c r="B755" s="490"/>
      <c r="C755" s="491"/>
      <c r="D755" s="492"/>
      <c r="H755" s="493"/>
      <c r="I755" s="494"/>
    </row>
    <row r="756" spans="2:9" ht="25.5" customHeight="1" x14ac:dyDescent="0.3">
      <c r="B756" s="490"/>
      <c r="C756" s="491"/>
      <c r="D756" s="492"/>
      <c r="H756" s="493"/>
      <c r="I756" s="494"/>
    </row>
    <row r="757" spans="2:9" ht="25.5" customHeight="1" x14ac:dyDescent="0.3">
      <c r="B757" s="490"/>
      <c r="C757" s="491"/>
      <c r="D757" s="492"/>
      <c r="H757" s="493"/>
      <c r="I757" s="494"/>
    </row>
    <row r="758" spans="2:9" ht="25.5" customHeight="1" x14ac:dyDescent="0.3">
      <c r="B758" s="490"/>
      <c r="C758" s="491"/>
      <c r="D758" s="492"/>
      <c r="H758" s="493"/>
      <c r="I758" s="494"/>
    </row>
    <row r="759" spans="2:9" ht="25.5" customHeight="1" x14ac:dyDescent="0.3">
      <c r="B759" s="490"/>
      <c r="C759" s="491"/>
      <c r="D759" s="492"/>
      <c r="H759" s="493"/>
      <c r="I759" s="494"/>
    </row>
    <row r="760" spans="2:9" ht="25.5" customHeight="1" x14ac:dyDescent="0.3">
      <c r="B760" s="490"/>
      <c r="C760" s="491"/>
      <c r="D760" s="492"/>
      <c r="H760" s="493"/>
      <c r="I760" s="494"/>
    </row>
    <row r="761" spans="2:9" ht="25.5" customHeight="1" x14ac:dyDescent="0.3">
      <c r="B761" s="490"/>
      <c r="C761" s="491"/>
      <c r="D761" s="492"/>
      <c r="H761" s="493"/>
      <c r="I761" s="494"/>
    </row>
    <row r="762" spans="2:9" ht="25.5" customHeight="1" x14ac:dyDescent="0.3">
      <c r="B762" s="490"/>
      <c r="C762" s="491"/>
      <c r="D762" s="492"/>
      <c r="H762" s="493"/>
      <c r="I762" s="494"/>
    </row>
    <row r="763" spans="2:9" ht="25.5" customHeight="1" x14ac:dyDescent="0.3">
      <c r="B763" s="490"/>
      <c r="C763" s="491"/>
      <c r="D763" s="492"/>
      <c r="H763" s="493"/>
      <c r="I763" s="494"/>
    </row>
    <row r="764" spans="2:9" ht="25.5" customHeight="1" x14ac:dyDescent="0.3">
      <c r="B764" s="490"/>
      <c r="C764" s="491"/>
      <c r="D764" s="492"/>
      <c r="H764" s="493"/>
      <c r="I764" s="494"/>
    </row>
    <row r="765" spans="2:9" ht="25.5" customHeight="1" x14ac:dyDescent="0.3">
      <c r="B765" s="490"/>
      <c r="C765" s="491"/>
      <c r="D765" s="492"/>
      <c r="H765" s="493"/>
      <c r="I765" s="494"/>
    </row>
    <row r="766" spans="2:9" ht="25.5" customHeight="1" x14ac:dyDescent="0.3">
      <c r="B766" s="490"/>
      <c r="C766" s="491"/>
      <c r="D766" s="492"/>
      <c r="H766" s="493"/>
      <c r="I766" s="494"/>
    </row>
    <row r="767" spans="2:9" ht="25.5" customHeight="1" x14ac:dyDescent="0.3">
      <c r="B767" s="490"/>
      <c r="C767" s="491"/>
      <c r="D767" s="492"/>
      <c r="H767" s="493"/>
      <c r="I767" s="494"/>
    </row>
    <row r="768" spans="2:9" ht="25.5" customHeight="1" x14ac:dyDescent="0.3">
      <c r="B768" s="490"/>
      <c r="C768" s="491"/>
      <c r="D768" s="492"/>
      <c r="H768" s="493"/>
      <c r="I768" s="494"/>
    </row>
    <row r="769" spans="2:9" ht="25.5" customHeight="1" x14ac:dyDescent="0.3">
      <c r="B769" s="490"/>
      <c r="C769" s="491"/>
      <c r="D769" s="492"/>
      <c r="H769" s="493"/>
      <c r="I769" s="494"/>
    </row>
    <row r="770" spans="2:9" ht="25.5" customHeight="1" x14ac:dyDescent="0.3">
      <c r="B770" s="490"/>
      <c r="C770" s="491"/>
      <c r="D770" s="492"/>
      <c r="H770" s="493"/>
      <c r="I770" s="494"/>
    </row>
    <row r="771" spans="2:9" ht="25.5" customHeight="1" x14ac:dyDescent="0.3">
      <c r="B771" s="490"/>
      <c r="C771" s="491"/>
      <c r="D771" s="492"/>
      <c r="H771" s="493"/>
      <c r="I771" s="494"/>
    </row>
    <row r="772" spans="2:9" ht="25.5" customHeight="1" x14ac:dyDescent="0.3">
      <c r="B772" s="490"/>
      <c r="C772" s="491"/>
      <c r="D772" s="492"/>
      <c r="H772" s="493"/>
      <c r="I772" s="494"/>
    </row>
    <row r="773" spans="2:9" ht="25.5" customHeight="1" x14ac:dyDescent="0.3">
      <c r="B773" s="490"/>
      <c r="C773" s="491"/>
      <c r="D773" s="492"/>
      <c r="H773" s="493"/>
      <c r="I773" s="494"/>
    </row>
    <row r="774" spans="2:9" ht="25.5" customHeight="1" x14ac:dyDescent="0.3">
      <c r="B774" s="490"/>
      <c r="C774" s="491"/>
      <c r="D774" s="492"/>
      <c r="H774" s="493"/>
      <c r="I774" s="494"/>
    </row>
    <row r="775" spans="2:9" ht="25.5" customHeight="1" x14ac:dyDescent="0.3">
      <c r="B775" s="490"/>
      <c r="C775" s="491"/>
      <c r="D775" s="492"/>
      <c r="H775" s="493"/>
      <c r="I775" s="494"/>
    </row>
    <row r="776" spans="2:9" ht="25.5" customHeight="1" x14ac:dyDescent="0.3">
      <c r="B776" s="490"/>
      <c r="C776" s="491"/>
      <c r="D776" s="492"/>
      <c r="H776" s="493"/>
      <c r="I776" s="494"/>
    </row>
    <row r="777" spans="2:9" ht="25.5" customHeight="1" x14ac:dyDescent="0.3">
      <c r="B777" s="490"/>
      <c r="C777" s="491"/>
      <c r="D777" s="492"/>
      <c r="H777" s="493"/>
      <c r="I777" s="494"/>
    </row>
    <row r="778" spans="2:9" ht="25.5" customHeight="1" x14ac:dyDescent="0.3">
      <c r="B778" s="490"/>
      <c r="C778" s="491"/>
      <c r="D778" s="492"/>
      <c r="H778" s="493"/>
      <c r="I778" s="494"/>
    </row>
    <row r="779" spans="2:9" ht="25.5" customHeight="1" x14ac:dyDescent="0.3">
      <c r="B779" s="490"/>
      <c r="C779" s="491"/>
      <c r="D779" s="492"/>
      <c r="H779" s="493"/>
      <c r="I779" s="494"/>
    </row>
    <row r="780" spans="2:9" ht="25.5" customHeight="1" x14ac:dyDescent="0.3">
      <c r="B780" s="490"/>
      <c r="C780" s="491"/>
      <c r="D780" s="492"/>
      <c r="H780" s="493"/>
      <c r="I780" s="494"/>
    </row>
    <row r="781" spans="2:9" ht="25.5" customHeight="1" x14ac:dyDescent="0.3">
      <c r="B781" s="490"/>
      <c r="C781" s="491"/>
      <c r="D781" s="492"/>
      <c r="H781" s="493"/>
      <c r="I781" s="494"/>
    </row>
    <row r="782" spans="2:9" ht="25.5" customHeight="1" x14ac:dyDescent="0.3">
      <c r="B782" s="490"/>
      <c r="C782" s="491"/>
      <c r="D782" s="492"/>
      <c r="H782" s="493"/>
      <c r="I782" s="494"/>
    </row>
    <row r="783" spans="2:9" ht="25.5" customHeight="1" x14ac:dyDescent="0.3">
      <c r="B783" s="490"/>
      <c r="C783" s="491"/>
      <c r="D783" s="492"/>
      <c r="H783" s="493"/>
      <c r="I783" s="494"/>
    </row>
    <row r="784" spans="2:9" ht="25.5" customHeight="1" x14ac:dyDescent="0.3">
      <c r="B784" s="490"/>
      <c r="C784" s="491"/>
      <c r="D784" s="492"/>
      <c r="H784" s="493"/>
      <c r="I784" s="494"/>
    </row>
    <row r="785" spans="2:9" ht="25.5" customHeight="1" x14ac:dyDescent="0.3">
      <c r="B785" s="490"/>
      <c r="C785" s="491"/>
      <c r="D785" s="492"/>
      <c r="H785" s="493"/>
      <c r="I785" s="494"/>
    </row>
    <row r="786" spans="2:9" ht="25.5" customHeight="1" x14ac:dyDescent="0.3">
      <c r="B786" s="490"/>
      <c r="C786" s="491"/>
      <c r="D786" s="492"/>
      <c r="H786" s="493"/>
      <c r="I786" s="494"/>
    </row>
    <row r="787" spans="2:9" ht="25.5" customHeight="1" x14ac:dyDescent="0.3">
      <c r="B787" s="490"/>
      <c r="C787" s="491"/>
      <c r="D787" s="492"/>
      <c r="H787" s="493"/>
      <c r="I787" s="494"/>
    </row>
    <row r="788" spans="2:9" ht="25.5" customHeight="1" x14ac:dyDescent="0.3">
      <c r="B788" s="490"/>
      <c r="C788" s="491"/>
      <c r="D788" s="492"/>
      <c r="H788" s="493"/>
      <c r="I788" s="494"/>
    </row>
    <row r="789" spans="2:9" ht="25.5" customHeight="1" x14ac:dyDescent="0.3">
      <c r="B789" s="490"/>
      <c r="C789" s="491"/>
      <c r="D789" s="492"/>
      <c r="H789" s="493"/>
      <c r="I789" s="494"/>
    </row>
    <row r="790" spans="2:9" ht="25.5" customHeight="1" x14ac:dyDescent="0.3">
      <c r="B790" s="490"/>
      <c r="C790" s="491"/>
      <c r="D790" s="492"/>
      <c r="H790" s="493"/>
      <c r="I790" s="494"/>
    </row>
    <row r="791" spans="2:9" ht="25.5" customHeight="1" x14ac:dyDescent="0.3">
      <c r="B791" s="490"/>
      <c r="C791" s="491"/>
      <c r="D791" s="492"/>
      <c r="H791" s="493"/>
      <c r="I791" s="494"/>
    </row>
    <row r="792" spans="2:9" ht="25.5" customHeight="1" x14ac:dyDescent="0.3">
      <c r="B792" s="490"/>
      <c r="C792" s="491"/>
      <c r="D792" s="492"/>
      <c r="H792" s="493"/>
      <c r="I792" s="494"/>
    </row>
    <row r="793" spans="2:9" ht="25.5" customHeight="1" x14ac:dyDescent="0.3">
      <c r="B793" s="490"/>
      <c r="C793" s="491"/>
      <c r="D793" s="492"/>
      <c r="H793" s="493"/>
      <c r="I793" s="494"/>
    </row>
    <row r="794" spans="2:9" ht="25.5" customHeight="1" x14ac:dyDescent="0.3">
      <c r="B794" s="490"/>
      <c r="C794" s="491"/>
      <c r="D794" s="492"/>
      <c r="H794" s="493"/>
      <c r="I794" s="494"/>
    </row>
    <row r="795" spans="2:9" ht="25.5" customHeight="1" x14ac:dyDescent="0.3">
      <c r="B795" s="490"/>
      <c r="C795" s="491"/>
      <c r="D795" s="492"/>
      <c r="H795" s="493"/>
      <c r="I795" s="494"/>
    </row>
    <row r="796" spans="2:9" ht="25.5" customHeight="1" x14ac:dyDescent="0.3">
      <c r="B796" s="490"/>
      <c r="C796" s="491"/>
      <c r="D796" s="492"/>
      <c r="H796" s="493"/>
      <c r="I796" s="494"/>
    </row>
    <row r="797" spans="2:9" ht="25.5" customHeight="1" x14ac:dyDescent="0.3">
      <c r="B797" s="490"/>
      <c r="C797" s="491"/>
      <c r="D797" s="492"/>
      <c r="H797" s="493"/>
      <c r="I797" s="494"/>
    </row>
    <row r="798" spans="2:9" ht="25.5" customHeight="1" x14ac:dyDescent="0.3">
      <c r="B798" s="490"/>
      <c r="C798" s="491"/>
      <c r="D798" s="492"/>
      <c r="H798" s="493"/>
      <c r="I798" s="494"/>
    </row>
    <row r="799" spans="2:9" ht="25.5" customHeight="1" x14ac:dyDescent="0.3">
      <c r="B799" s="490"/>
      <c r="C799" s="491"/>
      <c r="D799" s="492"/>
      <c r="H799" s="493"/>
      <c r="I799" s="494"/>
    </row>
    <row r="800" spans="2:9" ht="25.5" customHeight="1" x14ac:dyDescent="0.3">
      <c r="B800" s="490"/>
      <c r="C800" s="491"/>
      <c r="D800" s="492"/>
      <c r="H800" s="493"/>
      <c r="I800" s="494"/>
    </row>
    <row r="801" spans="2:9" ht="25.5" customHeight="1" x14ac:dyDescent="0.3">
      <c r="B801" s="490"/>
      <c r="C801" s="491"/>
      <c r="D801" s="492"/>
      <c r="H801" s="493"/>
      <c r="I801" s="494"/>
    </row>
    <row r="802" spans="2:9" ht="25.5" customHeight="1" x14ac:dyDescent="0.3">
      <c r="B802" s="490"/>
      <c r="C802" s="491"/>
      <c r="D802" s="492"/>
      <c r="H802" s="493"/>
      <c r="I802" s="494"/>
    </row>
    <row r="803" spans="2:9" ht="25.5" customHeight="1" x14ac:dyDescent="0.3">
      <c r="B803" s="490"/>
      <c r="C803" s="491"/>
      <c r="D803" s="492"/>
      <c r="H803" s="493"/>
      <c r="I803" s="494"/>
    </row>
    <row r="804" spans="2:9" ht="25.5" customHeight="1" x14ac:dyDescent="0.3">
      <c r="B804" s="490"/>
      <c r="C804" s="491"/>
      <c r="D804" s="492"/>
      <c r="H804" s="493"/>
      <c r="I804" s="494"/>
    </row>
    <row r="805" spans="2:9" ht="25.5" customHeight="1" x14ac:dyDescent="0.3">
      <c r="B805" s="490"/>
      <c r="C805" s="491"/>
      <c r="D805" s="492"/>
      <c r="H805" s="493"/>
      <c r="I805" s="494"/>
    </row>
    <row r="806" spans="2:9" ht="25.5" customHeight="1" x14ac:dyDescent="0.3">
      <c r="B806" s="490"/>
      <c r="C806" s="491"/>
      <c r="D806" s="492"/>
      <c r="H806" s="493"/>
      <c r="I806" s="494"/>
    </row>
    <row r="807" spans="2:9" ht="25.5" customHeight="1" x14ac:dyDescent="0.3">
      <c r="B807" s="490"/>
      <c r="C807" s="491"/>
      <c r="D807" s="492"/>
      <c r="H807" s="493"/>
      <c r="I807" s="494"/>
    </row>
    <row r="808" spans="2:9" ht="25.5" customHeight="1" x14ac:dyDescent="0.3">
      <c r="B808" s="490"/>
      <c r="C808" s="491"/>
      <c r="D808" s="492"/>
      <c r="H808" s="493"/>
      <c r="I808" s="494"/>
    </row>
    <row r="809" spans="2:9" ht="25.5" customHeight="1" x14ac:dyDescent="0.3">
      <c r="B809" s="490"/>
      <c r="C809" s="491"/>
      <c r="D809" s="492"/>
      <c r="H809" s="493"/>
      <c r="I809" s="494"/>
    </row>
    <row r="810" spans="2:9" ht="25.5" customHeight="1" x14ac:dyDescent="0.3">
      <c r="B810" s="490"/>
      <c r="C810" s="491"/>
      <c r="D810" s="492"/>
      <c r="H810" s="493"/>
      <c r="I810" s="494"/>
    </row>
    <row r="811" spans="2:9" ht="25.5" customHeight="1" x14ac:dyDescent="0.3">
      <c r="B811" s="490"/>
      <c r="C811" s="491"/>
      <c r="D811" s="492"/>
      <c r="H811" s="493"/>
      <c r="I811" s="494"/>
    </row>
    <row r="812" spans="2:9" ht="25.5" customHeight="1" x14ac:dyDescent="0.3">
      <c r="B812" s="490"/>
      <c r="C812" s="491"/>
      <c r="D812" s="492"/>
      <c r="H812" s="493"/>
      <c r="I812" s="494"/>
    </row>
    <row r="813" spans="2:9" ht="25.5" customHeight="1" x14ac:dyDescent="0.3">
      <c r="B813" s="490"/>
      <c r="C813" s="491"/>
      <c r="D813" s="492"/>
      <c r="H813" s="493"/>
      <c r="I813" s="494"/>
    </row>
    <row r="814" spans="2:9" ht="25.5" customHeight="1" x14ac:dyDescent="0.3">
      <c r="B814" s="490"/>
      <c r="C814" s="491"/>
      <c r="D814" s="492"/>
      <c r="H814" s="493"/>
      <c r="I814" s="494"/>
    </row>
    <row r="815" spans="2:9" ht="25.5" customHeight="1" x14ac:dyDescent="0.3">
      <c r="B815" s="490"/>
      <c r="C815" s="491"/>
      <c r="D815" s="492"/>
      <c r="H815" s="493"/>
      <c r="I815" s="494"/>
    </row>
    <row r="816" spans="2:9" ht="25.5" customHeight="1" x14ac:dyDescent="0.3">
      <c r="B816" s="490"/>
      <c r="C816" s="491"/>
      <c r="D816" s="492"/>
      <c r="H816" s="493"/>
      <c r="I816" s="494"/>
    </row>
    <row r="817" spans="2:9" ht="25.5" customHeight="1" x14ac:dyDescent="0.3">
      <c r="B817" s="490"/>
      <c r="C817" s="491"/>
      <c r="D817" s="492"/>
      <c r="H817" s="493"/>
      <c r="I817" s="494"/>
    </row>
    <row r="818" spans="2:9" ht="25.5" customHeight="1" x14ac:dyDescent="0.3">
      <c r="B818" s="490"/>
      <c r="C818" s="491"/>
      <c r="D818" s="492"/>
      <c r="H818" s="493"/>
      <c r="I818" s="494"/>
    </row>
    <row r="819" spans="2:9" ht="25.5" customHeight="1" x14ac:dyDescent="0.3">
      <c r="B819" s="490"/>
      <c r="C819" s="491"/>
      <c r="D819" s="492"/>
      <c r="H819" s="493"/>
      <c r="I819" s="494"/>
    </row>
    <row r="820" spans="2:9" ht="25.5" customHeight="1" x14ac:dyDescent="0.3">
      <c r="B820" s="490"/>
      <c r="C820" s="491"/>
      <c r="D820" s="492"/>
      <c r="H820" s="493"/>
      <c r="I820" s="494"/>
    </row>
    <row r="821" spans="2:9" ht="25.5" customHeight="1" x14ac:dyDescent="0.3">
      <c r="B821" s="490"/>
      <c r="C821" s="491"/>
      <c r="D821" s="492"/>
      <c r="H821" s="493"/>
      <c r="I821" s="494"/>
    </row>
    <row r="822" spans="2:9" ht="25.5" customHeight="1" x14ac:dyDescent="0.3">
      <c r="B822" s="490"/>
      <c r="C822" s="491"/>
      <c r="D822" s="492"/>
      <c r="H822" s="493"/>
      <c r="I822" s="494"/>
    </row>
    <row r="823" spans="2:9" ht="25.5" customHeight="1" x14ac:dyDescent="0.3">
      <c r="B823" s="490"/>
      <c r="C823" s="491"/>
      <c r="D823" s="492"/>
      <c r="H823" s="493"/>
      <c r="I823" s="494"/>
    </row>
    <row r="824" spans="2:9" ht="25.5" customHeight="1" x14ac:dyDescent="0.3">
      <c r="B824" s="490"/>
      <c r="C824" s="491"/>
      <c r="D824" s="492"/>
      <c r="H824" s="493"/>
      <c r="I824" s="494"/>
    </row>
    <row r="825" spans="2:9" ht="25.5" customHeight="1" x14ac:dyDescent="0.3">
      <c r="B825" s="490"/>
      <c r="C825" s="491"/>
      <c r="D825" s="492"/>
      <c r="H825" s="493"/>
      <c r="I825" s="494"/>
    </row>
    <row r="826" spans="2:9" ht="25.5" customHeight="1" x14ac:dyDescent="0.3">
      <c r="B826" s="490"/>
      <c r="C826" s="491"/>
      <c r="D826" s="492"/>
      <c r="H826" s="493"/>
      <c r="I826" s="494"/>
    </row>
    <row r="827" spans="2:9" ht="25.5" customHeight="1" x14ac:dyDescent="0.3">
      <c r="B827" s="490"/>
      <c r="C827" s="491"/>
      <c r="D827" s="492"/>
      <c r="H827" s="493"/>
      <c r="I827" s="494"/>
    </row>
    <row r="828" spans="2:9" ht="25.5" customHeight="1" x14ac:dyDescent="0.3">
      <c r="B828" s="490"/>
      <c r="C828" s="491"/>
      <c r="D828" s="492"/>
      <c r="H828" s="493"/>
      <c r="I828" s="494"/>
    </row>
    <row r="829" spans="2:9" ht="25.5" customHeight="1" x14ac:dyDescent="0.3">
      <c r="B829" s="490"/>
      <c r="C829" s="491"/>
      <c r="D829" s="492"/>
      <c r="H829" s="493"/>
      <c r="I829" s="494"/>
    </row>
    <row r="830" spans="2:9" ht="25.5" customHeight="1" x14ac:dyDescent="0.3">
      <c r="B830" s="490"/>
      <c r="C830" s="491"/>
      <c r="D830" s="492"/>
      <c r="H830" s="493"/>
      <c r="I830" s="494"/>
    </row>
    <row r="831" spans="2:9" ht="25.5" customHeight="1" x14ac:dyDescent="0.3">
      <c r="B831" s="490"/>
      <c r="C831" s="491"/>
      <c r="D831" s="492"/>
      <c r="H831" s="493"/>
      <c r="I831" s="494"/>
    </row>
    <row r="832" spans="2:9" ht="25.5" customHeight="1" x14ac:dyDescent="0.3">
      <c r="B832" s="490"/>
      <c r="C832" s="491"/>
      <c r="D832" s="492"/>
      <c r="H832" s="493"/>
      <c r="I832" s="494"/>
    </row>
    <row r="833" spans="2:9" ht="25.5" customHeight="1" x14ac:dyDescent="0.3">
      <c r="B833" s="490"/>
      <c r="C833" s="491"/>
      <c r="D833" s="492"/>
      <c r="H833" s="493"/>
      <c r="I833" s="494"/>
    </row>
    <row r="834" spans="2:9" ht="25.5" customHeight="1" x14ac:dyDescent="0.3">
      <c r="B834" s="490"/>
      <c r="C834" s="491"/>
      <c r="D834" s="492"/>
      <c r="H834" s="493"/>
      <c r="I834" s="494"/>
    </row>
    <row r="835" spans="2:9" ht="25.5" customHeight="1" x14ac:dyDescent="0.3">
      <c r="B835" s="490"/>
      <c r="C835" s="491"/>
      <c r="D835" s="492"/>
      <c r="H835" s="493"/>
      <c r="I835" s="494"/>
    </row>
    <row r="836" spans="2:9" ht="25.5" customHeight="1" x14ac:dyDescent="0.3">
      <c r="B836" s="490"/>
      <c r="C836" s="491"/>
      <c r="D836" s="492"/>
      <c r="H836" s="493"/>
      <c r="I836" s="494"/>
    </row>
    <row r="837" spans="2:9" ht="25.5" customHeight="1" x14ac:dyDescent="0.3">
      <c r="B837" s="490"/>
      <c r="C837" s="491"/>
      <c r="D837" s="492"/>
      <c r="H837" s="493"/>
      <c r="I837" s="494"/>
    </row>
    <row r="838" spans="2:9" ht="25.5" customHeight="1" x14ac:dyDescent="0.3">
      <c r="B838" s="490"/>
      <c r="C838" s="491"/>
      <c r="D838" s="492"/>
      <c r="H838" s="493"/>
      <c r="I838" s="494"/>
    </row>
    <row r="839" spans="2:9" ht="25.5" customHeight="1" x14ac:dyDescent="0.3">
      <c r="B839" s="490"/>
      <c r="C839" s="491"/>
      <c r="D839" s="492"/>
      <c r="H839" s="493"/>
      <c r="I839" s="494"/>
    </row>
    <row r="840" spans="2:9" ht="25.5" customHeight="1" x14ac:dyDescent="0.3">
      <c r="B840" s="490"/>
      <c r="C840" s="491"/>
      <c r="D840" s="492"/>
      <c r="H840" s="493"/>
      <c r="I840" s="494"/>
    </row>
    <row r="841" spans="2:9" ht="25.5" customHeight="1" x14ac:dyDescent="0.3">
      <c r="B841" s="490"/>
      <c r="C841" s="491"/>
      <c r="D841" s="492"/>
      <c r="H841" s="493"/>
      <c r="I841" s="494"/>
    </row>
    <row r="842" spans="2:9" ht="25.5" customHeight="1" x14ac:dyDescent="0.3">
      <c r="B842" s="490"/>
      <c r="C842" s="491"/>
      <c r="D842" s="492"/>
      <c r="H842" s="493"/>
      <c r="I842" s="494"/>
    </row>
    <row r="843" spans="2:9" ht="25.5" customHeight="1" x14ac:dyDescent="0.3">
      <c r="B843" s="490"/>
      <c r="C843" s="491"/>
      <c r="D843" s="492"/>
      <c r="H843" s="493"/>
      <c r="I843" s="494"/>
    </row>
    <row r="844" spans="2:9" ht="25.5" customHeight="1" x14ac:dyDescent="0.3">
      <c r="B844" s="490"/>
      <c r="C844" s="491"/>
      <c r="D844" s="492"/>
      <c r="H844" s="493"/>
      <c r="I844" s="494"/>
    </row>
    <row r="845" spans="2:9" ht="25.5" customHeight="1" x14ac:dyDescent="0.3">
      <c r="B845" s="490"/>
      <c r="C845" s="491"/>
      <c r="D845" s="492"/>
      <c r="H845" s="493"/>
      <c r="I845" s="494"/>
    </row>
    <row r="846" spans="2:9" ht="25.5" customHeight="1" x14ac:dyDescent="0.3">
      <c r="B846" s="490"/>
      <c r="C846" s="491"/>
      <c r="D846" s="492"/>
      <c r="H846" s="493"/>
      <c r="I846" s="494"/>
    </row>
    <row r="847" spans="2:9" ht="25.5" customHeight="1" x14ac:dyDescent="0.3">
      <c r="B847" s="490"/>
      <c r="C847" s="491"/>
      <c r="D847" s="492"/>
      <c r="H847" s="493"/>
      <c r="I847" s="494"/>
    </row>
    <row r="848" spans="2:9" ht="25.5" customHeight="1" x14ac:dyDescent="0.3">
      <c r="B848" s="490"/>
      <c r="C848" s="491"/>
      <c r="D848" s="492"/>
      <c r="H848" s="493"/>
      <c r="I848" s="494"/>
    </row>
    <row r="849" spans="2:9" ht="25.5" customHeight="1" x14ac:dyDescent="0.3">
      <c r="B849" s="490"/>
      <c r="C849" s="491"/>
      <c r="D849" s="492"/>
      <c r="H849" s="493"/>
      <c r="I849" s="494"/>
    </row>
    <row r="850" spans="2:9" ht="25.5" customHeight="1" x14ac:dyDescent="0.3">
      <c r="B850" s="490"/>
      <c r="C850" s="491"/>
      <c r="D850" s="492"/>
      <c r="H850" s="493"/>
      <c r="I850" s="494"/>
    </row>
    <row r="851" spans="2:9" ht="25.5" customHeight="1" x14ac:dyDescent="0.3">
      <c r="B851" s="490"/>
      <c r="C851" s="491"/>
      <c r="D851" s="492"/>
      <c r="H851" s="493"/>
      <c r="I851" s="494"/>
    </row>
    <row r="852" spans="2:9" ht="25.5" customHeight="1" x14ac:dyDescent="0.3">
      <c r="B852" s="490"/>
      <c r="C852" s="491"/>
      <c r="D852" s="492"/>
      <c r="H852" s="493"/>
      <c r="I852" s="494"/>
    </row>
    <row r="853" spans="2:9" ht="25.5" customHeight="1" x14ac:dyDescent="0.3">
      <c r="B853" s="490"/>
      <c r="C853" s="491"/>
      <c r="D853" s="492"/>
      <c r="H853" s="493"/>
      <c r="I853" s="494"/>
    </row>
    <row r="854" spans="2:9" ht="25.5" customHeight="1" x14ac:dyDescent="0.3">
      <c r="B854" s="490"/>
      <c r="C854" s="491"/>
      <c r="D854" s="492"/>
      <c r="H854" s="493"/>
      <c r="I854" s="494"/>
    </row>
    <row r="855" spans="2:9" ht="25.5" customHeight="1" x14ac:dyDescent="0.3">
      <c r="B855" s="490"/>
      <c r="C855" s="491"/>
      <c r="D855" s="492"/>
      <c r="H855" s="493"/>
      <c r="I855" s="494"/>
    </row>
    <row r="856" spans="2:9" ht="25.5" customHeight="1" x14ac:dyDescent="0.3">
      <c r="B856" s="490"/>
      <c r="C856" s="491"/>
      <c r="D856" s="492"/>
      <c r="H856" s="493"/>
      <c r="I856" s="494"/>
    </row>
    <row r="857" spans="2:9" ht="25.5" customHeight="1" x14ac:dyDescent="0.3">
      <c r="B857" s="490"/>
      <c r="C857" s="491"/>
      <c r="D857" s="492"/>
      <c r="H857" s="493"/>
      <c r="I857" s="494"/>
    </row>
    <row r="858" spans="2:9" ht="25.5" customHeight="1" x14ac:dyDescent="0.3">
      <c r="B858" s="490"/>
      <c r="C858" s="491"/>
      <c r="D858" s="492"/>
      <c r="H858" s="493"/>
      <c r="I858" s="494"/>
    </row>
    <row r="859" spans="2:9" ht="25.5" customHeight="1" x14ac:dyDescent="0.3">
      <c r="B859" s="490"/>
      <c r="C859" s="491"/>
      <c r="D859" s="492"/>
      <c r="H859" s="493"/>
      <c r="I859" s="494"/>
    </row>
    <row r="860" spans="2:9" ht="25.5" customHeight="1" x14ac:dyDescent="0.3">
      <c r="B860" s="490"/>
      <c r="C860" s="491"/>
      <c r="D860" s="492"/>
      <c r="H860" s="493"/>
      <c r="I860" s="494"/>
    </row>
    <row r="861" spans="2:9" ht="25.5" customHeight="1" x14ac:dyDescent="0.3">
      <c r="B861" s="490"/>
      <c r="C861" s="491"/>
      <c r="D861" s="492"/>
      <c r="H861" s="493"/>
      <c r="I861" s="494"/>
    </row>
    <row r="862" spans="2:9" ht="25.5" customHeight="1" x14ac:dyDescent="0.3">
      <c r="B862" s="490"/>
      <c r="C862" s="491"/>
      <c r="D862" s="492"/>
      <c r="H862" s="493"/>
      <c r="I862" s="494"/>
    </row>
    <row r="863" spans="2:9" ht="25.5" customHeight="1" x14ac:dyDescent="0.3">
      <c r="B863" s="490"/>
      <c r="C863" s="491"/>
      <c r="D863" s="492"/>
      <c r="H863" s="493"/>
      <c r="I863" s="494"/>
    </row>
    <row r="864" spans="2:9" ht="25.5" customHeight="1" x14ac:dyDescent="0.3">
      <c r="B864" s="490"/>
      <c r="C864" s="491"/>
      <c r="D864" s="492"/>
      <c r="H864" s="493"/>
      <c r="I864" s="494"/>
    </row>
    <row r="865" spans="2:9" ht="25.5" customHeight="1" x14ac:dyDescent="0.3">
      <c r="B865" s="490"/>
      <c r="C865" s="491"/>
      <c r="D865" s="492"/>
      <c r="H865" s="493"/>
      <c r="I865" s="494"/>
    </row>
    <row r="866" spans="2:9" ht="25.5" customHeight="1" x14ac:dyDescent="0.3">
      <c r="B866" s="490"/>
      <c r="C866" s="491"/>
      <c r="D866" s="492"/>
      <c r="H866" s="493"/>
      <c r="I866" s="494"/>
    </row>
    <row r="867" spans="2:9" ht="25.5" customHeight="1" x14ac:dyDescent="0.3">
      <c r="B867" s="490"/>
      <c r="C867" s="491"/>
      <c r="D867" s="492"/>
      <c r="H867" s="493"/>
      <c r="I867" s="494"/>
    </row>
    <row r="868" spans="2:9" ht="25.5" customHeight="1" x14ac:dyDescent="0.3">
      <c r="B868" s="490"/>
      <c r="C868" s="491"/>
      <c r="D868" s="492"/>
      <c r="H868" s="493"/>
      <c r="I868" s="494"/>
    </row>
    <row r="869" spans="2:9" ht="25.5" customHeight="1" x14ac:dyDescent="0.3">
      <c r="B869" s="490"/>
      <c r="C869" s="491"/>
      <c r="D869" s="492"/>
      <c r="H869" s="493"/>
      <c r="I869" s="494"/>
    </row>
    <row r="870" spans="2:9" ht="25.5" customHeight="1" x14ac:dyDescent="0.3">
      <c r="B870" s="490"/>
      <c r="C870" s="491"/>
      <c r="D870" s="492"/>
      <c r="H870" s="493"/>
      <c r="I870" s="494"/>
    </row>
    <row r="871" spans="2:9" ht="25.5" customHeight="1" x14ac:dyDescent="0.3">
      <c r="B871" s="490"/>
      <c r="C871" s="491"/>
      <c r="D871" s="492"/>
      <c r="H871" s="493"/>
      <c r="I871" s="494"/>
    </row>
    <row r="872" spans="2:9" ht="25.5" customHeight="1" x14ac:dyDescent="0.3">
      <c r="B872" s="490"/>
      <c r="C872" s="491"/>
      <c r="D872" s="492"/>
      <c r="H872" s="493"/>
      <c r="I872" s="494"/>
    </row>
    <row r="873" spans="2:9" ht="25.5" customHeight="1" x14ac:dyDescent="0.3">
      <c r="B873" s="490"/>
      <c r="C873" s="491"/>
      <c r="D873" s="492"/>
      <c r="H873" s="493"/>
      <c r="I873" s="494"/>
    </row>
    <row r="874" spans="2:9" ht="25.5" customHeight="1" x14ac:dyDescent="0.3">
      <c r="B874" s="490"/>
      <c r="C874" s="491"/>
      <c r="D874" s="492"/>
      <c r="H874" s="493"/>
      <c r="I874" s="494"/>
    </row>
    <row r="875" spans="2:9" ht="25.5" customHeight="1" x14ac:dyDescent="0.3">
      <c r="B875" s="490"/>
      <c r="C875" s="491"/>
      <c r="D875" s="492"/>
      <c r="H875" s="493"/>
      <c r="I875" s="494"/>
    </row>
    <row r="876" spans="2:9" ht="25.5" customHeight="1" x14ac:dyDescent="0.3">
      <c r="B876" s="490"/>
      <c r="C876" s="491"/>
      <c r="D876" s="492"/>
      <c r="H876" s="493"/>
      <c r="I876" s="494"/>
    </row>
    <row r="877" spans="2:9" ht="25.5" customHeight="1" x14ac:dyDescent="0.3">
      <c r="B877" s="490"/>
      <c r="C877" s="491"/>
      <c r="D877" s="492"/>
      <c r="H877" s="493"/>
      <c r="I877" s="494"/>
    </row>
    <row r="878" spans="2:9" ht="25.5" customHeight="1" x14ac:dyDescent="0.3">
      <c r="B878" s="490"/>
      <c r="C878" s="491"/>
      <c r="D878" s="492"/>
      <c r="H878" s="493"/>
      <c r="I878" s="494"/>
    </row>
    <row r="879" spans="2:9" ht="25.5" customHeight="1" x14ac:dyDescent="0.3">
      <c r="B879" s="490"/>
      <c r="C879" s="491"/>
      <c r="D879" s="492"/>
      <c r="H879" s="493"/>
      <c r="I879" s="494"/>
    </row>
    <row r="880" spans="2:9" ht="25.5" customHeight="1" x14ac:dyDescent="0.3">
      <c r="B880" s="490"/>
      <c r="C880" s="491"/>
      <c r="D880" s="492"/>
      <c r="H880" s="493"/>
      <c r="I880" s="494"/>
    </row>
    <row r="881" spans="2:9" ht="25.5" customHeight="1" x14ac:dyDescent="0.3">
      <c r="B881" s="490"/>
      <c r="C881" s="491"/>
      <c r="D881" s="492"/>
      <c r="H881" s="493"/>
      <c r="I881" s="494"/>
    </row>
    <row r="882" spans="2:9" ht="25.5" customHeight="1" x14ac:dyDescent="0.3">
      <c r="B882" s="490"/>
      <c r="C882" s="491"/>
      <c r="D882" s="492"/>
      <c r="H882" s="493"/>
      <c r="I882" s="494"/>
    </row>
    <row r="883" spans="2:9" ht="25.5" customHeight="1" x14ac:dyDescent="0.3">
      <c r="B883" s="490"/>
      <c r="C883" s="491"/>
      <c r="D883" s="492"/>
      <c r="H883" s="493"/>
      <c r="I883" s="494"/>
    </row>
    <row r="884" spans="2:9" ht="25.5" customHeight="1" x14ac:dyDescent="0.3">
      <c r="B884" s="490"/>
      <c r="C884" s="491"/>
      <c r="D884" s="492"/>
      <c r="H884" s="493"/>
      <c r="I884" s="494"/>
    </row>
    <row r="885" spans="2:9" ht="25.5" customHeight="1" x14ac:dyDescent="0.3">
      <c r="B885" s="490"/>
      <c r="C885" s="491"/>
      <c r="D885" s="492"/>
      <c r="H885" s="493"/>
      <c r="I885" s="494"/>
    </row>
    <row r="886" spans="2:9" ht="25.5" customHeight="1" x14ac:dyDescent="0.3">
      <c r="B886" s="490"/>
      <c r="C886" s="491"/>
      <c r="D886" s="492"/>
      <c r="H886" s="493"/>
      <c r="I886" s="494"/>
    </row>
    <row r="887" spans="2:9" ht="25.5" customHeight="1" x14ac:dyDescent="0.3">
      <c r="B887" s="490"/>
      <c r="C887" s="491"/>
      <c r="D887" s="492"/>
      <c r="H887" s="493"/>
      <c r="I887" s="494"/>
    </row>
    <row r="888" spans="2:9" ht="25.5" customHeight="1" x14ac:dyDescent="0.3">
      <c r="B888" s="490"/>
      <c r="C888" s="491"/>
      <c r="D888" s="492"/>
      <c r="H888" s="493"/>
      <c r="I888" s="494"/>
    </row>
    <row r="889" spans="2:9" ht="25.5" customHeight="1" x14ac:dyDescent="0.3">
      <c r="B889" s="490"/>
      <c r="C889" s="491"/>
      <c r="D889" s="492"/>
      <c r="H889" s="493"/>
      <c r="I889" s="494"/>
    </row>
    <row r="890" spans="2:9" ht="25.5" customHeight="1" x14ac:dyDescent="0.3">
      <c r="B890" s="490"/>
      <c r="C890" s="491"/>
      <c r="D890" s="492"/>
      <c r="H890" s="493"/>
      <c r="I890" s="494"/>
    </row>
    <row r="891" spans="2:9" ht="25.5" customHeight="1" x14ac:dyDescent="0.3">
      <c r="B891" s="490"/>
      <c r="C891" s="491"/>
      <c r="D891" s="492"/>
      <c r="H891" s="493"/>
      <c r="I891" s="494"/>
    </row>
    <row r="892" spans="2:9" ht="25.5" customHeight="1" x14ac:dyDescent="0.3">
      <c r="B892" s="490"/>
      <c r="C892" s="491"/>
      <c r="D892" s="492"/>
      <c r="H892" s="493"/>
      <c r="I892" s="494"/>
    </row>
    <row r="893" spans="2:9" ht="25.5" customHeight="1" x14ac:dyDescent="0.3">
      <c r="B893" s="490"/>
      <c r="C893" s="491"/>
      <c r="D893" s="492"/>
      <c r="H893" s="493"/>
      <c r="I893" s="494"/>
    </row>
    <row r="894" spans="2:9" ht="25.5" customHeight="1" x14ac:dyDescent="0.3">
      <c r="B894" s="490"/>
      <c r="C894" s="491"/>
      <c r="D894" s="492"/>
      <c r="H894" s="493"/>
      <c r="I894" s="494"/>
    </row>
    <row r="895" spans="2:9" ht="25.5" customHeight="1" x14ac:dyDescent="0.3">
      <c r="B895" s="490"/>
      <c r="C895" s="491"/>
      <c r="D895" s="492"/>
      <c r="H895" s="493"/>
      <c r="I895" s="494"/>
    </row>
    <row r="896" spans="2:9" ht="25.5" customHeight="1" x14ac:dyDescent="0.3">
      <c r="B896" s="490"/>
      <c r="C896" s="491"/>
      <c r="D896" s="492"/>
      <c r="H896" s="493"/>
      <c r="I896" s="494"/>
    </row>
    <row r="897" spans="2:9" ht="25.5" customHeight="1" x14ac:dyDescent="0.3">
      <c r="B897" s="490"/>
      <c r="C897" s="491"/>
      <c r="D897" s="492"/>
      <c r="H897" s="493"/>
      <c r="I897" s="494"/>
    </row>
    <row r="898" spans="2:9" ht="25.5" customHeight="1" x14ac:dyDescent="0.3">
      <c r="B898" s="490"/>
      <c r="C898" s="491"/>
      <c r="D898" s="492"/>
      <c r="H898" s="493"/>
      <c r="I898" s="494"/>
    </row>
    <row r="899" spans="2:9" ht="25.5" customHeight="1" x14ac:dyDescent="0.3">
      <c r="B899" s="490"/>
      <c r="C899" s="491"/>
      <c r="D899" s="492"/>
      <c r="H899" s="493"/>
      <c r="I899" s="494"/>
    </row>
    <row r="900" spans="2:9" ht="25.5" customHeight="1" x14ac:dyDescent="0.3">
      <c r="B900" s="490"/>
      <c r="C900" s="491"/>
      <c r="D900" s="492"/>
      <c r="H900" s="493"/>
      <c r="I900" s="494"/>
    </row>
    <row r="901" spans="2:9" ht="25.5" customHeight="1" x14ac:dyDescent="0.3">
      <c r="B901" s="490"/>
      <c r="C901" s="491"/>
      <c r="D901" s="492"/>
      <c r="H901" s="493"/>
      <c r="I901" s="494"/>
    </row>
    <row r="902" spans="2:9" ht="25.5" customHeight="1" x14ac:dyDescent="0.3">
      <c r="B902" s="490"/>
      <c r="C902" s="491"/>
      <c r="D902" s="492"/>
      <c r="H902" s="493"/>
      <c r="I902" s="494"/>
    </row>
    <row r="903" spans="2:9" ht="25.5" customHeight="1" x14ac:dyDescent="0.3">
      <c r="B903" s="490"/>
      <c r="C903" s="491"/>
      <c r="D903" s="492"/>
      <c r="H903" s="493"/>
      <c r="I903" s="494"/>
    </row>
    <row r="904" spans="2:9" ht="25.5" customHeight="1" x14ac:dyDescent="0.3">
      <c r="B904" s="490"/>
      <c r="C904" s="491"/>
      <c r="D904" s="492"/>
      <c r="H904" s="493"/>
      <c r="I904" s="494"/>
    </row>
    <row r="905" spans="2:9" ht="25.5" customHeight="1" x14ac:dyDescent="0.3">
      <c r="B905" s="490"/>
      <c r="C905" s="491"/>
      <c r="D905" s="492"/>
      <c r="H905" s="493"/>
      <c r="I905" s="494"/>
    </row>
    <row r="906" spans="2:9" ht="25.5" customHeight="1" x14ac:dyDescent="0.3">
      <c r="B906" s="490"/>
      <c r="C906" s="491"/>
      <c r="D906" s="492"/>
      <c r="H906" s="493"/>
      <c r="I906" s="494"/>
    </row>
    <row r="907" spans="2:9" ht="25.5" customHeight="1" x14ac:dyDescent="0.3">
      <c r="B907" s="490"/>
      <c r="C907" s="491"/>
      <c r="D907" s="492"/>
      <c r="H907" s="493"/>
      <c r="I907" s="494"/>
    </row>
    <row r="908" spans="2:9" ht="25.5" customHeight="1" x14ac:dyDescent="0.3">
      <c r="B908" s="490"/>
      <c r="C908" s="491"/>
      <c r="D908" s="492"/>
      <c r="H908" s="493"/>
      <c r="I908" s="494"/>
    </row>
    <row r="909" spans="2:9" ht="25.5" customHeight="1" x14ac:dyDescent="0.3">
      <c r="B909" s="490"/>
      <c r="C909" s="491"/>
      <c r="D909" s="492"/>
      <c r="H909" s="493"/>
      <c r="I909" s="494"/>
    </row>
    <row r="910" spans="2:9" ht="25.5" customHeight="1" x14ac:dyDescent="0.3">
      <c r="B910" s="490"/>
      <c r="C910" s="491"/>
      <c r="D910" s="492"/>
      <c r="H910" s="493"/>
      <c r="I910" s="494"/>
    </row>
    <row r="911" spans="2:9" ht="25.5" customHeight="1" x14ac:dyDescent="0.3">
      <c r="B911" s="490"/>
      <c r="C911" s="491"/>
      <c r="D911" s="492"/>
      <c r="H911" s="493"/>
      <c r="I911" s="494"/>
    </row>
    <row r="912" spans="2:9" ht="25.5" customHeight="1" x14ac:dyDescent="0.3">
      <c r="B912" s="490"/>
      <c r="C912" s="491"/>
      <c r="D912" s="492"/>
      <c r="H912" s="493"/>
      <c r="I912" s="494"/>
    </row>
    <row r="913" spans="2:9" ht="25.5" customHeight="1" x14ac:dyDescent="0.3">
      <c r="B913" s="490"/>
      <c r="C913" s="491"/>
      <c r="D913" s="492"/>
      <c r="H913" s="493"/>
      <c r="I913" s="494"/>
    </row>
    <row r="914" spans="2:9" ht="25.5" customHeight="1" x14ac:dyDescent="0.3">
      <c r="B914" s="490"/>
      <c r="C914" s="491"/>
      <c r="D914" s="492"/>
      <c r="H914" s="493"/>
      <c r="I914" s="494"/>
    </row>
    <row r="915" spans="2:9" ht="25.5" customHeight="1" x14ac:dyDescent="0.3">
      <c r="B915" s="490"/>
      <c r="C915" s="491"/>
      <c r="D915" s="492"/>
      <c r="H915" s="493"/>
      <c r="I915" s="494"/>
    </row>
    <row r="916" spans="2:9" ht="25.5" customHeight="1" x14ac:dyDescent="0.3">
      <c r="B916" s="490"/>
      <c r="C916" s="491"/>
      <c r="D916" s="492"/>
      <c r="H916" s="493"/>
      <c r="I916" s="494"/>
    </row>
    <row r="917" spans="2:9" ht="25.5" customHeight="1" x14ac:dyDescent="0.3">
      <c r="B917" s="490"/>
      <c r="C917" s="491"/>
      <c r="D917" s="492"/>
      <c r="H917" s="493"/>
      <c r="I917" s="494"/>
    </row>
    <row r="918" spans="2:9" ht="25.5" customHeight="1" x14ac:dyDescent="0.3">
      <c r="B918" s="490"/>
      <c r="C918" s="491"/>
      <c r="D918" s="492"/>
      <c r="H918" s="493"/>
      <c r="I918" s="494"/>
    </row>
    <row r="919" spans="2:9" ht="25.5" customHeight="1" x14ac:dyDescent="0.3">
      <c r="B919" s="490"/>
      <c r="C919" s="491"/>
      <c r="D919" s="492"/>
      <c r="H919" s="493"/>
      <c r="I919" s="494"/>
    </row>
    <row r="920" spans="2:9" ht="25.5" customHeight="1" x14ac:dyDescent="0.3">
      <c r="B920" s="490"/>
      <c r="C920" s="491"/>
      <c r="D920" s="492"/>
      <c r="H920" s="493"/>
      <c r="I920" s="494"/>
    </row>
    <row r="921" spans="2:9" ht="25.5" customHeight="1" x14ac:dyDescent="0.3">
      <c r="B921" s="490"/>
      <c r="C921" s="491"/>
      <c r="D921" s="492"/>
      <c r="H921" s="493"/>
      <c r="I921" s="494"/>
    </row>
    <row r="922" spans="2:9" ht="25.5" customHeight="1" x14ac:dyDescent="0.3">
      <c r="B922" s="490"/>
      <c r="C922" s="491"/>
      <c r="D922" s="492"/>
      <c r="H922" s="493"/>
      <c r="I922" s="494"/>
    </row>
    <row r="923" spans="2:9" ht="25.5" customHeight="1" x14ac:dyDescent="0.3">
      <c r="B923" s="490"/>
      <c r="C923" s="491"/>
      <c r="D923" s="492"/>
      <c r="H923" s="493"/>
      <c r="I923" s="494"/>
    </row>
    <row r="924" spans="2:9" ht="25.5" customHeight="1" x14ac:dyDescent="0.3">
      <c r="B924" s="490"/>
      <c r="C924" s="491"/>
      <c r="D924" s="492"/>
      <c r="H924" s="493"/>
      <c r="I924" s="494"/>
    </row>
    <row r="925" spans="2:9" ht="25.5" customHeight="1" x14ac:dyDescent="0.3">
      <c r="B925" s="490"/>
      <c r="C925" s="491"/>
      <c r="D925" s="492"/>
      <c r="H925" s="493"/>
      <c r="I925" s="494"/>
    </row>
    <row r="926" spans="2:9" ht="25.5" customHeight="1" x14ac:dyDescent="0.3">
      <c r="B926" s="490"/>
      <c r="C926" s="491"/>
      <c r="D926" s="492"/>
      <c r="H926" s="493"/>
      <c r="I926" s="494"/>
    </row>
    <row r="927" spans="2:9" ht="25.5" customHeight="1" x14ac:dyDescent="0.3">
      <c r="B927" s="490"/>
      <c r="C927" s="491"/>
      <c r="D927" s="492"/>
      <c r="H927" s="493"/>
      <c r="I927" s="494"/>
    </row>
    <row r="928" spans="2:9" ht="25.5" customHeight="1" x14ac:dyDescent="0.3">
      <c r="B928" s="490"/>
      <c r="C928" s="491"/>
      <c r="D928" s="492"/>
      <c r="H928" s="493"/>
      <c r="I928" s="494"/>
    </row>
    <row r="929" spans="2:9" ht="25.5" customHeight="1" x14ac:dyDescent="0.3">
      <c r="B929" s="490"/>
      <c r="C929" s="491"/>
      <c r="D929" s="492"/>
      <c r="H929" s="493"/>
      <c r="I929" s="494"/>
    </row>
    <row r="930" spans="2:9" ht="25.5" customHeight="1" x14ac:dyDescent="0.3">
      <c r="B930" s="490"/>
      <c r="C930" s="491"/>
      <c r="D930" s="492"/>
      <c r="H930" s="493"/>
      <c r="I930" s="494"/>
    </row>
    <row r="931" spans="2:9" ht="25.5" customHeight="1" x14ac:dyDescent="0.3">
      <c r="B931" s="490"/>
      <c r="C931" s="491"/>
      <c r="D931" s="492"/>
      <c r="H931" s="493"/>
      <c r="I931" s="494"/>
    </row>
    <row r="932" spans="2:9" ht="25.5" customHeight="1" x14ac:dyDescent="0.3">
      <c r="B932" s="490"/>
      <c r="C932" s="491"/>
      <c r="D932" s="492"/>
      <c r="H932" s="493"/>
      <c r="I932" s="494"/>
    </row>
    <row r="933" spans="2:9" ht="25.5" customHeight="1" x14ac:dyDescent="0.3">
      <c r="B933" s="490"/>
      <c r="C933" s="491"/>
      <c r="D933" s="492"/>
      <c r="H933" s="493"/>
      <c r="I933" s="494"/>
    </row>
    <row r="934" spans="2:9" ht="25.5" customHeight="1" x14ac:dyDescent="0.3">
      <c r="B934" s="490"/>
      <c r="C934" s="491"/>
      <c r="D934" s="492"/>
      <c r="H934" s="493"/>
      <c r="I934" s="494"/>
    </row>
    <row r="935" spans="2:9" ht="25.5" customHeight="1" x14ac:dyDescent="0.3">
      <c r="B935" s="490"/>
      <c r="C935" s="491"/>
      <c r="D935" s="492"/>
      <c r="H935" s="493"/>
      <c r="I935" s="494"/>
    </row>
    <row r="936" spans="2:9" ht="25.5" customHeight="1" x14ac:dyDescent="0.3">
      <c r="B936" s="490"/>
      <c r="C936" s="491"/>
      <c r="D936" s="492"/>
      <c r="H936" s="493"/>
      <c r="I936" s="494"/>
    </row>
    <row r="937" spans="2:9" ht="25.5" customHeight="1" x14ac:dyDescent="0.3">
      <c r="B937" s="490"/>
      <c r="C937" s="491"/>
      <c r="D937" s="492"/>
      <c r="H937" s="493"/>
      <c r="I937" s="494"/>
    </row>
    <row r="938" spans="2:9" ht="25.5" customHeight="1" x14ac:dyDescent="0.3">
      <c r="B938" s="490"/>
      <c r="C938" s="491"/>
      <c r="D938" s="492"/>
      <c r="H938" s="493"/>
      <c r="I938" s="494"/>
    </row>
    <row r="939" spans="2:9" ht="25.5" customHeight="1" x14ac:dyDescent="0.3">
      <c r="B939" s="490"/>
      <c r="C939" s="491"/>
      <c r="D939" s="492"/>
      <c r="H939" s="493"/>
      <c r="I939" s="494"/>
    </row>
    <row r="940" spans="2:9" ht="25.5" customHeight="1" x14ac:dyDescent="0.3">
      <c r="B940" s="490"/>
      <c r="C940" s="491"/>
      <c r="D940" s="492"/>
      <c r="H940" s="493"/>
      <c r="I940" s="494"/>
    </row>
    <row r="941" spans="2:9" ht="25.5" customHeight="1" x14ac:dyDescent="0.3">
      <c r="B941" s="490"/>
      <c r="C941" s="491"/>
      <c r="D941" s="492"/>
      <c r="H941" s="493"/>
      <c r="I941" s="494"/>
    </row>
    <row r="942" spans="2:9" ht="25.5" customHeight="1" x14ac:dyDescent="0.3">
      <c r="B942" s="490"/>
      <c r="C942" s="491"/>
      <c r="D942" s="492"/>
      <c r="H942" s="493"/>
      <c r="I942" s="494"/>
    </row>
    <row r="943" spans="2:9" ht="25.5" customHeight="1" x14ac:dyDescent="0.3">
      <c r="B943" s="490"/>
      <c r="C943" s="491"/>
      <c r="D943" s="492"/>
      <c r="H943" s="493"/>
      <c r="I943" s="494"/>
    </row>
    <row r="944" spans="2:9" ht="25.5" customHeight="1" x14ac:dyDescent="0.3">
      <c r="B944" s="490"/>
      <c r="C944" s="491"/>
      <c r="D944" s="492"/>
      <c r="H944" s="493"/>
      <c r="I944" s="494"/>
    </row>
    <row r="945" spans="2:9" ht="25.5" customHeight="1" x14ac:dyDescent="0.3">
      <c r="B945" s="490"/>
      <c r="C945" s="491"/>
      <c r="D945" s="492"/>
      <c r="H945" s="493"/>
      <c r="I945" s="494"/>
    </row>
    <row r="946" spans="2:9" ht="25.5" customHeight="1" x14ac:dyDescent="0.3">
      <c r="B946" s="490"/>
      <c r="C946" s="491"/>
      <c r="D946" s="492"/>
      <c r="H946" s="493"/>
      <c r="I946" s="494"/>
    </row>
    <row r="947" spans="2:9" ht="25.5" customHeight="1" x14ac:dyDescent="0.3">
      <c r="B947" s="490"/>
      <c r="C947" s="491"/>
      <c r="D947" s="492"/>
      <c r="H947" s="493"/>
      <c r="I947" s="494"/>
    </row>
    <row r="948" spans="2:9" ht="25.5" customHeight="1" x14ac:dyDescent="0.3">
      <c r="B948" s="490"/>
      <c r="C948" s="491"/>
      <c r="D948" s="492"/>
      <c r="H948" s="493"/>
      <c r="I948" s="494"/>
    </row>
    <row r="949" spans="2:9" ht="25.5" customHeight="1" x14ac:dyDescent="0.3">
      <c r="B949" s="490"/>
      <c r="C949" s="491"/>
      <c r="D949" s="492"/>
      <c r="H949" s="493"/>
      <c r="I949" s="494"/>
    </row>
    <row r="950" spans="2:9" ht="25.5" customHeight="1" x14ac:dyDescent="0.3">
      <c r="B950" s="490"/>
      <c r="C950" s="491"/>
      <c r="D950" s="492"/>
      <c r="H950" s="493"/>
      <c r="I950" s="494"/>
    </row>
    <row r="951" spans="2:9" ht="25.5" customHeight="1" x14ac:dyDescent="0.3">
      <c r="B951" s="490"/>
      <c r="C951" s="491"/>
      <c r="D951" s="492"/>
      <c r="H951" s="493"/>
      <c r="I951" s="494"/>
    </row>
    <row r="952" spans="2:9" ht="25.5" customHeight="1" x14ac:dyDescent="0.3">
      <c r="B952" s="490"/>
      <c r="C952" s="491"/>
      <c r="D952" s="492"/>
      <c r="H952" s="493"/>
      <c r="I952" s="494"/>
    </row>
    <row r="953" spans="2:9" ht="25.5" customHeight="1" x14ac:dyDescent="0.3">
      <c r="B953" s="490"/>
      <c r="C953" s="491"/>
      <c r="D953" s="492"/>
      <c r="H953" s="493"/>
      <c r="I953" s="494"/>
    </row>
    <row r="954" spans="2:9" ht="25.5" customHeight="1" x14ac:dyDescent="0.3">
      <c r="B954" s="490"/>
      <c r="C954" s="491"/>
      <c r="D954" s="492"/>
      <c r="H954" s="493"/>
      <c r="I954" s="494"/>
    </row>
    <row r="955" spans="2:9" ht="25.5" customHeight="1" x14ac:dyDescent="0.3">
      <c r="B955" s="490"/>
      <c r="C955" s="491"/>
      <c r="D955" s="492"/>
      <c r="H955" s="493"/>
      <c r="I955" s="494"/>
    </row>
    <row r="956" spans="2:9" ht="25.5" customHeight="1" x14ac:dyDescent="0.3">
      <c r="B956" s="490"/>
      <c r="C956" s="491"/>
      <c r="D956" s="492"/>
      <c r="H956" s="493"/>
      <c r="I956" s="494"/>
    </row>
    <row r="957" spans="2:9" ht="25.5" customHeight="1" x14ac:dyDescent="0.3">
      <c r="B957" s="490"/>
      <c r="C957" s="491"/>
      <c r="D957" s="492"/>
      <c r="H957" s="493"/>
      <c r="I957" s="494"/>
    </row>
    <row r="958" spans="2:9" ht="25.5" customHeight="1" x14ac:dyDescent="0.3">
      <c r="B958" s="490"/>
      <c r="C958" s="491"/>
      <c r="D958" s="492"/>
      <c r="H958" s="493"/>
      <c r="I958" s="494"/>
    </row>
    <row r="959" spans="2:9" ht="25.5" customHeight="1" x14ac:dyDescent="0.3">
      <c r="B959" s="490"/>
      <c r="C959" s="491"/>
      <c r="D959" s="492"/>
      <c r="H959" s="493"/>
      <c r="I959" s="494"/>
    </row>
    <row r="960" spans="2:9" ht="25.5" customHeight="1" x14ac:dyDescent="0.3">
      <c r="B960" s="490"/>
      <c r="C960" s="491"/>
      <c r="D960" s="492"/>
      <c r="H960" s="493"/>
      <c r="I960" s="494"/>
    </row>
    <row r="961" spans="2:9" ht="25.5" customHeight="1" x14ac:dyDescent="0.3">
      <c r="B961" s="490"/>
      <c r="C961" s="491"/>
      <c r="D961" s="492"/>
      <c r="H961" s="493"/>
      <c r="I961" s="494"/>
    </row>
    <row r="962" spans="2:9" ht="25.5" customHeight="1" x14ac:dyDescent="0.3">
      <c r="B962" s="490"/>
      <c r="C962" s="491"/>
      <c r="D962" s="492"/>
      <c r="H962" s="493"/>
      <c r="I962" s="494"/>
    </row>
    <row r="963" spans="2:9" ht="25.5" customHeight="1" x14ac:dyDescent="0.3">
      <c r="B963" s="490"/>
      <c r="C963" s="491"/>
      <c r="D963" s="492"/>
      <c r="H963" s="493"/>
      <c r="I963" s="494"/>
    </row>
    <row r="964" spans="2:9" ht="25.5" customHeight="1" x14ac:dyDescent="0.3">
      <c r="B964" s="490"/>
      <c r="C964" s="491"/>
      <c r="D964" s="492"/>
      <c r="H964" s="493"/>
      <c r="I964" s="494"/>
    </row>
    <row r="965" spans="2:9" ht="25.5" customHeight="1" x14ac:dyDescent="0.3">
      <c r="B965" s="490"/>
      <c r="C965" s="491"/>
      <c r="D965" s="492"/>
      <c r="H965" s="493"/>
      <c r="I965" s="494"/>
    </row>
    <row r="966" spans="2:9" ht="25.5" customHeight="1" x14ac:dyDescent="0.3">
      <c r="B966" s="490"/>
      <c r="C966" s="491"/>
      <c r="D966" s="492"/>
      <c r="H966" s="493"/>
      <c r="I966" s="494"/>
    </row>
    <row r="967" spans="2:9" ht="25.5" customHeight="1" x14ac:dyDescent="0.3">
      <c r="B967" s="490"/>
      <c r="C967" s="491"/>
      <c r="D967" s="492"/>
      <c r="H967" s="493"/>
      <c r="I967" s="494"/>
    </row>
    <row r="968" spans="2:9" ht="25.5" customHeight="1" x14ac:dyDescent="0.3">
      <c r="B968" s="490"/>
      <c r="C968" s="491"/>
      <c r="D968" s="492"/>
      <c r="H968" s="493"/>
      <c r="I968" s="494"/>
    </row>
    <row r="969" spans="2:9" ht="25.5" customHeight="1" x14ac:dyDescent="0.3">
      <c r="B969" s="490"/>
      <c r="C969" s="491"/>
      <c r="D969" s="492"/>
      <c r="H969" s="493"/>
      <c r="I969" s="494"/>
    </row>
    <row r="970" spans="2:9" ht="25.5" customHeight="1" x14ac:dyDescent="0.3">
      <c r="B970" s="490"/>
      <c r="C970" s="491"/>
      <c r="D970" s="492"/>
      <c r="H970" s="493"/>
      <c r="I970" s="494"/>
    </row>
    <row r="971" spans="2:9" ht="25.5" customHeight="1" x14ac:dyDescent="0.3">
      <c r="B971" s="490"/>
      <c r="C971" s="491"/>
      <c r="D971" s="492"/>
      <c r="H971" s="493"/>
      <c r="I971" s="494"/>
    </row>
    <row r="972" spans="2:9" ht="25.5" customHeight="1" x14ac:dyDescent="0.3">
      <c r="B972" s="490"/>
      <c r="C972" s="491"/>
      <c r="D972" s="492"/>
      <c r="H972" s="493"/>
      <c r="I972" s="494"/>
    </row>
    <row r="973" spans="2:9" ht="25.5" customHeight="1" x14ac:dyDescent="0.3">
      <c r="B973" s="490"/>
      <c r="C973" s="491"/>
      <c r="D973" s="492"/>
      <c r="H973" s="493"/>
      <c r="I973" s="494"/>
    </row>
    <row r="974" spans="2:9" ht="25.5" customHeight="1" x14ac:dyDescent="0.3">
      <c r="B974" s="490"/>
      <c r="C974" s="491"/>
      <c r="D974" s="492"/>
      <c r="H974" s="493"/>
      <c r="I974" s="494"/>
    </row>
    <row r="975" spans="2:9" ht="25.5" customHeight="1" x14ac:dyDescent="0.3">
      <c r="B975" s="490"/>
      <c r="C975" s="491"/>
      <c r="D975" s="492"/>
      <c r="H975" s="493"/>
      <c r="I975" s="494"/>
    </row>
    <row r="976" spans="2:9" ht="25.5" customHeight="1" x14ac:dyDescent="0.3">
      <c r="B976" s="490"/>
      <c r="C976" s="491"/>
      <c r="D976" s="492"/>
      <c r="H976" s="493"/>
      <c r="I976" s="494"/>
    </row>
    <row r="977" spans="2:9" ht="25.5" customHeight="1" x14ac:dyDescent="0.3">
      <c r="B977" s="490"/>
      <c r="C977" s="491"/>
      <c r="D977" s="492"/>
      <c r="H977" s="493"/>
      <c r="I977" s="494"/>
    </row>
    <row r="978" spans="2:9" ht="25.5" customHeight="1" x14ac:dyDescent="0.3">
      <c r="B978" s="490"/>
      <c r="C978" s="491"/>
      <c r="D978" s="492"/>
      <c r="H978" s="493"/>
      <c r="I978" s="494"/>
    </row>
    <row r="979" spans="2:9" ht="25.5" customHeight="1" x14ac:dyDescent="0.3">
      <c r="B979" s="490"/>
      <c r="C979" s="491"/>
      <c r="D979" s="492"/>
      <c r="H979" s="493"/>
      <c r="I979" s="494"/>
    </row>
    <row r="980" spans="2:9" ht="25.5" customHeight="1" x14ac:dyDescent="0.3">
      <c r="B980" s="490"/>
      <c r="C980" s="491"/>
      <c r="D980" s="492"/>
      <c r="H980" s="493"/>
      <c r="I980" s="494"/>
    </row>
    <row r="981" spans="2:9" ht="25.5" customHeight="1" x14ac:dyDescent="0.3">
      <c r="B981" s="490"/>
      <c r="C981" s="491"/>
      <c r="D981" s="492"/>
      <c r="H981" s="493"/>
      <c r="I981" s="494"/>
    </row>
    <row r="982" spans="2:9" ht="25.5" customHeight="1" x14ac:dyDescent="0.3">
      <c r="B982" s="490"/>
      <c r="C982" s="491"/>
      <c r="D982" s="492"/>
      <c r="H982" s="493"/>
      <c r="I982" s="494"/>
    </row>
    <row r="983" spans="2:9" ht="25.5" customHeight="1" x14ac:dyDescent="0.3">
      <c r="B983" s="490"/>
      <c r="C983" s="491"/>
      <c r="D983" s="492"/>
      <c r="H983" s="493"/>
      <c r="I983" s="494"/>
    </row>
    <row r="984" spans="2:9" ht="25.5" customHeight="1" x14ac:dyDescent="0.3">
      <c r="B984" s="490"/>
      <c r="C984" s="491"/>
      <c r="D984" s="492"/>
      <c r="H984" s="493"/>
      <c r="I984" s="494"/>
    </row>
    <row r="985" spans="2:9" ht="25.5" customHeight="1" x14ac:dyDescent="0.3">
      <c r="B985" s="490"/>
      <c r="C985" s="491"/>
      <c r="D985" s="492"/>
      <c r="H985" s="493"/>
      <c r="I985" s="494"/>
    </row>
    <row r="986" spans="2:9" ht="25.5" customHeight="1" x14ac:dyDescent="0.3">
      <c r="B986" s="490"/>
      <c r="C986" s="491"/>
      <c r="D986" s="492"/>
      <c r="H986" s="493"/>
      <c r="I986" s="494"/>
    </row>
    <row r="987" spans="2:9" ht="25.5" customHeight="1" x14ac:dyDescent="0.3">
      <c r="B987" s="490"/>
      <c r="C987" s="491"/>
      <c r="D987" s="492"/>
      <c r="H987" s="493"/>
      <c r="I987" s="494"/>
    </row>
    <row r="988" spans="2:9" ht="25.5" customHeight="1" x14ac:dyDescent="0.3">
      <c r="B988" s="490"/>
      <c r="C988" s="491"/>
      <c r="D988" s="492"/>
      <c r="H988" s="493"/>
      <c r="I988" s="494"/>
    </row>
    <row r="989" spans="2:9" ht="25.5" customHeight="1" x14ac:dyDescent="0.3">
      <c r="B989" s="490"/>
      <c r="C989" s="491"/>
      <c r="D989" s="492"/>
      <c r="H989" s="493"/>
      <c r="I989" s="494"/>
    </row>
    <row r="990" spans="2:9" ht="25.5" customHeight="1" x14ac:dyDescent="0.3">
      <c r="B990" s="490"/>
      <c r="C990" s="491"/>
      <c r="D990" s="492"/>
      <c r="H990" s="493"/>
      <c r="I990" s="494"/>
    </row>
    <row r="991" spans="2:9" ht="25.5" customHeight="1" x14ac:dyDescent="0.3">
      <c r="B991" s="490"/>
      <c r="C991" s="491"/>
      <c r="D991" s="492"/>
      <c r="H991" s="493"/>
      <c r="I991" s="494"/>
    </row>
    <row r="992" spans="2:9" ht="25.5" customHeight="1" x14ac:dyDescent="0.3">
      <c r="B992" s="490"/>
      <c r="C992" s="491"/>
      <c r="D992" s="492"/>
      <c r="H992" s="493"/>
      <c r="I992" s="494"/>
    </row>
    <row r="993" spans="2:9" ht="25.5" customHeight="1" x14ac:dyDescent="0.3">
      <c r="B993" s="490"/>
      <c r="C993" s="491"/>
      <c r="D993" s="492"/>
      <c r="H993" s="493"/>
      <c r="I993" s="494"/>
    </row>
    <row r="994" spans="2:9" ht="25.5" customHeight="1" x14ac:dyDescent="0.3">
      <c r="B994" s="490"/>
      <c r="C994" s="491"/>
      <c r="D994" s="492"/>
      <c r="H994" s="493"/>
      <c r="I994" s="494"/>
    </row>
    <row r="995" spans="2:9" ht="25.5" customHeight="1" x14ac:dyDescent="0.3">
      <c r="B995" s="490"/>
      <c r="C995" s="491"/>
      <c r="D995" s="492"/>
      <c r="H995" s="493"/>
      <c r="I995" s="494"/>
    </row>
    <row r="996" spans="2:9" ht="25.5" customHeight="1" x14ac:dyDescent="0.3">
      <c r="B996" s="490"/>
      <c r="C996" s="491"/>
      <c r="D996" s="492"/>
      <c r="H996" s="493"/>
      <c r="I996" s="494"/>
    </row>
    <row r="997" spans="2:9" ht="25.5" customHeight="1" x14ac:dyDescent="0.3">
      <c r="B997" s="490"/>
      <c r="C997" s="491"/>
      <c r="D997" s="492"/>
      <c r="H997" s="493"/>
      <c r="I997" s="494"/>
    </row>
    <row r="998" spans="2:9" ht="25.5" customHeight="1" x14ac:dyDescent="0.3">
      <c r="B998" s="490"/>
      <c r="C998" s="491"/>
      <c r="D998" s="492"/>
      <c r="H998" s="493"/>
      <c r="I998" s="494"/>
    </row>
    <row r="999" spans="2:9" ht="25.5" customHeight="1" x14ac:dyDescent="0.3">
      <c r="B999" s="490"/>
      <c r="C999" s="491"/>
      <c r="D999" s="492"/>
      <c r="H999" s="493"/>
      <c r="I999" s="494"/>
    </row>
    <row r="1000" spans="2:9" ht="25.5" customHeight="1" x14ac:dyDescent="0.3">
      <c r="B1000" s="490"/>
      <c r="C1000" s="491"/>
      <c r="D1000" s="492"/>
      <c r="H1000" s="493"/>
      <c r="I1000" s="494"/>
    </row>
  </sheetData>
  <mergeCells count="37">
    <mergeCell ref="E27:E30"/>
    <mergeCell ref="E34:E35"/>
    <mergeCell ref="E37:E38"/>
    <mergeCell ref="E40:E41"/>
    <mergeCell ref="E43:E44"/>
    <mergeCell ref="B26:B31"/>
    <mergeCell ref="B33:B41"/>
    <mergeCell ref="B43:B44"/>
    <mergeCell ref="C33:D33"/>
    <mergeCell ref="E33:H33"/>
    <mergeCell ref="C36:D36"/>
    <mergeCell ref="E36:H36"/>
    <mergeCell ref="C39:D39"/>
    <mergeCell ref="E39:H39"/>
    <mergeCell ref="H27:H30"/>
    <mergeCell ref="F37:F38"/>
    <mergeCell ref="F40:F41"/>
    <mergeCell ref="F43:F44"/>
    <mergeCell ref="B2:C3"/>
    <mergeCell ref="E2:H2"/>
    <mergeCell ref="B5:B9"/>
    <mergeCell ref="B11:B15"/>
    <mergeCell ref="B17:B24"/>
    <mergeCell ref="F18:F23"/>
    <mergeCell ref="G18:G23"/>
    <mergeCell ref="H18:H23"/>
    <mergeCell ref="E18:E23"/>
    <mergeCell ref="G43:G44"/>
    <mergeCell ref="H43:H44"/>
    <mergeCell ref="F27:F30"/>
    <mergeCell ref="G27:G30"/>
    <mergeCell ref="F34:F35"/>
    <mergeCell ref="G34:G35"/>
    <mergeCell ref="H34:H35"/>
    <mergeCell ref="G37:G38"/>
    <mergeCell ref="H37:H38"/>
    <mergeCell ref="H40:H41"/>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66"/>
  <sheetViews>
    <sheetView workbookViewId="0"/>
  </sheetViews>
  <sheetFormatPr baseColWidth="10" defaultColWidth="11.1640625" defaultRowHeight="15" customHeight="1" x14ac:dyDescent="0.2"/>
  <cols>
    <col min="1" max="1" width="27.6640625" customWidth="1"/>
    <col min="2" max="2" width="10.5" customWidth="1"/>
    <col min="3" max="3" width="29.33203125" customWidth="1"/>
    <col min="4" max="4" width="14.6640625" customWidth="1"/>
    <col min="5" max="5" width="15.6640625" customWidth="1"/>
    <col min="6" max="6" width="53.33203125" customWidth="1"/>
    <col min="7" max="7" width="15.6640625" customWidth="1"/>
    <col min="8" max="8" width="16.1640625" customWidth="1"/>
    <col min="9" max="26" width="10.5" customWidth="1"/>
  </cols>
  <sheetData>
    <row r="1" spans="1:9" ht="37.5" customHeight="1" x14ac:dyDescent="0.2">
      <c r="A1" s="496" t="s">
        <v>955</v>
      </c>
      <c r="B1" s="496" t="s">
        <v>956</v>
      </c>
      <c r="C1" s="496" t="s">
        <v>957</v>
      </c>
      <c r="D1" s="496" t="s">
        <v>958</v>
      </c>
      <c r="E1" s="496" t="s">
        <v>959</v>
      </c>
      <c r="F1" s="496" t="s">
        <v>960</v>
      </c>
      <c r="G1" s="496"/>
      <c r="H1" s="496" t="s">
        <v>961</v>
      </c>
      <c r="I1" s="496" t="s">
        <v>360</v>
      </c>
    </row>
    <row r="2" spans="1:9" ht="15.75" customHeight="1" x14ac:dyDescent="0.2">
      <c r="A2" s="311" t="s">
        <v>884</v>
      </c>
      <c r="B2" s="314"/>
      <c r="C2" s="311" t="s">
        <v>962</v>
      </c>
      <c r="D2" s="312">
        <v>6.3888888888888884E-2</v>
      </c>
      <c r="E2" s="312">
        <v>6.5277777777777782E-2</v>
      </c>
      <c r="F2" s="314" t="str">
        <f t="shared" ref="F2:F4" si="0">C2&amp;"_"&amp;TEXT(D2,"hh:mm")&amp;"/"&amp;TEXT(E2,"hh:mm")</f>
        <v>Mexico_01:32/01:34</v>
      </c>
    </row>
    <row r="3" spans="1:9" ht="15.75" customHeight="1" x14ac:dyDescent="0.2">
      <c r="A3" s="311" t="s">
        <v>880</v>
      </c>
      <c r="C3" s="311" t="s">
        <v>171</v>
      </c>
      <c r="D3" s="312">
        <v>5.9027777777777776E-2</v>
      </c>
      <c r="E3" s="312">
        <v>6.0416666666666667E-2</v>
      </c>
      <c r="F3" s="314" t="str">
        <f t="shared" si="0"/>
        <v>Panama_01:25/01:27</v>
      </c>
    </row>
    <row r="4" spans="1:9" ht="15.75" customHeight="1" x14ac:dyDescent="0.2">
      <c r="A4" s="311" t="s">
        <v>879</v>
      </c>
      <c r="B4" s="314"/>
      <c r="C4" s="311" t="s">
        <v>963</v>
      </c>
      <c r="D4" s="312">
        <v>5.0694444444444445E-2</v>
      </c>
      <c r="E4" s="312">
        <v>5.2083333333333336E-2</v>
      </c>
      <c r="F4" s="314" t="str">
        <f t="shared" si="0"/>
        <v>United States (USA)_01:13/01:15</v>
      </c>
    </row>
    <row r="5" spans="1:9" ht="15.75" customHeight="1" x14ac:dyDescent="0.2">
      <c r="A5" s="311" t="s">
        <v>964</v>
      </c>
      <c r="C5" s="311" t="s">
        <v>965</v>
      </c>
      <c r="D5" s="497"/>
      <c r="E5" s="497"/>
      <c r="F5" s="314" t="s">
        <v>120</v>
      </c>
    </row>
    <row r="6" spans="1:9" ht="15.75" customHeight="1" x14ac:dyDescent="0.2">
      <c r="A6" s="311"/>
      <c r="B6" s="314"/>
      <c r="C6" s="311"/>
      <c r="D6" s="312"/>
      <c r="E6" s="312"/>
      <c r="F6" s="314"/>
    </row>
    <row r="7" spans="1:9" ht="15.75" customHeight="1" x14ac:dyDescent="0.2">
      <c r="A7" s="311"/>
      <c r="B7" s="314"/>
      <c r="C7" s="311"/>
      <c r="D7" s="312"/>
      <c r="E7" s="312"/>
      <c r="F7" s="314"/>
      <c r="G7" s="312"/>
    </row>
    <row r="8" spans="1:9" ht="15.75" customHeight="1" x14ac:dyDescent="0.2">
      <c r="A8" s="311"/>
      <c r="B8" s="314"/>
      <c r="C8" s="311"/>
      <c r="D8" s="312"/>
      <c r="E8" s="312"/>
      <c r="F8" s="314"/>
      <c r="G8" s="312"/>
    </row>
    <row r="9" spans="1:9" ht="15.75" customHeight="1" x14ac:dyDescent="0.2">
      <c r="A9" s="311"/>
      <c r="B9" s="314"/>
      <c r="C9" s="311"/>
      <c r="D9" s="312"/>
      <c r="E9" s="312"/>
      <c r="F9" s="314"/>
    </row>
    <row r="10" spans="1:9" ht="15" customHeight="1" x14ac:dyDescent="0.2">
      <c r="A10" s="311"/>
      <c r="B10" s="314"/>
      <c r="C10" s="311"/>
      <c r="D10" s="312"/>
      <c r="E10" s="312"/>
      <c r="F10" s="314"/>
    </row>
    <row r="14" spans="1:9" ht="15.75" customHeight="1" x14ac:dyDescent="0.2"/>
    <row r="15" spans="1:9" ht="15.75" customHeight="1" x14ac:dyDescent="0.2"/>
    <row r="16" spans="1: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sheetData>
  <autoFilter ref="A1:I12" xr:uid="{00000000-0009-0000-0000-000007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Cuesheet</vt:lpstr>
      <vt:lpstr>In Match Script</vt:lpstr>
      <vt:lpstr>Sponsors</vt:lpstr>
      <vt:lpstr>Digital Content</vt:lpstr>
      <vt:lpstr>Full Script</vt:lpstr>
      <vt:lpstr>Match Database </vt:lpstr>
      <vt:lpstr>VAR CODE</vt:lpstr>
      <vt:lpstr>National Anthems</vt:lpstr>
      <vt:lpstr>Cuesheet!Activity</vt:lpstr>
      <vt:lpstr>Content</vt:lpstr>
      <vt:lpstr>'Full Script'!Print_Area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Szady, Oliver (Q22)</dc:creator>
  <cp:lastModifiedBy>Tulio Ferro</cp:lastModifiedBy>
  <cp:lastPrinted>2025-03-23T20:45:35Z</cp:lastPrinted>
  <dcterms:created xsi:type="dcterms:W3CDTF">2021-01-08T02:42:14Z</dcterms:created>
  <dcterms:modified xsi:type="dcterms:W3CDTF">2025-03-23T20:45:37Z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0x010100514F383CC4E4D6448C7F83432775DF81</vt:lpwstr>
  </property>
  <property fmtid="{D5CDD505-2E9C-101B-9397-08002B2CF9AE}" pid="3" name="MediaServiceImageTags">
    <vt:lpwstr/>
  </property>
</Properties>
</file>